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oldlightingus.sharepoint.com/sites/BoldLightingLLC/Shared Documents/13-Nomenclature And Product Trees/02 Billet/Automated BOM/"/>
    </mc:Choice>
  </mc:AlternateContent>
  <xr:revisionPtr revIDLastSave="970425" documentId="6_{5D68F5C6-3AFE-41E3-B31E-87DAD12998A3}" xr6:coauthVersionLast="47" xr6:coauthVersionMax="47" xr10:uidLastSave="{D0C6F888-79FB-4EF7-A69B-DBE3D0E4845A}"/>
  <bookViews>
    <workbookView xWindow="-120" yWindow="-120" windowWidth="29040" windowHeight="15720" firstSheet="1" activeTab="6" xr2:uid="{00000000-000D-0000-FFFF-FFFF00000000}"/>
  </bookViews>
  <sheets>
    <sheet name="Draft" sheetId="1" state="hidden" r:id="rId1"/>
    <sheet name="Main" sheetId="8" r:id="rId2"/>
    <sheet name="Coefficient" sheetId="12" r:id="rId3"/>
    <sheet name="Billet Nomenclature" sheetId="7" r:id="rId4"/>
    <sheet name="Result Format" sheetId="4" state="hidden" r:id="rId5"/>
    <sheet name="Database" sheetId="6" r:id="rId6"/>
    <sheet name="Detailed BOM" sheetId="5" r:id="rId7"/>
    <sheet name="BOQ" sheetId="9" r:id="rId8"/>
    <sheet name="ERP Layout" sheetId="14" r:id="rId9"/>
    <sheet name="Pricelist" sheetId="10" r:id="rId10"/>
    <sheet name="Sheet2" sheetId="15" r:id="rId11"/>
    <sheet name="Sheet1" sheetId="13" state="hidden" r:id="rId12"/>
  </sheets>
  <functionGroups builtInGroupCount="19">
    <functionGroup name="GPT for Excel Word"/>
    <functionGroup name="ChatGPT for Excel"/>
  </functionGroups>
  <externalReferences>
    <externalReference r:id="rId13"/>
    <externalReference r:id="rId14"/>
  </externalReferences>
  <definedNames>
    <definedName name="_xlnm._FilterDatabase" localSheetId="7" hidden="1">BOQ!$A$1:$F$48</definedName>
    <definedName name="_xlnm._FilterDatabase" localSheetId="5" hidden="1">Database!$A$3:$AB$996</definedName>
    <definedName name="_xlnm._FilterDatabase" localSheetId="6" hidden="1">'Detailed BOM'!$A$3:$N$76</definedName>
    <definedName name="_xleta.SUM" hidden="1" xlm="1">#NAME?</definedName>
    <definedName name="_xlnm.Print_Titles" localSheetId="6">'Detailed BOM'!#REF!</definedName>
    <definedName name="_xlnm.Print_Titles" localSheetId="4">'Result Format'!$1:$3</definedName>
  </definedNames>
  <calcPr calcId="191028"/>
  <pivotCaches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5" l="1"/>
  <c r="L4" i="5"/>
  <c r="K4" i="5"/>
  <c r="J4" i="5"/>
  <c r="K5" i="5"/>
  <c r="N5" i="5"/>
  <c r="L5" i="5"/>
  <c r="N42" i="5"/>
  <c r="L42" i="5"/>
  <c r="K42" i="5"/>
  <c r="N41" i="5"/>
  <c r="L41" i="5"/>
  <c r="K41" i="5"/>
  <c r="N40" i="5"/>
  <c r="L40" i="5"/>
  <c r="K40" i="5"/>
  <c r="N39" i="5"/>
  <c r="L39" i="5"/>
  <c r="K39" i="5"/>
  <c r="N38" i="5"/>
  <c r="L38" i="5"/>
  <c r="K38" i="5"/>
  <c r="N37" i="5"/>
  <c r="L37" i="5"/>
  <c r="K37" i="5"/>
  <c r="N36" i="5"/>
  <c r="L36" i="5"/>
  <c r="K36" i="5"/>
  <c r="N35" i="5"/>
  <c r="L35" i="5"/>
  <c r="K35" i="5"/>
  <c r="N34" i="5"/>
  <c r="L34" i="5"/>
  <c r="K34" i="5"/>
  <c r="N33" i="5"/>
  <c r="L33" i="5"/>
  <c r="K33" i="5"/>
  <c r="N32" i="5"/>
  <c r="L32" i="5"/>
  <c r="K32" i="5"/>
  <c r="N31" i="5"/>
  <c r="L31" i="5"/>
  <c r="K31" i="5"/>
  <c r="N30" i="5"/>
  <c r="L30" i="5"/>
  <c r="K30" i="5"/>
  <c r="N29" i="5"/>
  <c r="L29" i="5"/>
  <c r="K29" i="5"/>
  <c r="N28" i="5"/>
  <c r="L28" i="5"/>
  <c r="K28" i="5"/>
  <c r="N27" i="5"/>
  <c r="L27" i="5"/>
  <c r="K27" i="5"/>
  <c r="N26" i="5"/>
  <c r="L26" i="5"/>
  <c r="K26" i="5"/>
  <c r="N25" i="5"/>
  <c r="L25" i="5"/>
  <c r="K25" i="5"/>
  <c r="N24" i="5"/>
  <c r="L24" i="5"/>
  <c r="K24" i="5"/>
  <c r="N23" i="5"/>
  <c r="L23" i="5"/>
  <c r="K23" i="5"/>
  <c r="N22" i="5"/>
  <c r="L22" i="5"/>
  <c r="K22" i="5"/>
  <c r="N21" i="5"/>
  <c r="L21" i="5"/>
  <c r="K21" i="5"/>
  <c r="N20" i="5"/>
  <c r="L20" i="5"/>
  <c r="K20" i="5"/>
  <c r="N19" i="5"/>
  <c r="L19" i="5"/>
  <c r="K19" i="5"/>
  <c r="N18" i="5"/>
  <c r="L18" i="5"/>
  <c r="K18" i="5"/>
  <c r="N17" i="5"/>
  <c r="L17" i="5"/>
  <c r="K17" i="5"/>
  <c r="N16" i="5"/>
  <c r="L16" i="5"/>
  <c r="K16" i="5"/>
  <c r="N15" i="5"/>
  <c r="L15" i="5"/>
  <c r="K15" i="5"/>
  <c r="N14" i="5"/>
  <c r="L14" i="5"/>
  <c r="K14" i="5"/>
  <c r="N13" i="5"/>
  <c r="L13" i="5"/>
  <c r="K13" i="5"/>
  <c r="N12" i="5"/>
  <c r="L12" i="5"/>
  <c r="K12" i="5"/>
  <c r="N11" i="5"/>
  <c r="L11" i="5"/>
  <c r="K11" i="5"/>
  <c r="N10" i="5"/>
  <c r="L10" i="5"/>
  <c r="K10" i="5"/>
  <c r="N9" i="5"/>
  <c r="L9" i="5"/>
  <c r="K9" i="5"/>
  <c r="N8" i="5"/>
  <c r="L8" i="5"/>
  <c r="K8" i="5"/>
  <c r="N7" i="5"/>
  <c r="L7" i="5"/>
  <c r="K7" i="5"/>
  <c r="AC4" i="6" l="1"/>
  <c r="U374" i="6" l="1"/>
  <c r="U496" i="6"/>
  <c r="A496" i="6"/>
  <c r="U495" i="6"/>
  <c r="A495" i="6"/>
  <c r="U939" i="6"/>
  <c r="A939" i="6"/>
  <c r="U377" i="6" l="1"/>
  <c r="A377" i="6"/>
  <c r="U936" i="6" l="1"/>
  <c r="A936" i="6"/>
  <c r="U304" i="6" l="1"/>
  <c r="A304" i="6"/>
  <c r="A303" i="6"/>
  <c r="U488" i="6" l="1"/>
  <c r="U487" i="6"/>
  <c r="U486" i="6"/>
  <c r="U485" i="6"/>
  <c r="A484" i="6"/>
  <c r="A485" i="6"/>
  <c r="A486" i="6"/>
  <c r="A487" i="6"/>
  <c r="A488" i="6"/>
  <c r="U916" i="6" l="1"/>
  <c r="A917" i="6" l="1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7" i="6"/>
  <c r="A938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916" i="6"/>
  <c r="U513" i="6" l="1"/>
  <c r="U512" i="6"/>
  <c r="U511" i="6"/>
  <c r="U509" i="6"/>
  <c r="U508" i="6"/>
  <c r="U507" i="6"/>
  <c r="U505" i="6"/>
  <c r="U504" i="6"/>
  <c r="U503" i="6"/>
  <c r="U502" i="6"/>
  <c r="U988" i="6" l="1"/>
  <c r="U987" i="6"/>
  <c r="U986" i="6"/>
  <c r="U985" i="6"/>
  <c r="U979" i="6"/>
  <c r="U978" i="6"/>
  <c r="U977" i="6"/>
  <c r="U976" i="6"/>
  <c r="U975" i="6"/>
  <c r="U974" i="6"/>
  <c r="U973" i="6"/>
  <c r="U972" i="6"/>
  <c r="U971" i="6"/>
  <c r="U970" i="6"/>
  <c r="U968" i="6"/>
  <c r="U967" i="6"/>
  <c r="U966" i="6"/>
  <c r="U965" i="6"/>
  <c r="U964" i="6"/>
  <c r="U963" i="6"/>
  <c r="U962" i="6"/>
  <c r="U961" i="6"/>
  <c r="U960" i="6"/>
  <c r="U959" i="6"/>
  <c r="U958" i="6"/>
  <c r="U957" i="6"/>
  <c r="U956" i="6"/>
  <c r="U955" i="6"/>
  <c r="U954" i="6"/>
  <c r="U953" i="6"/>
  <c r="U952" i="6"/>
  <c r="U951" i="6"/>
  <c r="U950" i="6"/>
  <c r="U949" i="6"/>
  <c r="U948" i="6"/>
  <c r="U947" i="6"/>
  <c r="U946" i="6"/>
  <c r="U945" i="6"/>
  <c r="U944" i="6"/>
  <c r="U943" i="6"/>
  <c r="U942" i="6"/>
  <c r="U941" i="6"/>
  <c r="U940" i="6"/>
  <c r="U938" i="6"/>
  <c r="U935" i="6"/>
  <c r="U934" i="6"/>
  <c r="U933" i="6"/>
  <c r="U932" i="6"/>
  <c r="U931" i="6"/>
  <c r="U930" i="6"/>
  <c r="U929" i="6"/>
  <c r="U928" i="6"/>
  <c r="U927" i="6"/>
  <c r="U926" i="6"/>
  <c r="U925" i="6"/>
  <c r="U924" i="6"/>
  <c r="U923" i="6"/>
  <c r="U922" i="6"/>
  <c r="U920" i="6"/>
  <c r="U919" i="6"/>
  <c r="U918" i="6"/>
  <c r="U915" i="6"/>
  <c r="U914" i="6"/>
  <c r="U913" i="6"/>
  <c r="U912" i="6"/>
  <c r="U911" i="6"/>
  <c r="U910" i="6"/>
  <c r="U899" i="6"/>
  <c r="U908" i="6"/>
  <c r="U907" i="6"/>
  <c r="U906" i="6"/>
  <c r="U905" i="6"/>
  <c r="U904" i="6"/>
  <c r="U903" i="6"/>
  <c r="U902" i="6"/>
  <c r="U901" i="6"/>
  <c r="U900" i="6"/>
  <c r="U898" i="6"/>
  <c r="U897" i="6"/>
  <c r="U896" i="6"/>
  <c r="U895" i="6"/>
  <c r="U894" i="6"/>
  <c r="U893" i="6"/>
  <c r="U892" i="6"/>
  <c r="U891" i="6"/>
  <c r="U890" i="6"/>
  <c r="U889" i="6"/>
  <c r="U888" i="6"/>
  <c r="U887" i="6"/>
  <c r="U886" i="6"/>
  <c r="U885" i="6"/>
  <c r="U884" i="6"/>
  <c r="U883" i="6"/>
  <c r="U882" i="6"/>
  <c r="U881" i="6"/>
  <c r="U880" i="6"/>
  <c r="U879" i="6"/>
  <c r="U878" i="6"/>
  <c r="U877" i="6"/>
  <c r="U876" i="6"/>
  <c r="U875" i="6"/>
  <c r="U874" i="6"/>
  <c r="U873" i="6"/>
  <c r="U872" i="6"/>
  <c r="U871" i="6"/>
  <c r="U870" i="6"/>
  <c r="U869" i="6"/>
  <c r="U868" i="6"/>
  <c r="U867" i="6"/>
  <c r="U866" i="6"/>
  <c r="U865" i="6"/>
  <c r="U864" i="6"/>
  <c r="U863" i="6"/>
  <c r="U862" i="6"/>
  <c r="U861" i="6"/>
  <c r="U860" i="6"/>
  <c r="U859" i="6"/>
  <c r="U858" i="6"/>
  <c r="U857" i="6"/>
  <c r="U856" i="6"/>
  <c r="U855" i="6"/>
  <c r="U854" i="6"/>
  <c r="U853" i="6"/>
  <c r="U852" i="6"/>
  <c r="U851" i="6"/>
  <c r="U849" i="6"/>
  <c r="U847" i="6"/>
  <c r="U846" i="6"/>
  <c r="U845" i="6"/>
  <c r="U844" i="6"/>
  <c r="U843" i="6"/>
  <c r="U842" i="6"/>
  <c r="U841" i="6"/>
  <c r="U840" i="6"/>
  <c r="U839" i="6"/>
  <c r="U838" i="6"/>
  <c r="U837" i="6"/>
  <c r="U836" i="6"/>
  <c r="U835" i="6"/>
  <c r="U834" i="6"/>
  <c r="U833" i="6"/>
  <c r="U832" i="6"/>
  <c r="U831" i="6"/>
  <c r="U830" i="6"/>
  <c r="U829" i="6"/>
  <c r="U828" i="6"/>
  <c r="U827" i="6"/>
  <c r="U826" i="6"/>
  <c r="U825" i="6"/>
  <c r="U824" i="6"/>
  <c r="U822" i="6"/>
  <c r="U821" i="6"/>
  <c r="U820" i="6"/>
  <c r="U819" i="6"/>
  <c r="U818" i="6"/>
  <c r="U817" i="6"/>
  <c r="U816" i="6"/>
  <c r="U815" i="6"/>
  <c r="U814" i="6"/>
  <c r="U813" i="6"/>
  <c r="U812" i="6"/>
  <c r="U811" i="6"/>
  <c r="U810" i="6"/>
  <c r="U809" i="6"/>
  <c r="U808" i="6"/>
  <c r="U806" i="6"/>
  <c r="U805" i="6"/>
  <c r="U804" i="6"/>
  <c r="U803" i="6"/>
  <c r="U802" i="6"/>
  <c r="U801" i="6"/>
  <c r="U800" i="6"/>
  <c r="U799" i="6"/>
  <c r="U798" i="6"/>
  <c r="U797" i="6"/>
  <c r="U795" i="6"/>
  <c r="U794" i="6"/>
  <c r="U793" i="6"/>
  <c r="U792" i="6"/>
  <c r="U791" i="6"/>
  <c r="U790" i="6"/>
  <c r="U789" i="6"/>
  <c r="U788" i="6"/>
  <c r="U786" i="6"/>
  <c r="U785" i="6"/>
  <c r="U784" i="6"/>
  <c r="U783" i="6"/>
  <c r="U782" i="6"/>
  <c r="U781" i="6"/>
  <c r="U780" i="6"/>
  <c r="U779" i="6"/>
  <c r="U777" i="6"/>
  <c r="U776" i="6"/>
  <c r="U775" i="6"/>
  <c r="U774" i="6"/>
  <c r="U773" i="6"/>
  <c r="U772" i="6"/>
  <c r="U771" i="6"/>
  <c r="U770" i="6"/>
  <c r="U769" i="6"/>
  <c r="U768" i="6"/>
  <c r="U766" i="6"/>
  <c r="U765" i="6"/>
  <c r="U764" i="6"/>
  <c r="U763" i="6"/>
  <c r="U762" i="6"/>
  <c r="U755" i="6"/>
  <c r="U754" i="6"/>
  <c r="U753" i="6"/>
  <c r="U752" i="6"/>
  <c r="U751" i="6"/>
  <c r="U750" i="6"/>
  <c r="U749" i="6"/>
  <c r="U748" i="6"/>
  <c r="U747" i="6"/>
  <c r="U746" i="6"/>
  <c r="U745" i="6"/>
  <c r="U744" i="6"/>
  <c r="U743" i="6"/>
  <c r="U742" i="6"/>
  <c r="U741" i="6"/>
  <c r="U740" i="6"/>
  <c r="U739" i="6"/>
  <c r="U738" i="6"/>
  <c r="U737" i="6"/>
  <c r="U736" i="6"/>
  <c r="U714" i="6"/>
  <c r="U713" i="6"/>
  <c r="U712" i="6"/>
  <c r="U711" i="6"/>
  <c r="U710" i="6"/>
  <c r="U709" i="6"/>
  <c r="U708" i="6"/>
  <c r="U707" i="6"/>
  <c r="U706" i="6"/>
  <c r="U705" i="6"/>
  <c r="U703" i="6"/>
  <c r="U702" i="6"/>
  <c r="U701" i="6"/>
  <c r="U700" i="6"/>
  <c r="U699" i="6"/>
  <c r="U698" i="6"/>
  <c r="U697" i="6"/>
  <c r="U696" i="6"/>
  <c r="U695" i="6"/>
  <c r="U694" i="6"/>
  <c r="U693" i="6"/>
  <c r="U692" i="6"/>
  <c r="U691" i="6"/>
  <c r="U690" i="6"/>
  <c r="U689" i="6"/>
  <c r="U688" i="6"/>
  <c r="U687" i="6"/>
  <c r="U686" i="6"/>
  <c r="U685" i="6"/>
  <c r="U684" i="6"/>
  <c r="U683" i="6"/>
  <c r="U682" i="6"/>
  <c r="U681" i="6"/>
  <c r="U680" i="6"/>
  <c r="U679" i="6"/>
  <c r="U678" i="6"/>
  <c r="U677" i="6"/>
  <c r="U676" i="6"/>
  <c r="U675" i="6"/>
  <c r="U674" i="6"/>
  <c r="U673" i="6"/>
  <c r="U672" i="6"/>
  <c r="U671" i="6"/>
  <c r="U670" i="6"/>
  <c r="U669" i="6"/>
  <c r="U668" i="6"/>
  <c r="U667" i="6"/>
  <c r="U666" i="6"/>
  <c r="U665" i="6"/>
  <c r="U664" i="6"/>
  <c r="U663" i="6"/>
  <c r="U662" i="6"/>
  <c r="U661" i="6"/>
  <c r="U660" i="6"/>
  <c r="U658" i="6"/>
  <c r="U657" i="6"/>
  <c r="U656" i="6"/>
  <c r="U655" i="6"/>
  <c r="U654" i="6"/>
  <c r="U653" i="6"/>
  <c r="U652" i="6"/>
  <c r="U651" i="6"/>
  <c r="U650" i="6"/>
  <c r="U649" i="6"/>
  <c r="U648" i="6"/>
  <c r="U647" i="6"/>
  <c r="U646" i="6"/>
  <c r="U645" i="6"/>
  <c r="U644" i="6"/>
  <c r="U643" i="6"/>
  <c r="U642" i="6"/>
  <c r="U641" i="6"/>
  <c r="U640" i="6"/>
  <c r="U639" i="6"/>
  <c r="U638" i="6"/>
  <c r="U637" i="6"/>
  <c r="U636" i="6"/>
  <c r="U635" i="6"/>
  <c r="U634" i="6"/>
  <c r="U633" i="6"/>
  <c r="U632" i="6"/>
  <c r="U631" i="6"/>
  <c r="U630" i="6"/>
  <c r="U629" i="6"/>
  <c r="U628" i="6"/>
  <c r="U627" i="6"/>
  <c r="U626" i="6"/>
  <c r="U625" i="6"/>
  <c r="U624" i="6"/>
  <c r="U623" i="6"/>
  <c r="U622" i="6"/>
  <c r="U621" i="6"/>
  <c r="U620" i="6"/>
  <c r="U619" i="6"/>
  <c r="U618" i="6"/>
  <c r="U617" i="6"/>
  <c r="U616" i="6"/>
  <c r="U615" i="6"/>
  <c r="U613" i="6"/>
  <c r="U612" i="6"/>
  <c r="U611" i="6"/>
  <c r="U610" i="6"/>
  <c r="U609" i="6"/>
  <c r="U608" i="6"/>
  <c r="U607" i="6"/>
  <c r="U606" i="6"/>
  <c r="U605" i="6"/>
  <c r="U604" i="6"/>
  <c r="U602" i="6"/>
  <c r="U601" i="6"/>
  <c r="U600" i="6"/>
  <c r="U599" i="6"/>
  <c r="U598" i="6"/>
  <c r="U597" i="6"/>
  <c r="U596" i="6"/>
  <c r="U595" i="6"/>
  <c r="U594" i="6"/>
  <c r="U593" i="6"/>
  <c r="U592" i="6"/>
  <c r="U591" i="6"/>
  <c r="U590" i="6"/>
  <c r="U589" i="6"/>
  <c r="U588" i="6"/>
  <c r="U587" i="6"/>
  <c r="U586" i="6"/>
  <c r="U585" i="6"/>
  <c r="U584" i="6"/>
  <c r="U583" i="6"/>
  <c r="U582" i="6"/>
  <c r="U581" i="6"/>
  <c r="U580" i="6"/>
  <c r="U579" i="6"/>
  <c r="U578" i="6"/>
  <c r="U577" i="6"/>
  <c r="U576" i="6"/>
  <c r="U575" i="6"/>
  <c r="U574" i="6"/>
  <c r="U573" i="6"/>
  <c r="U572" i="6"/>
  <c r="U571" i="6"/>
  <c r="U570" i="6"/>
  <c r="U569" i="6"/>
  <c r="U568" i="6"/>
  <c r="U567" i="6"/>
  <c r="U566" i="6"/>
  <c r="U565" i="6"/>
  <c r="U564" i="6"/>
  <c r="U563" i="6"/>
  <c r="U561" i="6"/>
  <c r="U560" i="6"/>
  <c r="U559" i="6"/>
  <c r="U558" i="6"/>
  <c r="U557" i="6"/>
  <c r="U556" i="6"/>
  <c r="U555" i="6"/>
  <c r="U554" i="6"/>
  <c r="U553" i="6"/>
  <c r="U552" i="6"/>
  <c r="U551" i="6"/>
  <c r="U550" i="6"/>
  <c r="U549" i="6"/>
  <c r="U548" i="6"/>
  <c r="U547" i="6"/>
  <c r="U546" i="6"/>
  <c r="U545" i="6"/>
  <c r="U544" i="6"/>
  <c r="U543" i="6"/>
  <c r="U542" i="6"/>
  <c r="U541" i="6"/>
  <c r="U540" i="6"/>
  <c r="U539" i="6"/>
  <c r="U538" i="6"/>
  <c r="U537" i="6"/>
  <c r="U536" i="6"/>
  <c r="U535" i="6"/>
  <c r="U534" i="6"/>
  <c r="U533" i="6"/>
  <c r="U532" i="6"/>
  <c r="U531" i="6"/>
  <c r="U530" i="6"/>
  <c r="U529" i="6"/>
  <c r="U528" i="6"/>
  <c r="U527" i="6"/>
  <c r="U526" i="6"/>
  <c r="U525" i="6"/>
  <c r="U524" i="6"/>
  <c r="U523" i="6"/>
  <c r="U522" i="6"/>
  <c r="U516" i="6"/>
  <c r="U515" i="6"/>
  <c r="U500" i="6"/>
  <c r="U499" i="6"/>
  <c r="U498" i="6"/>
  <c r="U497" i="6"/>
  <c r="U493" i="6"/>
  <c r="U492" i="6"/>
  <c r="U491" i="6"/>
  <c r="U490" i="6"/>
  <c r="U483" i="6"/>
  <c r="U482" i="6"/>
  <c r="U481" i="6"/>
  <c r="U480" i="6"/>
  <c r="U478" i="6"/>
  <c r="U477" i="6"/>
  <c r="U476" i="6"/>
  <c r="U474" i="6"/>
  <c r="U473" i="6"/>
  <c r="U472" i="6"/>
  <c r="U471" i="6"/>
  <c r="U468" i="6"/>
  <c r="U467" i="6"/>
  <c r="U465" i="6"/>
  <c r="U464" i="6"/>
  <c r="U463" i="6"/>
  <c r="U462" i="6"/>
  <c r="U461" i="6"/>
  <c r="U460" i="6"/>
  <c r="U459" i="6"/>
  <c r="U458" i="6"/>
  <c r="U457" i="6"/>
  <c r="U456" i="6"/>
  <c r="U455" i="6"/>
  <c r="U454" i="6"/>
  <c r="U453" i="6"/>
  <c r="U452" i="6"/>
  <c r="U451" i="6"/>
  <c r="U450" i="6"/>
  <c r="U449" i="6"/>
  <c r="U448" i="6"/>
  <c r="U447" i="6"/>
  <c r="U446" i="6"/>
  <c r="U445" i="6"/>
  <c r="U444" i="6"/>
  <c r="U443" i="6"/>
  <c r="U442" i="6"/>
  <c r="U441" i="6"/>
  <c r="U440" i="6"/>
  <c r="U439" i="6"/>
  <c r="U438" i="6"/>
  <c r="U437" i="6"/>
  <c r="U436" i="6"/>
  <c r="U435" i="6"/>
  <c r="U434" i="6"/>
  <c r="U433" i="6"/>
  <c r="U432" i="6"/>
  <c r="U431" i="6"/>
  <c r="U430" i="6"/>
  <c r="U429" i="6"/>
  <c r="U428" i="6"/>
  <c r="U427" i="6"/>
  <c r="U426" i="6"/>
  <c r="U425" i="6"/>
  <c r="U424" i="6"/>
  <c r="U423" i="6"/>
  <c r="U422" i="6"/>
  <c r="U421" i="6"/>
  <c r="U420" i="6"/>
  <c r="U419" i="6"/>
  <c r="U418" i="6"/>
  <c r="U417" i="6"/>
  <c r="U416" i="6"/>
  <c r="U415" i="6"/>
  <c r="U414" i="6"/>
  <c r="U413" i="6"/>
  <c r="U412" i="6"/>
  <c r="U411" i="6"/>
  <c r="U410" i="6"/>
  <c r="U409" i="6"/>
  <c r="U408" i="6"/>
  <c r="U407" i="6"/>
  <c r="U406" i="6"/>
  <c r="U405" i="6"/>
  <c r="U404" i="6"/>
  <c r="U403" i="6"/>
  <c r="U402" i="6"/>
  <c r="U401" i="6"/>
  <c r="U400" i="6"/>
  <c r="U399" i="6"/>
  <c r="U398" i="6"/>
  <c r="U397" i="6"/>
  <c r="U396" i="6"/>
  <c r="U395" i="6"/>
  <c r="U394" i="6"/>
  <c r="U393" i="6"/>
  <c r="U392" i="6"/>
  <c r="U391" i="6"/>
  <c r="U390" i="6"/>
  <c r="U389" i="6"/>
  <c r="U388" i="6"/>
  <c r="U387" i="6"/>
  <c r="U386" i="6"/>
  <c r="U385" i="6"/>
  <c r="U384" i="6"/>
  <c r="U383" i="6"/>
  <c r="U382" i="6"/>
  <c r="U381" i="6"/>
  <c r="U380" i="6"/>
  <c r="U379" i="6"/>
  <c r="U378" i="6"/>
  <c r="U376" i="6"/>
  <c r="U375" i="6"/>
  <c r="U373" i="6"/>
  <c r="U372" i="6"/>
  <c r="U371" i="6"/>
  <c r="U370" i="6"/>
  <c r="U369" i="6"/>
  <c r="U368" i="6"/>
  <c r="U367" i="6"/>
  <c r="U366" i="6"/>
  <c r="U365" i="6"/>
  <c r="U363" i="6"/>
  <c r="U362" i="6"/>
  <c r="U360" i="6"/>
  <c r="U358" i="6"/>
  <c r="U357" i="6"/>
  <c r="U355" i="6"/>
  <c r="U354" i="6"/>
  <c r="U352" i="6"/>
  <c r="U351" i="6"/>
  <c r="U349" i="6"/>
  <c r="U347" i="6"/>
  <c r="U345" i="6"/>
  <c r="U343" i="6"/>
  <c r="U342" i="6"/>
  <c r="U340" i="6"/>
  <c r="U339" i="6"/>
  <c r="U337" i="6"/>
  <c r="U336" i="6"/>
  <c r="U334" i="6"/>
  <c r="U332" i="6"/>
  <c r="U330" i="6"/>
  <c r="U328" i="6"/>
  <c r="U327" i="6"/>
  <c r="U326" i="6"/>
  <c r="U325" i="6"/>
  <c r="U324" i="6"/>
  <c r="U323" i="6"/>
  <c r="U322" i="6"/>
  <c r="U321" i="6"/>
  <c r="U320" i="6"/>
  <c r="U318" i="6"/>
  <c r="U317" i="6"/>
  <c r="U316" i="6"/>
  <c r="U315" i="6"/>
  <c r="U314" i="6"/>
  <c r="U312" i="6"/>
  <c r="U310" i="6"/>
  <c r="U309" i="6"/>
  <c r="U307" i="6"/>
  <c r="U306" i="6"/>
  <c r="U302" i="6"/>
  <c r="U301" i="6"/>
  <c r="U299" i="6"/>
  <c r="U298" i="6"/>
  <c r="U296" i="6"/>
  <c r="U295" i="6"/>
  <c r="U294" i="6"/>
  <c r="U293" i="6"/>
  <c r="U292" i="6"/>
  <c r="U291" i="6"/>
  <c r="U290" i="6"/>
  <c r="U289" i="6"/>
  <c r="U288" i="6"/>
  <c r="U286" i="6"/>
  <c r="U284" i="6"/>
  <c r="U283" i="6"/>
  <c r="U281" i="6"/>
  <c r="U279" i="6"/>
  <c r="U277" i="6"/>
  <c r="U275" i="6"/>
  <c r="U273" i="6"/>
  <c r="U271" i="6"/>
  <c r="U270" i="6"/>
  <c r="U268" i="6"/>
  <c r="U266" i="6"/>
  <c r="U264" i="6"/>
  <c r="U262" i="6"/>
  <c r="U261" i="6"/>
  <c r="U259" i="6"/>
  <c r="U258" i="6"/>
  <c r="U256" i="6"/>
  <c r="U255" i="6"/>
  <c r="U254" i="6"/>
  <c r="U253" i="6"/>
  <c r="U251" i="6"/>
  <c r="U249" i="6"/>
  <c r="U247" i="6"/>
  <c r="U245" i="6"/>
  <c r="U243" i="6"/>
  <c r="U241" i="6"/>
  <c r="U240" i="6"/>
  <c r="U238" i="6"/>
  <c r="U236" i="6"/>
  <c r="U234" i="6"/>
  <c r="U232" i="6"/>
  <c r="U231" i="6"/>
  <c r="U230" i="6"/>
  <c r="U228" i="6"/>
  <c r="U227" i="6"/>
  <c r="U226" i="6"/>
  <c r="U225" i="6"/>
  <c r="U223" i="6"/>
  <c r="U221" i="6"/>
  <c r="U219" i="6"/>
  <c r="U218" i="6"/>
  <c r="U217" i="6"/>
  <c r="U216" i="6"/>
  <c r="U215" i="6"/>
  <c r="U213" i="6"/>
  <c r="U212" i="6"/>
  <c r="U211" i="6"/>
  <c r="U210" i="6"/>
  <c r="U209" i="6"/>
  <c r="U207" i="6"/>
  <c r="U206" i="6"/>
  <c r="U205" i="6"/>
  <c r="U204" i="6"/>
  <c r="U203" i="6"/>
  <c r="U202" i="6"/>
  <c r="U200" i="6"/>
  <c r="U199" i="6"/>
  <c r="U198" i="6"/>
  <c r="U197" i="6"/>
  <c r="U196" i="6"/>
  <c r="U194" i="6"/>
  <c r="U193" i="6"/>
  <c r="U192" i="6"/>
  <c r="U191" i="6"/>
  <c r="U190" i="6"/>
  <c r="U189" i="6"/>
  <c r="U188" i="6"/>
  <c r="U187" i="6"/>
  <c r="U186" i="6"/>
  <c r="U184" i="6"/>
  <c r="U183" i="6"/>
  <c r="U182" i="6"/>
  <c r="U181" i="6"/>
  <c r="U180" i="6"/>
  <c r="U179" i="6"/>
  <c r="U178" i="6"/>
  <c r="U177" i="6"/>
  <c r="U176" i="6"/>
  <c r="U175" i="6"/>
  <c r="U173" i="6"/>
  <c r="U172" i="6"/>
  <c r="U171" i="6"/>
  <c r="U170" i="6"/>
  <c r="U169" i="6"/>
  <c r="U168" i="6"/>
  <c r="U167" i="6"/>
  <c r="U166" i="6"/>
  <c r="U165" i="6"/>
  <c r="U155" i="6"/>
  <c r="U156" i="6"/>
  <c r="U157" i="6"/>
  <c r="U158" i="6"/>
  <c r="U159" i="6"/>
  <c r="U160" i="6"/>
  <c r="U161" i="6"/>
  <c r="U162" i="6"/>
  <c r="U163" i="6"/>
  <c r="U154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52" i="6"/>
  <c r="U50" i="6"/>
  <c r="U51" i="6"/>
  <c r="U49" i="6"/>
  <c r="U44" i="6"/>
  <c r="U45" i="6"/>
  <c r="U46" i="6"/>
  <c r="U47" i="6"/>
  <c r="U48" i="6"/>
  <c r="U43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" i="6"/>
  <c r="A472" i="6"/>
  <c r="A478" i="6" l="1"/>
  <c r="T973" i="6" l="1"/>
  <c r="T974" i="6"/>
  <c r="T975" i="6"/>
  <c r="T976" i="6"/>
  <c r="T977" i="6"/>
  <c r="T978" i="6"/>
  <c r="T979" i="6"/>
  <c r="T972" i="6"/>
  <c r="A642" i="6" l="1"/>
  <c r="A647" i="6"/>
  <c r="A652" i="6"/>
  <c r="A657" i="6"/>
  <c r="A687" i="6"/>
  <c r="A692" i="6"/>
  <c r="A697" i="6"/>
  <c r="A702" i="6"/>
  <c r="Y469" i="6" l="1"/>
  <c r="U469" i="6" s="1"/>
  <c r="A404" i="6" l="1"/>
  <c r="A469" i="6" l="1"/>
  <c r="A459" i="6" l="1"/>
  <c r="A460" i="6"/>
  <c r="A461" i="6"/>
  <c r="A462" i="6"/>
  <c r="A463" i="6"/>
  <c r="A464" i="6"/>
  <c r="A465" i="6"/>
  <c r="A467" i="6"/>
  <c r="A468" i="6" l="1"/>
  <c r="A219" i="6" l="1"/>
  <c r="A218" i="6"/>
  <c r="A217" i="6"/>
  <c r="A216" i="6"/>
  <c r="A215" i="6"/>
  <c r="A43" i="6"/>
  <c r="A44" i="6"/>
  <c r="A47" i="6"/>
  <c r="A46" i="6"/>
  <c r="A45" i="6"/>
  <c r="A894" i="6"/>
  <c r="A893" i="6"/>
  <c r="A281" i="6" l="1"/>
  <c r="A280" i="6"/>
  <c r="A490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6" i="6"/>
  <c r="A37" i="6"/>
  <c r="A38" i="6"/>
  <c r="A39" i="6"/>
  <c r="A40" i="6"/>
  <c r="A41" i="6"/>
  <c r="A42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5" i="6"/>
  <c r="A376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70" i="6"/>
  <c r="A471" i="6"/>
  <c r="A473" i="6"/>
  <c r="A474" i="6"/>
  <c r="A475" i="6"/>
  <c r="A476" i="6"/>
  <c r="A477" i="6"/>
  <c r="A479" i="6"/>
  <c r="A480" i="6"/>
  <c r="A481" i="6"/>
  <c r="A482" i="6"/>
  <c r="A483" i="6"/>
  <c r="A489" i="6"/>
  <c r="A491" i="6"/>
  <c r="A492" i="6"/>
  <c r="A493" i="6"/>
  <c r="A494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3" i="6"/>
  <c r="A644" i="6"/>
  <c r="A645" i="6"/>
  <c r="A646" i="6"/>
  <c r="A648" i="6"/>
  <c r="A649" i="6"/>
  <c r="A650" i="6"/>
  <c r="A651" i="6"/>
  <c r="A653" i="6"/>
  <c r="A654" i="6"/>
  <c r="A655" i="6"/>
  <c r="A656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8" i="6"/>
  <c r="A689" i="6"/>
  <c r="A690" i="6"/>
  <c r="A691" i="6"/>
  <c r="A693" i="6"/>
  <c r="A694" i="6"/>
  <c r="A695" i="6"/>
  <c r="A696" i="6"/>
  <c r="A698" i="6"/>
  <c r="A699" i="6"/>
  <c r="A700" i="6"/>
  <c r="A701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5" i="6" l="1"/>
  <c r="A4" i="6"/>
  <c r="M3" i="13" l="1"/>
  <c r="M4" i="13"/>
  <c r="M5" i="13"/>
  <c r="M7" i="13"/>
  <c r="M8" i="13"/>
  <c r="M9" i="13"/>
  <c r="M10" i="13"/>
  <c r="M11" i="13"/>
  <c r="M2" i="13" l="1"/>
  <c r="E1" i="8" l="1"/>
  <c r="Y716" i="6" l="1"/>
  <c r="U716" i="6" s="1"/>
  <c r="Y717" i="6"/>
  <c r="U717" i="6" s="1"/>
  <c r="Y718" i="6"/>
  <c r="U718" i="6" s="1"/>
  <c r="Y719" i="6"/>
  <c r="U719" i="6" s="1"/>
  <c r="Y720" i="6"/>
  <c r="U720" i="6" s="1"/>
  <c r="Y721" i="6"/>
  <c r="U721" i="6" s="1"/>
  <c r="Y722" i="6"/>
  <c r="U722" i="6" s="1"/>
  <c r="Y723" i="6"/>
  <c r="U723" i="6" s="1"/>
  <c r="Y724" i="6"/>
  <c r="U724" i="6" s="1"/>
  <c r="Y725" i="6"/>
  <c r="U725" i="6" s="1"/>
  <c r="Y726" i="6"/>
  <c r="U726" i="6" s="1"/>
  <c r="Y727" i="6"/>
  <c r="U727" i="6" s="1"/>
  <c r="Y728" i="6"/>
  <c r="U728" i="6" s="1"/>
  <c r="Y729" i="6"/>
  <c r="U729" i="6" s="1"/>
  <c r="Y730" i="6"/>
  <c r="U730" i="6" s="1"/>
  <c r="Y731" i="6"/>
  <c r="U731" i="6" s="1"/>
  <c r="Y732" i="6"/>
  <c r="U732" i="6" s="1"/>
  <c r="Y733" i="6"/>
  <c r="U733" i="6" s="1"/>
  <c r="Y734" i="6"/>
  <c r="U734" i="6" s="1"/>
  <c r="Y735" i="6"/>
  <c r="U735" i="6" s="1"/>
  <c r="Y757" i="6"/>
  <c r="U757" i="6" s="1"/>
  <c r="Y758" i="6"/>
  <c r="U758" i="6" s="1"/>
  <c r="Y759" i="6"/>
  <c r="U759" i="6" s="1"/>
  <c r="Y760" i="6"/>
  <c r="U760" i="6" s="1"/>
  <c r="Y761" i="6"/>
  <c r="U761" i="6" s="1"/>
  <c r="Y517" i="6"/>
  <c r="U517" i="6" s="1"/>
  <c r="Y518" i="6"/>
  <c r="U518" i="6" s="1"/>
  <c r="Y519" i="6"/>
  <c r="U519" i="6" s="1"/>
  <c r="Y520" i="6"/>
  <c r="U520" i="6" s="1"/>
  <c r="Y998" i="6"/>
  <c r="Y999" i="6"/>
  <c r="Y1000" i="6"/>
  <c r="Y1001" i="6"/>
  <c r="Y1002" i="6"/>
  <c r="Y1003" i="6"/>
  <c r="Y1004" i="6"/>
  <c r="Y1005" i="6"/>
  <c r="Y1006" i="6"/>
  <c r="Y1007" i="6"/>
  <c r="Y1008" i="6"/>
  <c r="Y1009" i="6"/>
  <c r="Y1010" i="6"/>
  <c r="Y1011" i="6"/>
  <c r="Y1012" i="6"/>
  <c r="Y1013" i="6"/>
  <c r="Y1014" i="6"/>
  <c r="Y1015" i="6"/>
  <c r="Y980" i="6"/>
  <c r="U980" i="6" s="1"/>
  <c r="Y981" i="6"/>
  <c r="U981" i="6" s="1"/>
  <c r="Y982" i="6"/>
  <c r="U982" i="6" s="1"/>
  <c r="Y983" i="6"/>
  <c r="U983" i="6" s="1"/>
  <c r="Y984" i="6"/>
  <c r="U984" i="6" s="1"/>
  <c r="Y990" i="6"/>
  <c r="U990" i="6" s="1"/>
  <c r="Y991" i="6"/>
  <c r="U991" i="6" s="1"/>
  <c r="Y992" i="6"/>
  <c r="U992" i="6" s="1"/>
  <c r="Y993" i="6"/>
  <c r="U993" i="6" s="1"/>
  <c r="Y994" i="6"/>
  <c r="U994" i="6" s="1"/>
  <c r="Y995" i="6"/>
  <c r="U995" i="6" s="1"/>
  <c r="Y996" i="6"/>
  <c r="U996" i="6" s="1"/>
  <c r="U1010" i="6" l="1"/>
  <c r="U1008" i="6"/>
  <c r="U1006" i="6"/>
  <c r="U1005" i="6"/>
  <c r="U1004" i="6"/>
  <c r="U1009" i="6"/>
  <c r="U1007" i="6"/>
  <c r="U1003" i="6"/>
  <c r="U1002" i="6"/>
  <c r="U1015" i="6"/>
  <c r="U998" i="6"/>
  <c r="U1013" i="6"/>
  <c r="U1001" i="6"/>
  <c r="U999" i="6"/>
  <c r="U1012" i="6"/>
  <c r="U1000" i="6"/>
  <c r="U1014" i="6"/>
  <c r="U1011" i="6"/>
  <c r="S809" i="6"/>
  <c r="S810" i="6"/>
  <c r="S811" i="6"/>
  <c r="S812" i="6"/>
  <c r="S813" i="6"/>
  <c r="S814" i="6"/>
  <c r="S815" i="6"/>
  <c r="S808" i="6"/>
  <c r="S816" i="6"/>
  <c r="S817" i="6"/>
  <c r="S818" i="6"/>
  <c r="S822" i="6"/>
  <c r="S821" i="6"/>
  <c r="S819" i="6"/>
  <c r="S820" i="6"/>
  <c r="B1" i="6" l="1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l="1"/>
  <c r="Q1" i="6" s="1"/>
  <c r="R1" i="6" s="1"/>
  <c r="S1" i="6" s="1"/>
  <c r="T1" i="6" s="1"/>
  <c r="U1" i="6" s="1"/>
  <c r="V1" i="6" s="1"/>
  <c r="W1" i="6" s="1"/>
  <c r="X1" i="6" s="1"/>
  <c r="Y1" i="6" s="1"/>
  <c r="AA1" i="6" s="1"/>
  <c r="J25" i="1"/>
  <c r="J24" i="1"/>
  <c r="J23" i="1"/>
  <c r="J22" i="1"/>
  <c r="V375" i="6" l="1"/>
  <c r="V376" i="6"/>
  <c r="V377" i="6"/>
  <c r="V404" i="6"/>
  <c r="V447" i="6"/>
  <c r="V446" i="6"/>
  <c r="V400" i="6"/>
  <c r="V408" i="6"/>
  <c r="V393" i="6"/>
  <c r="V367" i="6"/>
  <c r="V451" i="6"/>
  <c r="V409" i="6"/>
  <c r="V430" i="6"/>
  <c r="V468" i="6"/>
  <c r="V465" i="6"/>
  <c r="V450" i="6"/>
  <c r="V412" i="6"/>
  <c r="V437" i="6"/>
  <c r="V410" i="6"/>
  <c r="V432" i="6"/>
  <c r="V396" i="6"/>
  <c r="V435" i="6"/>
  <c r="V394" i="6"/>
  <c r="V368" i="6"/>
  <c r="V413" i="6"/>
  <c r="V399" i="6"/>
  <c r="V438" i="6"/>
  <c r="V439" i="6"/>
  <c r="V459" i="6"/>
  <c r="V414" i="6"/>
  <c r="V426" i="6"/>
  <c r="V436" i="6"/>
  <c r="V405" i="6"/>
  <c r="V462" i="6"/>
  <c r="V381" i="6"/>
  <c r="V461" i="6"/>
  <c r="V387" i="6"/>
  <c r="V458" i="6"/>
  <c r="V388" i="6"/>
  <c r="V433" i="6"/>
  <c r="V445" i="6"/>
  <c r="V411" i="6"/>
  <c r="V429" i="6"/>
  <c r="V427" i="6"/>
  <c r="V448" i="6"/>
  <c r="V460" i="6"/>
  <c r="V398" i="6"/>
  <c r="V379" i="6"/>
  <c r="V385" i="6"/>
  <c r="V380" i="6"/>
  <c r="V453" i="6"/>
  <c r="V389" i="6"/>
  <c r="V403" i="6"/>
  <c r="V442" i="6"/>
  <c r="V431" i="6"/>
  <c r="V440" i="6"/>
  <c r="V421" i="6"/>
  <c r="V464" i="6"/>
  <c r="V452" i="6"/>
  <c r="V407" i="6"/>
  <c r="V419" i="6"/>
  <c r="V441" i="6"/>
  <c r="V417" i="6"/>
  <c r="V401" i="6"/>
  <c r="V386" i="6"/>
  <c r="V444" i="6"/>
  <c r="V449" i="6"/>
  <c r="V420" i="6"/>
  <c r="V434" i="6"/>
  <c r="V423" i="6"/>
  <c r="V443" i="6"/>
  <c r="V402" i="6"/>
  <c r="V416" i="6"/>
  <c r="V428" i="6"/>
  <c r="V457" i="6"/>
  <c r="V454" i="6"/>
  <c r="V384" i="6"/>
  <c r="V424" i="6"/>
  <c r="V406" i="6"/>
  <c r="V418" i="6"/>
  <c r="V422" i="6"/>
  <c r="V397" i="6"/>
  <c r="V455" i="6"/>
  <c r="V370" i="6"/>
  <c r="V463" i="6"/>
  <c r="V378" i="6"/>
  <c r="V425" i="6"/>
  <c r="V372" i="6"/>
  <c r="V415" i="6"/>
  <c r="V365" i="6"/>
  <c r="V391" i="6"/>
  <c r="V390" i="6"/>
  <c r="V467" i="6"/>
  <c r="V456" i="6"/>
  <c r="V369" i="6"/>
  <c r="V382" i="6"/>
  <c r="V383" i="6"/>
  <c r="V366" i="6"/>
  <c r="V371" i="6"/>
  <c r="V395" i="6"/>
  <c r="V392" i="6"/>
  <c r="V373" i="6"/>
</calcChain>
</file>

<file path=xl/sharedStrings.xml><?xml version="1.0" encoding="utf-8"?>
<sst xmlns="http://schemas.openxmlformats.org/spreadsheetml/2006/main" count="9031" uniqueCount="1667">
  <si>
    <t>Series</t>
  </si>
  <si>
    <t>Mounting</t>
  </si>
  <si>
    <t>Length</t>
  </si>
  <si>
    <t>Body Finish</t>
  </si>
  <si>
    <t>Output</t>
  </si>
  <si>
    <t>Voltage</t>
  </si>
  <si>
    <t>Dimming</t>
  </si>
  <si>
    <t>Baffles</t>
  </si>
  <si>
    <t>Beam Angle</t>
  </si>
  <si>
    <t>CRI</t>
  </si>
  <si>
    <t>CCT</t>
  </si>
  <si>
    <t>Emergency</t>
  </si>
  <si>
    <t>Wiring</t>
  </si>
  <si>
    <t>Billet Indoor Washer</t>
  </si>
  <si>
    <t>BIW</t>
  </si>
  <si>
    <t>R, T, S, P, M, W</t>
  </si>
  <si>
    <t xml:space="preserve">12, 18, 24, 30, 36, 42, 48, 54, 60, XX </t>
  </si>
  <si>
    <t>W, B, G, X</t>
  </si>
  <si>
    <t>L, M, H, V</t>
  </si>
  <si>
    <t>1, U</t>
  </si>
  <si>
    <t>A, B, C, D, E, F, G</t>
  </si>
  <si>
    <t>W, B, N, C, G, E, X</t>
  </si>
  <si>
    <t>W</t>
  </si>
  <si>
    <t>8, 9</t>
  </si>
  <si>
    <t>27, 30, 35, 40, WD, TW, CC</t>
  </si>
  <si>
    <t>0, 9</t>
  </si>
  <si>
    <t>B, M, E, S</t>
  </si>
  <si>
    <t>Billet Indoor Grazer</t>
  </si>
  <si>
    <t>G</t>
  </si>
  <si>
    <t>Billet Indoor Symmetric Baffles</t>
  </si>
  <si>
    <t>BIS</t>
  </si>
  <si>
    <t>R, T, S, P, M</t>
  </si>
  <si>
    <t>S, M, F, B, E, G</t>
  </si>
  <si>
    <t>Billet Indoor Honeycomb TIR</t>
  </si>
  <si>
    <t>BXH</t>
  </si>
  <si>
    <t>12, 24, 36, 48, 60, XX</t>
  </si>
  <si>
    <t>S, M, F, B, E, A</t>
  </si>
  <si>
    <t>27, 30, 35, 40, WD, TW</t>
  </si>
  <si>
    <t>Diffuser</t>
  </si>
  <si>
    <t>Billet Indoor Linear Lenses</t>
  </si>
  <si>
    <t>BIO</t>
  </si>
  <si>
    <t>O</t>
  </si>
  <si>
    <t>L, A, E</t>
  </si>
  <si>
    <t>B, M, E</t>
  </si>
  <si>
    <t>Billet Outdoor Washer</t>
  </si>
  <si>
    <t>BOW</t>
  </si>
  <si>
    <t>R, T, S, P, I, W</t>
  </si>
  <si>
    <t>Billet Outdoor Grazer</t>
  </si>
  <si>
    <t>Billet Outdoor Symmetric Baffles</t>
  </si>
  <si>
    <t>BOS</t>
  </si>
  <si>
    <t>R, T, S, P, I</t>
  </si>
  <si>
    <t>12, 18, 24, 30, 36, 42, 48, 54, 60, XX</t>
  </si>
  <si>
    <t>Billet Outdoor Honeycomb TIR</t>
  </si>
  <si>
    <t>BHS</t>
  </si>
  <si>
    <t>Billet Outdoor Linear Lenses</t>
  </si>
  <si>
    <t>BOO</t>
  </si>
  <si>
    <t xml:space="preserve">External Profile: </t>
  </si>
  <si>
    <t>Series + Mounting + Wiring + &lt;length&gt;</t>
  </si>
  <si>
    <t xml:space="preserve">Internal Profile: </t>
  </si>
  <si>
    <t>Family + &lt;length&gt;</t>
  </si>
  <si>
    <t xml:space="preserve">Diffuser: </t>
  </si>
  <si>
    <t>Baffles + Beam Angle + &lt;length&gt;</t>
  </si>
  <si>
    <t>BIWR12WL1AWW8270M</t>
  </si>
  <si>
    <t xml:space="preserve">PCB: </t>
  </si>
  <si>
    <t>Series + Output + CRI + CCT + &lt;length&gt;</t>
  </si>
  <si>
    <t>BIWR12WL1AWW827M</t>
  </si>
  <si>
    <t>BIWR12WL1AWW8270</t>
  </si>
  <si>
    <t>BIWL827</t>
  </si>
  <si>
    <t>BIWR12WLUAWW827</t>
  </si>
  <si>
    <t>A U T O  B O M</t>
  </si>
  <si>
    <t>#</t>
  </si>
  <si>
    <t>Part#</t>
  </si>
  <si>
    <t>Qty</t>
  </si>
  <si>
    <t>Result</t>
  </si>
  <si>
    <t>Billet Info</t>
  </si>
  <si>
    <t>Margin</t>
  </si>
  <si>
    <t>Mark-Up</t>
  </si>
  <si>
    <t>Type</t>
  </si>
  <si>
    <t>Nominal Length</t>
  </si>
  <si>
    <t>Baffles/diffuser</t>
  </si>
  <si>
    <t>Color temp</t>
  </si>
  <si>
    <t>code</t>
  </si>
  <si>
    <t>Description</t>
  </si>
  <si>
    <t>Environment</t>
  </si>
  <si>
    <t>Optic</t>
  </si>
  <si>
    <t>Code</t>
  </si>
  <si>
    <t>Description/Step Light</t>
  </si>
  <si>
    <t>Description/Symetrical</t>
  </si>
  <si>
    <t>Description/opal</t>
  </si>
  <si>
    <t>Step Light</t>
  </si>
  <si>
    <t>Kick Reflector</t>
  </si>
  <si>
    <t>G/W</t>
  </si>
  <si>
    <t>HoneyComb</t>
  </si>
  <si>
    <t>Opal</t>
  </si>
  <si>
    <t>BXO</t>
  </si>
  <si>
    <t>Indoor, HoneyComb Opal</t>
  </si>
  <si>
    <t>Indoor</t>
  </si>
  <si>
    <t>HoneyComb Opal</t>
  </si>
  <si>
    <t>R</t>
  </si>
  <si>
    <t>Recessed with Trim</t>
  </si>
  <si>
    <t>06</t>
  </si>
  <si>
    <t>6"</t>
  </si>
  <si>
    <t>White</t>
  </si>
  <si>
    <t>L</t>
  </si>
  <si>
    <t>2.5W</t>
  </si>
  <si>
    <t>5W/ft</t>
  </si>
  <si>
    <t>120V</t>
  </si>
  <si>
    <t>A</t>
  </si>
  <si>
    <t>Non Dim - Integral Driver</t>
  </si>
  <si>
    <t>Flat White</t>
  </si>
  <si>
    <t>S</t>
  </si>
  <si>
    <t>Stealth</t>
  </si>
  <si>
    <t>10°</t>
  </si>
  <si>
    <t>8</t>
  </si>
  <si>
    <t>27</t>
  </si>
  <si>
    <t>2700K</t>
  </si>
  <si>
    <t>0</t>
  </si>
  <si>
    <t>No Emergency</t>
  </si>
  <si>
    <t>B</t>
  </si>
  <si>
    <t>Beginning with 3ft Feeding Whip</t>
  </si>
  <si>
    <t>Indoor, HoneyComb ,TIR</t>
  </si>
  <si>
    <t>HoneyComb TIR</t>
  </si>
  <si>
    <t>T</t>
  </si>
  <si>
    <t>Recessed Trimless</t>
  </si>
  <si>
    <t>12"</t>
  </si>
  <si>
    <t>Black</t>
  </si>
  <si>
    <t>M</t>
  </si>
  <si>
    <t>5W</t>
  </si>
  <si>
    <t>10W/ft</t>
  </si>
  <si>
    <t>U</t>
  </si>
  <si>
    <t>120/277V</t>
  </si>
  <si>
    <t>0-10V to 1% - Integral Driver</t>
  </si>
  <si>
    <t>Flat Black</t>
  </si>
  <si>
    <t>N</t>
  </si>
  <si>
    <t>20°</t>
  </si>
  <si>
    <t>9</t>
  </si>
  <si>
    <t>30</t>
  </si>
  <si>
    <t>3000K</t>
  </si>
  <si>
    <t>90 min Emergency</t>
  </si>
  <si>
    <t>Middle</t>
  </si>
  <si>
    <t>Indoor, Opal</t>
  </si>
  <si>
    <t>Surface Mounted</t>
  </si>
  <si>
    <t>18"</t>
  </si>
  <si>
    <t>Grey</t>
  </si>
  <si>
    <t>H</t>
  </si>
  <si>
    <t>7.5W</t>
  </si>
  <si>
    <t>15W/ft</t>
  </si>
  <si>
    <t>2</t>
  </si>
  <si>
    <t>220-240V</t>
  </si>
  <si>
    <t>C</t>
  </si>
  <si>
    <t>0-10V to 0.1% - Integral Driver</t>
  </si>
  <si>
    <t>Black Nickel</t>
  </si>
  <si>
    <t>28°</t>
  </si>
  <si>
    <t>35°</t>
  </si>
  <si>
    <t>35</t>
  </si>
  <si>
    <t>3500K</t>
  </si>
  <si>
    <t>X</t>
  </si>
  <si>
    <t>E</t>
  </si>
  <si>
    <t>End</t>
  </si>
  <si>
    <t>Indoor, Symmetrical Baffles</t>
  </si>
  <si>
    <t>Symmetrical Baffles</t>
  </si>
  <si>
    <t>P</t>
  </si>
  <si>
    <t>Pendant</t>
  </si>
  <si>
    <t>24"</t>
  </si>
  <si>
    <t>Custom RAL</t>
  </si>
  <si>
    <t>V</t>
  </si>
  <si>
    <t>10W</t>
  </si>
  <si>
    <t>20W/ft</t>
  </si>
  <si>
    <t>D</t>
  </si>
  <si>
    <t>Dali to 1% - Integral Driver</t>
  </si>
  <si>
    <t>Specular Chrome</t>
  </si>
  <si>
    <t>F</t>
  </si>
  <si>
    <t>50°</t>
  </si>
  <si>
    <t>40</t>
  </si>
  <si>
    <t>4000K</t>
  </si>
  <si>
    <t>Single with 3ft Feeding Whip</t>
  </si>
  <si>
    <t>Indoor, Asymmetrical Baffles</t>
  </si>
  <si>
    <t>Asymmetrical Baffles</t>
  </si>
  <si>
    <t>Millwork</t>
  </si>
  <si>
    <t>30"</t>
  </si>
  <si>
    <t>4.5W</t>
  </si>
  <si>
    <t>9W/ft</t>
  </si>
  <si>
    <t>ELV - Integral Driver</t>
  </si>
  <si>
    <t>Bright Gold</t>
  </si>
  <si>
    <t>10°x28°</t>
  </si>
  <si>
    <t>25°x45°</t>
  </si>
  <si>
    <t>Elliptical</t>
  </si>
  <si>
    <t>WD</t>
  </si>
  <si>
    <t>1800K-3000K</t>
  </si>
  <si>
    <t>BHO</t>
  </si>
  <si>
    <t>Outdoor, HoneyComb Opal</t>
  </si>
  <si>
    <t>Outdoor, IP67</t>
  </si>
  <si>
    <t>Wall Mounted</t>
  </si>
  <si>
    <t>36"</t>
  </si>
  <si>
    <t>9W</t>
  </si>
  <si>
    <t>18W/ft</t>
  </si>
  <si>
    <t>DMX - Integral Driver</t>
  </si>
  <si>
    <t>Diffuse Gold</t>
  </si>
  <si>
    <t>Grazer</t>
  </si>
  <si>
    <t>10°x36°</t>
  </si>
  <si>
    <t>TW</t>
  </si>
  <si>
    <t>2700K-5000K</t>
  </si>
  <si>
    <t>Outdoor, HoneyComb TIR</t>
  </si>
  <si>
    <t>I</t>
  </si>
  <si>
    <t>Inground</t>
  </si>
  <si>
    <t>42"</t>
  </si>
  <si>
    <t>Lutron - Integral Driver</t>
  </si>
  <si>
    <t>Stealth + Louver</t>
  </si>
  <si>
    <t>CC</t>
  </si>
  <si>
    <t>RGBW</t>
  </si>
  <si>
    <t>Outdoor, Opal</t>
  </si>
  <si>
    <t xml:space="preserve">Wall Recessed With Trim </t>
  </si>
  <si>
    <t>48"</t>
  </si>
  <si>
    <t>Non Dim - Remote Driver</t>
  </si>
  <si>
    <t>Asymmetric</t>
  </si>
  <si>
    <t>Outdoor, Symmetrical Baffles</t>
  </si>
  <si>
    <t>Wall Recessed Trimless</t>
  </si>
  <si>
    <t>54"</t>
  </si>
  <si>
    <t>0-10V to 1% - Remote Driver</t>
  </si>
  <si>
    <t>Silver</t>
  </si>
  <si>
    <t>Washer</t>
  </si>
  <si>
    <t>60°</t>
  </si>
  <si>
    <t>Outdoor, Asymmetrical Baffles</t>
  </si>
  <si>
    <t>60"</t>
  </si>
  <si>
    <t>J</t>
  </si>
  <si>
    <t>0-10V to 0.1% - Remote Driver</t>
  </si>
  <si>
    <t>Path</t>
  </si>
  <si>
    <t>BKO</t>
  </si>
  <si>
    <t>ELV - Remote Driver</t>
  </si>
  <si>
    <t>BKH</t>
  </si>
  <si>
    <t>Indoor, HoneyComb, TIR</t>
  </si>
  <si>
    <t>K</t>
  </si>
  <si>
    <t>Dali to 1% - Remote Driver</t>
  </si>
  <si>
    <t>BJO</t>
  </si>
  <si>
    <t>DMX - Remote Driver</t>
  </si>
  <si>
    <t>BJS</t>
  </si>
  <si>
    <t>Lutron - Remote Driver</t>
  </si>
  <si>
    <t>BJW</t>
  </si>
  <si>
    <t>BIK</t>
  </si>
  <si>
    <t>Indoor, Stealth</t>
  </si>
  <si>
    <t>BOP</t>
  </si>
  <si>
    <t>Outdoor, Step Light</t>
  </si>
  <si>
    <t>BOK</t>
  </si>
  <si>
    <t>Outdoor, Stealth</t>
  </si>
  <si>
    <t>1</t>
  </si>
  <si>
    <t>3</t>
  </si>
  <si>
    <t>4</t>
  </si>
  <si>
    <t>5</t>
  </si>
  <si>
    <t>6</t>
  </si>
  <si>
    <t>7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</si>
  <si>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</si>
  <si>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</si>
  <si>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</si>
  <si>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</si>
  <si>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</si>
  <si>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</si>
  <si>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</si>
  <si>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</si>
  <si>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</si>
  <si>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</si>
  <si>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</si>
  <si>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</si>
  <si>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</si>
  <si>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</si>
  <si>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</si>
  <si>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</si>
  <si>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</si>
  <si>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</si>
  <si>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</si>
  <si>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31</t>
  </si>
  <si>
    <t>32</t>
  </si>
  <si>
    <t>33</t>
  </si>
  <si>
    <t>34</t>
  </si>
  <si>
    <t>36</t>
  </si>
  <si>
    <t>37</t>
  </si>
  <si>
    <t>38</t>
  </si>
  <si>
    <t>39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</si>
  <si>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</si>
  <si>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</si>
  <si>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</si>
  <si>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</si>
  <si>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</si>
  <si>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</si>
  <si>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</si>
  <si>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</si>
  <si>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</si>
  <si>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</si>
  <si>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HoneyComb Indoor Opal</t>
  </si>
  <si>
    <t>BXO, BKO</t>
  </si>
  <si>
    <t>R,T,S,P,M,W,I</t>
  </si>
  <si>
    <t>A,E,H,L</t>
  </si>
  <si>
    <t>HoneyComb indoor TIR</t>
  </si>
  <si>
    <t>B,C,D,F,G,I,J,K,M,N</t>
  </si>
  <si>
    <t>BXH, BKH</t>
  </si>
  <si>
    <t>BIOT960WLUBOE309B</t>
  </si>
  <si>
    <t>BIO, BOO, BJO</t>
  </si>
  <si>
    <t>BISS216GHUBNS9300</t>
  </si>
  <si>
    <t>Sym. Baffles</t>
  </si>
  <si>
    <t>Return to Main</t>
  </si>
  <si>
    <t>BIS, BOS, BJS</t>
  </si>
  <si>
    <t>Asym. Baffles</t>
  </si>
  <si>
    <t>BIW, BOW, BJW</t>
  </si>
  <si>
    <t>Indoor Billet</t>
  </si>
  <si>
    <t>BXO, BXH, BIO, BIS, BIW, BKO, BKH, BJO, BJS, BJW</t>
  </si>
  <si>
    <t>Outdoor Billet</t>
  </si>
  <si>
    <t>BHO, BHS, BOO, BOS, BOW</t>
  </si>
  <si>
    <t>HoneyComb Outdoor Opal</t>
  </si>
  <si>
    <t>HoneyComb Outdoor TIR</t>
  </si>
  <si>
    <t xml:space="preserve"> BHS</t>
  </si>
  <si>
    <t>Indoor Billet Without Honeycomb</t>
  </si>
  <si>
    <t xml:space="preserve"> BIO, BIS, BIW, BJO, BJS, BJW</t>
  </si>
  <si>
    <t>Outdoor Billet Without Honeycomb</t>
  </si>
  <si>
    <t>BOO,BOS,BOW</t>
  </si>
  <si>
    <t>Indoor Remote Billet</t>
  </si>
  <si>
    <t>BKO, BKH, BJO, BJS, BJW</t>
  </si>
  <si>
    <t>Detailed BOM Sheet</t>
  </si>
  <si>
    <t>Document Code</t>
  </si>
  <si>
    <t>BM-01</t>
  </si>
  <si>
    <t>not used in the coding</t>
  </si>
  <si>
    <t>Item</t>
  </si>
  <si>
    <t>New ERP</t>
  </si>
  <si>
    <t>Category</t>
  </si>
  <si>
    <t>Output Power</t>
  </si>
  <si>
    <t>Baffles Diffuser</t>
  </si>
  <si>
    <t>Finishing Color</t>
  </si>
  <si>
    <t>pc or linear</t>
  </si>
  <si>
    <t>Repeat
(Dual In Line cases)</t>
  </si>
  <si>
    <t>Increment /ft</t>
  </si>
  <si>
    <t>Fixed basic length/pc</t>
  </si>
  <si>
    <t>Price / ft or /pc</t>
  </si>
  <si>
    <t>Supplier</t>
  </si>
  <si>
    <t>Weight (Kg)</t>
  </si>
  <si>
    <t>Unit cost</t>
  </si>
  <si>
    <t>Multiplier GA</t>
  </si>
  <si>
    <t>Multiplier LB</t>
  </si>
  <si>
    <t>AP005ALC</t>
  </si>
  <si>
    <t>Aluminum Profile</t>
  </si>
  <si>
    <t>BXO,BXH,BKO,BKH</t>
  </si>
  <si>
    <t>linear</t>
  </si>
  <si>
    <t>Indoor Main Profile , Linear Meter, Alcomet AD, 22001</t>
  </si>
  <si>
    <t>Alcomet</t>
  </si>
  <si>
    <t>BIO,BIS,BIW,BJO,BJS,BJW</t>
  </si>
  <si>
    <t>AP006ALC</t>
  </si>
  <si>
    <t>S,P,M,W</t>
  </si>
  <si>
    <t>A,B,C,D,E,F,G</t>
  </si>
  <si>
    <t>Indoor Surface Mounted Profile , Linear Meter, Alcomet AD, 22003</t>
  </si>
  <si>
    <t>B,E</t>
  </si>
  <si>
    <t>BIO,BIS,BIW,BIK</t>
  </si>
  <si>
    <t>AP007ALC</t>
  </si>
  <si>
    <t>BIO,BIS,BIW,BJO,BJS,BJW,BIK</t>
  </si>
  <si>
    <t>Indoor Trim External Profile , Linear Meter, Alcomet AD, 22004</t>
  </si>
  <si>
    <t>AP008ALC</t>
  </si>
  <si>
    <t>BJO,BJS,BJW,BIK</t>
  </si>
  <si>
    <t>S,P,M</t>
  </si>
  <si>
    <t>H,I,J,K,L,M,N</t>
  </si>
  <si>
    <t>Indoor Remote Profile , Linear Meter, Alcomet AD, 22006</t>
  </si>
  <si>
    <t>BKO,BKH</t>
  </si>
  <si>
    <t>AP009ALC</t>
  </si>
  <si>
    <t>Indoor Trimless External Profile , Linear Meter, Alcomet AD, 22008</t>
  </si>
  <si>
    <t>BXO,BKO,BXH,BKH</t>
  </si>
  <si>
    <t>AP013EMS</t>
  </si>
  <si>
    <t>E,F</t>
  </si>
  <si>
    <t>S,L</t>
  </si>
  <si>
    <t>Indoor/Outdoor Stealth Reflector, Linear Meter, EASTERN METAL SUPPLY OF NC, LLC (EMS), 17090</t>
  </si>
  <si>
    <t>AP010EMS</t>
  </si>
  <si>
    <t>Indoor/Outdoor Kick Reflector Profile 1, Linear Meter, EASTERN METAL SUPPLY OF NC, LLC (EMS), 17091</t>
  </si>
  <si>
    <t>AP011EMS</t>
  </si>
  <si>
    <t>Indoor/Outdoor Kick Reflector Profile 2, Linear Meter, EASTERN METAL SUPPLY OF NC, LLC (EMS), 17093</t>
  </si>
  <si>
    <t>BIK,BOK</t>
  </si>
  <si>
    <t>Indoor/Outdoor Kick Reflector, Linear Meter, EASTERN METAL SUPPLY OF NC, LLC (EMS), 17090</t>
  </si>
  <si>
    <t>AP000ALC</t>
  </si>
  <si>
    <t>Outdoor Main Profile, Linear Meter, Alcomet AD, 17011</t>
  </si>
  <si>
    <t>BOO,BOS,BOW,BOK</t>
  </si>
  <si>
    <t>BHO, BHS</t>
  </si>
  <si>
    <t>AP004ALC</t>
  </si>
  <si>
    <t>BOO, BOS, BOW,BOK</t>
  </si>
  <si>
    <t>Outdoor Housing Profile , Linear Meter, Alcomet AD, 17041</t>
  </si>
  <si>
    <t>AP001ALC</t>
  </si>
  <si>
    <t>Outdoor Side Clamps , Linear Meter, Alcomet AD, 17012</t>
  </si>
  <si>
    <t>T,S,P,M,W,I</t>
  </si>
  <si>
    <t>BHO,BHS</t>
  </si>
  <si>
    <t>AP003ALC</t>
  </si>
  <si>
    <t>BHO,BHS,BOO,BOS,BOW,BOK</t>
  </si>
  <si>
    <t>S,P,W</t>
  </si>
  <si>
    <t>12,18</t>
  </si>
  <si>
    <t>Outdoor Driver Profile, Linear Meter, Alcomet AD, 17021</t>
  </si>
  <si>
    <t>R,T,M,I</t>
  </si>
  <si>
    <t>24,30</t>
  </si>
  <si>
    <t>36,42,48</t>
  </si>
  <si>
    <t>54,60</t>
  </si>
  <si>
    <t>AP002ALC</t>
  </si>
  <si>
    <t>Outdoor Trim Side Clamps , Linear Meter, Alcomet AD, 17017</t>
  </si>
  <si>
    <t>MH000BLD</t>
  </si>
  <si>
    <t>Galv Steel, 1mm</t>
  </si>
  <si>
    <t>BHO, BHS, BOO, BOS, BOW,BOK</t>
  </si>
  <si>
    <t>pc</t>
  </si>
  <si>
    <t>Outdoor Metal Housing, Pendant,  615mm, Single, Bold Lighting LLC, 17018</t>
  </si>
  <si>
    <t>N/A</t>
  </si>
  <si>
    <t>MH001BLD</t>
  </si>
  <si>
    <t>Outdoor Metal Housing, Pendant,  765mm, Single, Bold Lighting LLC, 17018</t>
  </si>
  <si>
    <t>MH002BLD</t>
  </si>
  <si>
    <t>Outdoor Metal Housing, Pendant,  915mm, Single, Bold Lighting LLC, 17018</t>
  </si>
  <si>
    <t>MH003BLD</t>
  </si>
  <si>
    <t>Outdoor Metal Housing, Pendant,  1065mm, Single, Bold Lighting LLC, 17018</t>
  </si>
  <si>
    <t>MH004BLD</t>
  </si>
  <si>
    <t>Outdoor Metal Housing, Pendant,  1215mm, Single, Bold Lighting LLC, 17018</t>
  </si>
  <si>
    <t>MH005BLD</t>
  </si>
  <si>
    <t>Outdoor Metal Housing, Pendant,  1365mm, Single, Bold Lighting LLC, 17018</t>
  </si>
  <si>
    <t>MH006BLD</t>
  </si>
  <si>
    <t>Outdoor Metal Housing, Pendant,  1515mm, Single, Bold Lighting LLC, 17018</t>
  </si>
  <si>
    <t>MH007BLD</t>
  </si>
  <si>
    <t>Outdoor Metal Housing, Pendant,  617mm, Beginning, Bold Lighting LLC, 17018</t>
  </si>
  <si>
    <t>MH008BLD</t>
  </si>
  <si>
    <t>Outdoor Metal Housing, Pendant,  767mm, Beginning, Bold Lighting LLC, 17018</t>
  </si>
  <si>
    <t>MH009BLD</t>
  </si>
  <si>
    <t>Outdoor Metal Housing, Pendant,  917mm, Beginning, Bold Lighting LLC, 17018</t>
  </si>
  <si>
    <t>MH010BLD</t>
  </si>
  <si>
    <t>Outdoor Metal Housing, Pendant,  1067mm, Beginning, Bold Lighting LLC, 17018</t>
  </si>
  <si>
    <t>MH011BLD</t>
  </si>
  <si>
    <t>Outdoor Metal Housing, Pendant,  1217mm, Beginning, Bold Lighting LLC, 17018</t>
  </si>
  <si>
    <t>MH012BLD</t>
  </si>
  <si>
    <t>Outdoor Metal Housing, Pendant,  1367mm, Beginning, Bold Lighting LLC, 17018</t>
  </si>
  <si>
    <t>MH013BLD</t>
  </si>
  <si>
    <t>Outdoor Metal Housing, Pendant,  1517mm, Beginning, Bold Lighting LLC, 17018</t>
  </si>
  <si>
    <t>MH014BLD</t>
  </si>
  <si>
    <t>Outdoor Metal Housing, Pendant,  618mm, Middle, Bold Lighting LLC, 17018</t>
  </si>
  <si>
    <t>MH015BLD</t>
  </si>
  <si>
    <t>Outdoor Metal Housing, Pendant,  768mm, Middle, Bold Lighting LLC, 17018</t>
  </si>
  <si>
    <t>MH016BLD</t>
  </si>
  <si>
    <t>Outdoor Metal Housing, Pendant,  918mm, Middle, Bold Lighting LLC, 17018</t>
  </si>
  <si>
    <t>MH017BLD</t>
  </si>
  <si>
    <t>Outdoor Metal Housing, Pendant,  1068mm, Middle, Bold Lighting LLC, 17018</t>
  </si>
  <si>
    <t>MH018BLD</t>
  </si>
  <si>
    <t>Outdoor Metal Housing, Pendant,  1218mm, Middle, Bold Lighting LLC, 17018</t>
  </si>
  <si>
    <t>MH019BLD</t>
  </si>
  <si>
    <t>Outdoor Metal Housing, Pendant,  1368mm, Middle, Bold Lighting LLC, 17018</t>
  </si>
  <si>
    <t>MH020BLD</t>
  </si>
  <si>
    <t>Outdoor Metal Housing, Pendant,  1518mm, Middle, Bold Lighting LLC, 17018</t>
  </si>
  <si>
    <t>MH099BLD</t>
  </si>
  <si>
    <t>Outdoor Metal Housing, Surface Mounted,  315mm, Single, Bold Lighting LLC, 17019</t>
  </si>
  <si>
    <t>MH100BLD</t>
  </si>
  <si>
    <t>Outdoor Metal Housing, Surface Mounted,  465mm, Single, Bold Lighting LLC, 17019</t>
  </si>
  <si>
    <t>MH021BLD</t>
  </si>
  <si>
    <t>Outdoor Metal Housing, Surface Mounted,  615mm, Single, Bold Lighting LLC, 17019</t>
  </si>
  <si>
    <t>MH022BLD</t>
  </si>
  <si>
    <t>Outdoor Metal Housing, Surface Mounted,  765mm, Single, Bold Lighting LLC, 17019</t>
  </si>
  <si>
    <t>MH023BLD</t>
  </si>
  <si>
    <t>Outdoor Metal Housing, Surface Mounted,  915mm, Single, Bold Lighting LLC, 17019</t>
  </si>
  <si>
    <t>MH024BLD</t>
  </si>
  <si>
    <t>Outdoor Metal Housing, Surface Mounted,  1065mm, Single, Bold Lighting LLC, 17019</t>
  </si>
  <si>
    <t>MH025BLD</t>
  </si>
  <si>
    <t>Outdoor Metal Housing, Surface Mounted,  1215mm, Single, Bold Lighting LLC, 17019</t>
  </si>
  <si>
    <t>MH026BLD</t>
  </si>
  <si>
    <t>Outdoor Metal Housing, Surface Mounted,  1365mm, Single, Bold Lighting LLC, 17019</t>
  </si>
  <si>
    <t>MH027BLD</t>
  </si>
  <si>
    <t>Outdoor Metal Housing, Surface Mounted,  1515mm, Single, Bold Lighting LLC, 17019</t>
  </si>
  <si>
    <t>MH028BLD</t>
  </si>
  <si>
    <t>Outdoor Metal Housing, Surface Mounted,  617mm, Beginning, Bold Lighting LLC, 17019</t>
  </si>
  <si>
    <t>MH029BLD</t>
  </si>
  <si>
    <t>Outdoor Metal Housing, Surface Mounted,  767mm, Beginning, Bold Lighting LLC, 17019</t>
  </si>
  <si>
    <t>MH030BLD</t>
  </si>
  <si>
    <t>Outdoor Metal Housing, Surface Mounted,  917mm, Beginning, Bold Lighting LLC, 17019</t>
  </si>
  <si>
    <t>MH031BLD</t>
  </si>
  <si>
    <t>Outdoor Metal Housing, Surface Mounted,  1067mm, Beginning, Bold Lighting LLC, 17019</t>
  </si>
  <si>
    <t>MH032BLD</t>
  </si>
  <si>
    <t>Outdoor Metal Housing, Surface Mounted,  1217mm, Beginning, Bold Lighting LLC, 17019</t>
  </si>
  <si>
    <t>MH033BLD</t>
  </si>
  <si>
    <t>Outdoor Metal Housing, Surface Mounted,  1367mm, Beginning, Bold Lighting LLC, 17019</t>
  </si>
  <si>
    <t>MH034BLD</t>
  </si>
  <si>
    <t>Outdoor Metal Housing, Surface Mounted,  1517mm, Beginning, Bold Lighting LLC, 17019</t>
  </si>
  <si>
    <t>MH035BLD</t>
  </si>
  <si>
    <t>Outdoor Metal Housing, Surface Mounted,  618mm, Middle, Bold Lighting LLC, 17019</t>
  </si>
  <si>
    <t>MH036BLD</t>
  </si>
  <si>
    <t>Outdoor Metal Housing, Surface Mounted,  768mm, Middle, Bold Lighting LLC, 17019</t>
  </si>
  <si>
    <t>MH037BLD</t>
  </si>
  <si>
    <t>Outdoor Metal Housing, Surface Mounted,  918mm, Middle, Bold Lighting LLC, 17019</t>
  </si>
  <si>
    <t>MH038BLD</t>
  </si>
  <si>
    <t>Outdoor Metal Housing, Surface Mounted,  1068mm, Middle, Bold Lighting LLC, 17019</t>
  </si>
  <si>
    <t>MH039BLD</t>
  </si>
  <si>
    <t>Outdoor Metal Housing, Surface Mounted,  1218mm, Middle, Bold Lighting LLC, 17019</t>
  </si>
  <si>
    <t>MH040BLD</t>
  </si>
  <si>
    <t>Outdoor Metal Housing, Surface Mounted,  1368mm, Middle, Bold Lighting LLC, 17019</t>
  </si>
  <si>
    <t>MH041BLD</t>
  </si>
  <si>
    <t>Outdoor Metal Housing, Surface Mounted,  1518mm, Middle, Bold Lighting LLC, 17019</t>
  </si>
  <si>
    <t>MH042BLD</t>
  </si>
  <si>
    <t>Outdoor Metal Housing, Wall Mounted,  615mm, Single, Bold Lighting LLC, 17054</t>
  </si>
  <si>
    <t>MH043BLD</t>
  </si>
  <si>
    <t>Outdoor Metal Housing, Wall Mounted,  765mm, Single, Bold Lighting LLC, 17054</t>
  </si>
  <si>
    <t>MH044BLD</t>
  </si>
  <si>
    <t>Outdoor Metal Housing, Wall Mounted,  915mm, Single, Bold Lighting LLC, 17054</t>
  </si>
  <si>
    <t>MH045BLD</t>
  </si>
  <si>
    <t>Outdoor Metal Housing, Wall Mounted,  1065mm, Single, Bold Lighting LLC, 17054</t>
  </si>
  <si>
    <t>MH046BLD</t>
  </si>
  <si>
    <t>Outdoor Metal Housing, Wall Mounted,  1215mm, Single, Bold Lighting LLC, 17054</t>
  </si>
  <si>
    <t>MH047BLD</t>
  </si>
  <si>
    <t>Outdoor Metal Housing, Wall Mounted,  1365mm, Single, Bold Lighting LLC, 17054</t>
  </si>
  <si>
    <t>MH048BLD</t>
  </si>
  <si>
    <t>Outdoor Metal Housing, Wall Mounted,  1515mm, Single, Bold Lighting LLC, 17054</t>
  </si>
  <si>
    <t>MH049BLD</t>
  </si>
  <si>
    <t>Outdoor Metal Housing, Wall Mounted,  617mm, Beginning, Bold Lighting LLC, 17054</t>
  </si>
  <si>
    <t>MH050BLD</t>
  </si>
  <si>
    <t>Outdoor Metal Housing, Wall Mounted,  767mm, Beginning, Bold Lighting LLC, 17054</t>
  </si>
  <si>
    <t>MH051BLD</t>
  </si>
  <si>
    <t>Outdoor Metal Housing, Wall Mounted,  917mm, Beginning, Bold Lighting LLC, 17054</t>
  </si>
  <si>
    <t>MH052BLD</t>
  </si>
  <si>
    <t>Outdoor Metal Housing, Wall Mounted,  1067mm, Beginning, Bold Lighting LLC, 17054</t>
  </si>
  <si>
    <t>MH053BLD</t>
  </si>
  <si>
    <t>Outdoor Metal Housing, Wall Mounted,  1217mm, Beginning, Bold Lighting LLC, 17054</t>
  </si>
  <si>
    <t>MH054BLD</t>
  </si>
  <si>
    <t>Outdoor Metal Housing, Wall Mounted,  1367mm, Beginning, Bold Lighting LLC, 17054</t>
  </si>
  <si>
    <t>MH055BLD</t>
  </si>
  <si>
    <t>Outdoor Metal Housing, Wall Mounted,  1517mm, Beginning, Bold Lighting LLC, 17054</t>
  </si>
  <si>
    <t>MH056BLD</t>
  </si>
  <si>
    <t>Outdoor Metal Housing, Wall Mounted,  617mm, End, Bold Lighting LLC, 17054</t>
  </si>
  <si>
    <t>MH057BLD</t>
  </si>
  <si>
    <t>Outdoor Metal Housing, Wall Mounted,  767mm, End, Bold Lighting LLC, 17054</t>
  </si>
  <si>
    <t>MH058BLD</t>
  </si>
  <si>
    <t>Outdoor Metal Housing, Wall Mounted,  917mm, End, Bold Lighting LLC, 17054</t>
  </si>
  <si>
    <t>MH059BLD</t>
  </si>
  <si>
    <t>Outdoor Metal Housing, Wall Mounted,  1067mm, End, Bold Lighting LLC, 17054</t>
  </si>
  <si>
    <t>MH060BLD</t>
  </si>
  <si>
    <t>Outdoor Metal Housing, Wall Mounted,  1217mm, End, Bold Lighting LLC, 17054</t>
  </si>
  <si>
    <t>MH061BLD</t>
  </si>
  <si>
    <t>Outdoor Metal Housing, Wall Mounted,  1367mm, End, Bold Lighting LLC, 17054</t>
  </si>
  <si>
    <t>MH062BLD</t>
  </si>
  <si>
    <t>Outdoor Metal Housing, Wall Mounted,  1517mm, End, Bold Lighting LLC, 17054</t>
  </si>
  <si>
    <t>MH063BLD</t>
  </si>
  <si>
    <t>Outdoor Metal Housing, Wall Mounted,  618mm, Middle, Bold Lighting LLC, 17054</t>
  </si>
  <si>
    <t>MH064BLD</t>
  </si>
  <si>
    <t>Outdoor Metal Housing, Wall Mounted,  768mm, Middle, Bold Lighting LLC, 17054</t>
  </si>
  <si>
    <t>MH065BLD</t>
  </si>
  <si>
    <t>Outdoor Metal Housing, Wall Mounted,  918mm, Middle, Bold Lighting LLC, 17054</t>
  </si>
  <si>
    <t>MH066BLD</t>
  </si>
  <si>
    <t>Outdoor Metal Housing, Wall Mounted,  1068mm, Middle, Bold Lighting LLC, 17054</t>
  </si>
  <si>
    <t>MH067BLD</t>
  </si>
  <si>
    <t>Outdoor Metal Housing, Wall Mounted,  1218mm, Middle, Bold Lighting LLC, 17054</t>
  </si>
  <si>
    <t>MH068BLD</t>
  </si>
  <si>
    <t>Outdoor Metal Housing, Wall Mounted,  1368mm, Middle, Bold Lighting LLC, 17054</t>
  </si>
  <si>
    <t>MH069BLD</t>
  </si>
  <si>
    <t>Outdoor Metal Housing, Wall Mounted,  1518mm, Middle, Bold Lighting LLC, 17054</t>
  </si>
  <si>
    <t>MH070BLD</t>
  </si>
  <si>
    <t>SS304, 1mm</t>
  </si>
  <si>
    <t>F,E</t>
  </si>
  <si>
    <t>Outdoor Metal Housing, Trimless,  208.5mm, 0.6mm Thickness, Single, Bold Lighting LLC, 17801</t>
  </si>
  <si>
    <t>17801-R</t>
  </si>
  <si>
    <t>MH101BLD</t>
  </si>
  <si>
    <t>-</t>
  </si>
  <si>
    <t>Outdoor Metal Housing, Recessed with Trim,  208.5mm, 1mm Thickness, Single, Bold Lighting LLC, 17801-R</t>
  </si>
  <si>
    <t>MH071BLD</t>
  </si>
  <si>
    <t>Galv Steel, 0.6mm</t>
  </si>
  <si>
    <t>T,M</t>
  </si>
  <si>
    <t>Outdoor Metal Housing, Trimless,  322mm, Single, Bold Lighting LLC, 17801</t>
  </si>
  <si>
    <t>MH072BLD</t>
  </si>
  <si>
    <t>Outdoor Metal Housing, Trimless,  472mm, Single, Bold Lighting LLC, 17801</t>
  </si>
  <si>
    <t>MH073BLD</t>
  </si>
  <si>
    <t>Outdoor Metal Housing, Trimless,  622mm, Single, Bold Lighting LLC, 17801</t>
  </si>
  <si>
    <t>MH074BLD</t>
  </si>
  <si>
    <t>Outdoor Metal Housing, Trimless,  772mm, Single, Bold Lighting LLC, 17801</t>
  </si>
  <si>
    <t>MH075BLD</t>
  </si>
  <si>
    <t>Outdoor Metal Housing, Trimless,  922mm, Single, Bold Lighting LLC, 17801</t>
  </si>
  <si>
    <t>MH076BLD</t>
  </si>
  <si>
    <t>Outdoor Metal Housing, Trimless,  1072mm, Single, Bold Lighting LLC, 17801</t>
  </si>
  <si>
    <t>MH077BLD</t>
  </si>
  <si>
    <t>Outdoor Metal Housing, Trimless,  1222mm, Single, Bold Lighting LLC, 17801</t>
  </si>
  <si>
    <t>MH078BLD</t>
  </si>
  <si>
    <t>Outdoor Metal Housing, Trimless,  1372mm, Single, Bold Lighting LLC, 17801</t>
  </si>
  <si>
    <t>MH079BLD</t>
  </si>
  <si>
    <t>Outdoor Metal Housing, Trimless,  1522mm, Single, Bold Lighting LLC, 17801</t>
  </si>
  <si>
    <t>MH080BLD</t>
  </si>
  <si>
    <t>Outdoor Metal Housing, Trimless,  319mm, Middle, Bold Lighting LLC, 17801</t>
  </si>
  <si>
    <t>MH081BLD</t>
  </si>
  <si>
    <t>Outdoor Metal Housing, Trimless,  469mm, Middle, Bold Lighting LLC, 17801</t>
  </si>
  <si>
    <t>MH082BLD</t>
  </si>
  <si>
    <t>Outdoor Metal Housing, Trimless,  619mm, Middle, Bold Lighting LLC, 17801</t>
  </si>
  <si>
    <t>MH083BLD</t>
  </si>
  <si>
    <t>Outdoor Metal Housing, Trimless,  769mm, Middle, Bold Lighting LLC, 17801</t>
  </si>
  <si>
    <t>MH084BLD</t>
  </si>
  <si>
    <t>Outdoor Metal Housing, Trimless,  919mm, Middle, Bold Lighting LLC, 17801</t>
  </si>
  <si>
    <t>MH085BLD</t>
  </si>
  <si>
    <t>Outdoor Metal Housing, Trimless,  1069mm, Middle, Bold Lighting LLC, 17801</t>
  </si>
  <si>
    <t>MH086BLD</t>
  </si>
  <si>
    <t>Outdoor Metal Housing, Trimless,  1219mm, Middle, Bold Lighting LLC, 17801</t>
  </si>
  <si>
    <t>MH087BLD</t>
  </si>
  <si>
    <t>Outdoor Metal Housing, Trimless,  1369mm, Middle, Bold Lighting LLC, 17801</t>
  </si>
  <si>
    <t>MH088BLD</t>
  </si>
  <si>
    <t>Outdoor Metal Housing, Trimless,  1519mm, Middle, Bold Lighting LLC, 17801</t>
  </si>
  <si>
    <t>MH089BLD</t>
  </si>
  <si>
    <t>Outdoor Metal Housing, Trimless,  321mm, Beginning, Bold Lighting LLC, 17801</t>
  </si>
  <si>
    <t>MH090BLD</t>
  </si>
  <si>
    <t>Outdoor Metal Housing, Trimless,  471mm, Beginning, Bold Lighting LLC, 17801</t>
  </si>
  <si>
    <t>MH091BLD</t>
  </si>
  <si>
    <t>Outdoor Metal Housing, Trimless,  621mm, Beginning, Bold Lighting LLC, 17801</t>
  </si>
  <si>
    <t>MH092BLD</t>
  </si>
  <si>
    <t>Outdoor Metal Housing, Trimless,  771mm, Beginning, Bold Lighting LLC, 17801</t>
  </si>
  <si>
    <t>MH093BLD</t>
  </si>
  <si>
    <t>Outdoor Metal Housing, Trimless,  921mm, Beginning, Bold Lighting LLC, 17801</t>
  </si>
  <si>
    <t>MH094BLD</t>
  </si>
  <si>
    <t>Outdoor Metal Housing, Trimless,  1071mm, Beginning, Bold Lighting LLC, 17801</t>
  </si>
  <si>
    <t>MH095BLD</t>
  </si>
  <si>
    <t>Outdoor Metal Housing, Trimless,  1221mm, Beginning, Bold Lighting LLC, 17801</t>
  </si>
  <si>
    <t>MH096BLD</t>
  </si>
  <si>
    <t>Outdoor Metal Housing, Trimless,  1371mm, Beginning, Bold Lighting LLC, 17801</t>
  </si>
  <si>
    <t>MH097BLD</t>
  </si>
  <si>
    <t>Outdoor Metal Housing, Trimless,  1521mm, Beginning, Bold Lighting LLC, 17801</t>
  </si>
  <si>
    <t>GLASS: 17014</t>
  </si>
  <si>
    <t>TG001BLD</t>
  </si>
  <si>
    <t>Glass</t>
  </si>
  <si>
    <t>Tempered Glass, 162mm Length, 62mm Width, 6mm Thickness, Bold Lighting LLC, 17014</t>
  </si>
  <si>
    <t>Changzhou Tianxiang Special Glass Co., Ltd</t>
  </si>
  <si>
    <t>TG002BLD</t>
  </si>
  <si>
    <t>Tempered Glass, 312mm Length, 62mm Width, 6mm Thickness, Bold Lighting LLC, 17014</t>
  </si>
  <si>
    <t>TG003BLD</t>
  </si>
  <si>
    <t>Tempered Glass, 462mm Length, 62mm Width, 6mm Thickness, Bold Lighting LLC, 17014</t>
  </si>
  <si>
    <t>TG004BLD</t>
  </si>
  <si>
    <t>Tempered Glass, 612mm Length, 62mm Width, 6mm Thickness, Bold Lighting LLC, 17014</t>
  </si>
  <si>
    <t>TG005BLD</t>
  </si>
  <si>
    <t>Tempered Glass, 762mm Length, 62mm Width, 6mm Thickness, Bold Lighting LLC, 17014</t>
  </si>
  <si>
    <t>TG006BLD</t>
  </si>
  <si>
    <t>Tempered Glass, 912mm Length, 62mm Width, 6mm Thickness, Bold Lighting LLC, 17014</t>
  </si>
  <si>
    <t>TG007BLD</t>
  </si>
  <si>
    <t>Tempered Glass, 1062mm Length, 62mm Width, 6mm Thickness, Bold Lighting LLC, 17014</t>
  </si>
  <si>
    <t>TG008BLD</t>
  </si>
  <si>
    <t>Tempered Glass, 1212mm Length, 62mm Width, 6mm Thickness, Bold Lighting LLC, 17014</t>
  </si>
  <si>
    <t>TG009BLD</t>
  </si>
  <si>
    <t>Tempered Glass, 1362mm Length, 62mm Width, 6mm Thickness, Bold Lighting LLC, 17014</t>
  </si>
  <si>
    <t>TG010BLD</t>
  </si>
  <si>
    <t>Tempered Glass, 1512mm Length, 62mm Width, 6mm Thickness, Bold Lighting LLC, 17014</t>
  </si>
  <si>
    <t>Billet Opal PCB Sheet Metal:17902</t>
  </si>
  <si>
    <t>E22011</t>
  </si>
  <si>
    <t>PS010BLD</t>
  </si>
  <si>
    <t>Aluminum, 1.5mm</t>
  </si>
  <si>
    <t>BHO,BOO,BXO,BKO,BIO,BJO</t>
  </si>
  <si>
    <t>PCB Metal Sheet, Outdoor Opal and Honeycomb Opal, 300mm, Bold Lighting LLC, E22011</t>
  </si>
  <si>
    <t>PS011BLD</t>
  </si>
  <si>
    <t>PCB Metal Sheet, Outdoor Opal, 450mm, Bold Lighting LLC, E22011</t>
  </si>
  <si>
    <t>PS012BLD</t>
  </si>
  <si>
    <t>PCB Metal Sheet, Outdoor Opal and Honeycomb Opal, 600mm, Bold Lighting LLC, E22011</t>
  </si>
  <si>
    <t>PS013BLD</t>
  </si>
  <si>
    <t>PCB Metal Sheet, Outdoor Opal, 750mm, Bold Lighting LLC, E22011</t>
  </si>
  <si>
    <t>PS014BLD</t>
  </si>
  <si>
    <t>PCB Metal Sheet, Outdoor Opal and Honeycomb Opal, 900mm, Bold Lighting LLC, E22011</t>
  </si>
  <si>
    <t>PS015BLD</t>
  </si>
  <si>
    <t>PCB Metal Sheet, Outdoor Opal, 1050mm, Bold Lighting LLC, E22011</t>
  </si>
  <si>
    <t>PS016BLD</t>
  </si>
  <si>
    <t>PCB Metal Sheet, Outdoor Opal and Honeycomb Opal, 1200mm, Bold Lighting LLC, E22011</t>
  </si>
  <si>
    <t>PS017BLD</t>
  </si>
  <si>
    <t>PCB Metal Sheet, Outdoor Opal, 1350mm, Bold Lighting LLC, E22011</t>
  </si>
  <si>
    <t>PS018BLD</t>
  </si>
  <si>
    <t>PCB Metal Sheet, Outdoor Opal and Honeycomb Opal, 1500mm, Bold Lighting LLC, E22011</t>
  </si>
  <si>
    <t>Billet Asymmetrical PCB Sheet Metal:E17002</t>
  </si>
  <si>
    <t>E17002</t>
  </si>
  <si>
    <t>PS046BLD</t>
  </si>
  <si>
    <t>PCB Metal Sheet, Outdoor Asymmetric, 150mm, Bold Lighting LLC, E17002</t>
  </si>
  <si>
    <t>PS047BLD</t>
  </si>
  <si>
    <t>PCB Metal Sheet, Outdoor Asymmetric, 300mm, Bold Lighting LLC, E17002</t>
  </si>
  <si>
    <t>PS048BLD</t>
  </si>
  <si>
    <t>PCB Metal Sheet, Outdoor Asymmetric, 450mm, Bold Lighting LLC, E17002</t>
  </si>
  <si>
    <t>PS049BLD</t>
  </si>
  <si>
    <t>PCB Metal Sheet, Outdoor Asymmetric, 600mm, Bold Lighting LLC, E17002</t>
  </si>
  <si>
    <t>PS050BLD</t>
  </si>
  <si>
    <t>PCB Metal Sheet, Outdoor Asymmetric, 750mm, Bold Lighting LLC, E17002</t>
  </si>
  <si>
    <t>PS051BLD</t>
  </si>
  <si>
    <t>PCB Metal Sheet, Outdoor Asymmetric, 900mm, Bold Lighting LLC, E17002</t>
  </si>
  <si>
    <t>PS052BLD</t>
  </si>
  <si>
    <t>PCB Metal Sheet, Outdoor Asymmetric, 1050mm, Bold Lighting LLC, E17002</t>
  </si>
  <si>
    <t>PS053BLD</t>
  </si>
  <si>
    <t>PCB Metal Sheet, Outdoor Asymmetric, 1200mm, Bold Lighting LLC, E17002</t>
  </si>
  <si>
    <t>PS054BLD</t>
  </si>
  <si>
    <t>PCB Metal Sheet, Outdoor Asymmetric, 1350mm, Bold Lighting LLC, E17002</t>
  </si>
  <si>
    <t>PS055BLD</t>
  </si>
  <si>
    <t>PCB Metal Sheet, Outdoor Asymmetric, 1500mm, Bold Lighting LLC, E17002</t>
  </si>
  <si>
    <t>Billet Symmetrical PCB Sheet Metal:E17003</t>
  </si>
  <si>
    <t>E17003</t>
  </si>
  <si>
    <t>PS028BLD</t>
  </si>
  <si>
    <t>PCB Metal Sheet, Outdoor Symmetric, 300mm, Bold Lighting LLC, E17003</t>
  </si>
  <si>
    <t>PS029BLD</t>
  </si>
  <si>
    <t>PCB Metal Sheet, Outdoor Symmetric, 450mm, Bold Lighting LLC, E17003</t>
  </si>
  <si>
    <t>PS030BLD</t>
  </si>
  <si>
    <t>PCB Metal Sheet, Outdoor Symmetric, 600mm, Bold Lighting LLC, E17003</t>
  </si>
  <si>
    <t>PS031BLD</t>
  </si>
  <si>
    <t>PCB Metal Sheet, Outdoor Symmetric, 750mm, Bold Lighting LLC, E17003</t>
  </si>
  <si>
    <t>PS032BLD</t>
  </si>
  <si>
    <t>PCB Metal Sheet, Outdoor Symmetric, 900mm, Bold Lighting LLC, E17003</t>
  </si>
  <si>
    <t>PS033BLD</t>
  </si>
  <si>
    <t>PCB Metal Sheet, Outdoor Symmetric, 1050mm, Bold Lighting LLC, E17003</t>
  </si>
  <si>
    <t>PS034BLD</t>
  </si>
  <si>
    <t>PCB Metal Sheet, Outdoor Symmetric, 1200mm, Bold Lighting LLC, E17003</t>
  </si>
  <si>
    <t>PS035BLD</t>
  </si>
  <si>
    <t>PCB Metal Sheet, Outdoor Symmetric, 1350mm, Bold Lighting LLC, E17003</t>
  </si>
  <si>
    <t>PS036BLD</t>
  </si>
  <si>
    <t>PCB Metal Sheet, Outdoor Symmetric, 1500mm, Bold Lighting LLC, E17003</t>
  </si>
  <si>
    <t>Billet Symmetrical PCB Sheet Metal:E17005</t>
  </si>
  <si>
    <t>E17012</t>
  </si>
  <si>
    <t>PS005BLD</t>
  </si>
  <si>
    <t>PCB Metal Sheet, Outdoor Honeycomb, 292mm, Bold Lighting LLC, E17012</t>
  </si>
  <si>
    <t>PS006BLD</t>
  </si>
  <si>
    <t>PCB Metal Sheet, Outdoor Honeycomb, 592mm, Bold Lighting LLC, E17012</t>
  </si>
  <si>
    <t>PS007BLD</t>
  </si>
  <si>
    <t>PCB Metal Sheet, Outdoor Honeycomb, 892mm, Bold Lighting LLC, E17012</t>
  </si>
  <si>
    <t>PS008BLD</t>
  </si>
  <si>
    <t>PCB Metal Sheet, Outdoor Honeycomb, 1192mm, Bold Lighting LLC, E17012</t>
  </si>
  <si>
    <t>PS009BLD</t>
  </si>
  <si>
    <t>PCB Metal Sheet, Outdoor Honeycomb, 1492mm, Bold Lighting LLC, E17012</t>
  </si>
  <si>
    <t>Billet Honeycomb Opal Sheet :17907</t>
  </si>
  <si>
    <t>17909 (Made From BL-505)</t>
  </si>
  <si>
    <t>DI000GIP</t>
  </si>
  <si>
    <t>BXO, BKO,BHO</t>
  </si>
  <si>
    <t>12,24,36,48,60</t>
  </si>
  <si>
    <t>Indoor Diffuser, Plastic Extrusion, Linear Meter, 50mm Width, Opal 120°, BL-505, GI PLAST Srl, 37PE59LPMSOPM</t>
  </si>
  <si>
    <t>Bright View</t>
  </si>
  <si>
    <t>Honeycomb Opal Sheet, 12", Length 300mm</t>
  </si>
  <si>
    <t>Honeycomb Opal Sheet, 24", Length 600mm</t>
  </si>
  <si>
    <t>Honeycomb Opal Sheet, 36", Length 900mm</t>
  </si>
  <si>
    <t>Honeycomb Opal Sheet, 48", Length 1200mm</t>
  </si>
  <si>
    <t>Honeycomb Opal Sheet, 60", Length 1500mm</t>
  </si>
  <si>
    <t>Honeycomb Hex Cover:17906</t>
  </si>
  <si>
    <t>AC003BLD</t>
  </si>
  <si>
    <t>BXH, BKH,  BHS</t>
  </si>
  <si>
    <t>Honeycomb Sheet Metal Cover, Galvanized Steel, 296mm, Silver Color, Bold Lighting LLC, 17908</t>
  </si>
  <si>
    <t>AC004BLD</t>
  </si>
  <si>
    <t>Honeycomb Sheet Metal Cover, Galvanized Steel, 596mm, Silver Color, Bold Lighting LLC, 17908</t>
  </si>
  <si>
    <t>AC005BLD</t>
  </si>
  <si>
    <t>Honeycomb Sheet Metal Cover, Galvanized Steel, 896mm, Silver Color, Bold Lighting LLC, 17908</t>
  </si>
  <si>
    <t>AC006BLD</t>
  </si>
  <si>
    <t>Honeycomb Sheet Metal Cover, Galvanized Steel, 1196mm, Silver Color, Bold Lighting LLC, 17908</t>
  </si>
  <si>
    <t>AC007BLD</t>
  </si>
  <si>
    <t>Honeycomb Sheet Metal Cover, Galvanized Steel, 1496mm, Silver Color, Bold Lighting LLC, 17908</t>
  </si>
  <si>
    <t>Billet Driver Sheet Metal: 17024</t>
  </si>
  <si>
    <t>AC013BLD</t>
  </si>
  <si>
    <t>Driver Sheet Metal, Galv Steel, 180mm, Silver Color, Bold Lighting LLC, 17024</t>
  </si>
  <si>
    <t>AC021BLD</t>
  </si>
  <si>
    <t>Driver Sheet Metal, Galv Steel, 300mm, Silver Color, Bold Lighting LLC, 17024</t>
  </si>
  <si>
    <t>AC036BLD</t>
  </si>
  <si>
    <t>Driver Sheet Metal, Galv Steel, 550mm, Silver Color, Bold Lighting LLC, 17024</t>
  </si>
  <si>
    <t>AC015BLD</t>
  </si>
  <si>
    <t>Driver Sheet Metal, Galv Steel, 720mm, Silver Color, Bold Lighting LLC, 17024</t>
  </si>
  <si>
    <t>Housing Cover:17044</t>
  </si>
  <si>
    <t>BR006BLD</t>
  </si>
  <si>
    <t>Galv Steel, 1.5mm</t>
  </si>
  <si>
    <t>Outdoor Bracket, Housing Spacer, Galvanized Steel, Bold Lighting LLC, 17044</t>
  </si>
  <si>
    <t>Ventilation Screw: E350312-M12x1,5-TL</t>
  </si>
  <si>
    <t>HITP-X02</t>
  </si>
  <si>
    <t>AC064GEN</t>
  </si>
  <si>
    <t>Accessories</t>
  </si>
  <si>
    <t>High Impact Hexagonal Plug, Plastic, 12mm Diameter, Black Color, BIMED TEKNIK ALETLER SAN. VE TIC. A.S., HITP-X02</t>
  </si>
  <si>
    <t>BIMED</t>
  </si>
  <si>
    <t>Billet Main Endcaps-17013</t>
  </si>
  <si>
    <t>EC000BLD</t>
  </si>
  <si>
    <t>Endcap</t>
  </si>
  <si>
    <t>Outdoor Main Endcap, General, Bold Lighting LLC, 17013</t>
  </si>
  <si>
    <t>CN</t>
  </si>
  <si>
    <t>I, T,M</t>
  </si>
  <si>
    <t>S, W, P,R</t>
  </si>
  <si>
    <t>Billet Driver Endcaps-17022</t>
  </si>
  <si>
    <t>EC011BLD</t>
  </si>
  <si>
    <t>BHO, BHS, BOO, BOS, BOW,BOP,BOK</t>
  </si>
  <si>
    <t>Outdoor Driver Box Endcap, All Mountings, Bold Lighting LLC, 17022</t>
  </si>
  <si>
    <t>EC012BLD</t>
  </si>
  <si>
    <t>Outdoor Driver Box Endcap with M20, All Mountings, Bold Lighting LLC, 17022</t>
  </si>
  <si>
    <t>Safety Cable Bracket 17031</t>
  </si>
  <si>
    <t>BR009BLD</t>
  </si>
  <si>
    <t>Outdoor Bracket, Trim Bracket, Galvanized Steel, Bold Lighting LLC, 17031</t>
  </si>
  <si>
    <t>Outdoor Trim Allignment Bracket 17051</t>
  </si>
  <si>
    <t>BR014BLD</t>
  </si>
  <si>
    <t>B,M</t>
  </si>
  <si>
    <t>Outdoor Bracket, Trim Alignemnt Bracket, Galvanized Steel, Bold Lighting LLC, 17051</t>
  </si>
  <si>
    <t>Pendant Bracket 17039</t>
  </si>
  <si>
    <t>BR007BLD</t>
  </si>
  <si>
    <t>Outdoor Bracket, Pendant Bracket, Galvanized Steel, Bold Lighting LLC, 17039</t>
  </si>
  <si>
    <t>Billet Outdoor Pendant/Surface Mounted End Cap-17015</t>
  </si>
  <si>
    <t>EC001BLD</t>
  </si>
  <si>
    <t>P, S, W</t>
  </si>
  <si>
    <t>Outdoor Endcap, Surface/Wall/Pendant Mounted, Bold Lighting LLC, 17015</t>
  </si>
  <si>
    <t>Wall Mounted Bracket 17048</t>
  </si>
  <si>
    <t>BR013BLD</t>
  </si>
  <si>
    <t>Outdoor Bracket, WM Bracket, Galvanized Steel, Bold Lighting LLC, 17048</t>
  </si>
  <si>
    <t xml:space="preserve">Wall Mounted Bracket 1 - 17055 </t>
  </si>
  <si>
    <t>BR018BLD</t>
  </si>
  <si>
    <t>Outdoor Bracket, WM Bracket 1, Galvanized Steel, Bold Lighting LLC, 17055</t>
  </si>
  <si>
    <t>Wall Mounted Bracket 2 - 17056</t>
  </si>
  <si>
    <t>BR019BLD</t>
  </si>
  <si>
    <t>Outdoor Bracket, WM Bracket 2, Galvanized Steel, Bold Lighting LLC, 17056</t>
  </si>
  <si>
    <t>Wall Mounted Bracket 3 - 17059</t>
  </si>
  <si>
    <t>BR020BLD</t>
  </si>
  <si>
    <t>W-</t>
  </si>
  <si>
    <t>Outdoor Bracket, WM Arm Bracket, Galvanized Steel, Bold Lighting LLC, 17059</t>
  </si>
  <si>
    <t>Billet Outdoor Inground Allignment Bracket - 17060</t>
  </si>
  <si>
    <t>MA004XSI</t>
  </si>
  <si>
    <t>Steel, 1mm</t>
  </si>
  <si>
    <t>Outdoor, Alignment Pin, Galvanized Steel, Naggiar Trading S.A.L, 17060</t>
  </si>
  <si>
    <t>Billet Outdoor Housing Cap-17042</t>
  </si>
  <si>
    <t>EC003BLD</t>
  </si>
  <si>
    <t>Aluminum, 2mm</t>
  </si>
  <si>
    <t>I-</t>
  </si>
  <si>
    <t>Outdoor Housing Endcap, Inground, Bold Lighting LLC, 17042</t>
  </si>
  <si>
    <t>EC004BLD</t>
  </si>
  <si>
    <t>Outdoor Housing Endcap with Hole, Inground, Bold Lighting LLC, 17042</t>
  </si>
  <si>
    <t>Trim Springs</t>
  </si>
  <si>
    <t>Fumao FMLY-BJSK-27B</t>
  </si>
  <si>
    <t>MA013XFI</t>
  </si>
  <si>
    <t>Mounting Accessory</t>
  </si>
  <si>
    <t>12,18,24,30,36</t>
  </si>
  <si>
    <t>Outdoor, Spring Frin Trim, Steel, Xiamen Finewe Industry Co., Ltd., FMLY-BJSK-27B</t>
  </si>
  <si>
    <t>42,48,54,60</t>
  </si>
  <si>
    <t>Billet Outdoor Trim Endcap - 17016</t>
  </si>
  <si>
    <t>EC002BLD</t>
  </si>
  <si>
    <t>Billet Outdoor, Endcap, Recessed with Trim, Bold Lighting LLC, 17016</t>
  </si>
  <si>
    <t>Surface Mounted Bracket - 17035</t>
  </si>
  <si>
    <t>BR008BLD</t>
  </si>
  <si>
    <t>Outdoor Bracket, SM Bracket, Galvanized Steel, Bold Lighting LLC, 17035</t>
  </si>
  <si>
    <t>Surface Mounted Allignment</t>
  </si>
  <si>
    <t>MA007BLD</t>
  </si>
  <si>
    <t>Outdoor, Surface Mounted Allignment, Galvanized Steel, Bold Lighting LLC, 17049</t>
  </si>
  <si>
    <t>Surface Mounted Twist to Lock Detail</t>
  </si>
  <si>
    <t>SM001</t>
  </si>
  <si>
    <t>MA006BLD</t>
  </si>
  <si>
    <t>Outdoor, SM Rot-Bracket, Galvanized Steel, Bold Lighting LLC, SM001</t>
  </si>
  <si>
    <t>Billet Outdoor Trimless Endcap  - 17806</t>
  </si>
  <si>
    <t>EC005BLD</t>
  </si>
  <si>
    <t>Outdoor Endcap, Trimless, Bold Lighting LLC, 17806</t>
  </si>
  <si>
    <t>Billet Steplight Endcap  - 17810</t>
  </si>
  <si>
    <t>EC022BLD</t>
  </si>
  <si>
    <t>Billet Outdoor, Endcap, Step Light Trimless, Bold Lighting LLC, 17810</t>
  </si>
  <si>
    <t>Billet Steplight Bracket  - 17811</t>
  </si>
  <si>
    <t>BR040BLD</t>
  </si>
  <si>
    <t>Outdoor Bracket, Step Light, Galvanized Steel, Bold Lighting LLC, 17811</t>
  </si>
  <si>
    <t>Billet Steplight Cover  - 17808-R</t>
  </si>
  <si>
    <t>17808-R</t>
  </si>
  <si>
    <t>BR038BLD</t>
  </si>
  <si>
    <t>SS304, 3mm</t>
  </si>
  <si>
    <t>Outdoor Bracket, Cover, Step Light Trim, Stainless Steel, Bold Lighting LLC, 17808-R</t>
  </si>
  <si>
    <t>Billet Steplight Stealth Louver - 17097</t>
  </si>
  <si>
    <t>LR046BLD</t>
  </si>
  <si>
    <t>Step Light Stealth, Louver Reflector, No Color Color, 150mm Length, 30mm Width, Bold Lighting LLC, 17097, N/A</t>
  </si>
  <si>
    <t>Billet Steplight Cover  - 17808-T</t>
  </si>
  <si>
    <t>17808-T</t>
  </si>
  <si>
    <t>BR039BLD</t>
  </si>
  <si>
    <t>Outdoor Bracket, Cover, Step Light Trimless, Stainless Steel, Bold Lighting LLC, 17808-T</t>
  </si>
  <si>
    <t>Billet Outdoor Trimless Bracket  - 17063</t>
  </si>
  <si>
    <t>BR021BLD</t>
  </si>
  <si>
    <t>Outdoor Bracket, Push Pin Bracket - R02, Galvanized Steel, Bold Lighting LLC, 17063</t>
  </si>
  <si>
    <t xml:space="preserve">Push Pin </t>
  </si>
  <si>
    <t>MA005XUK</t>
  </si>
  <si>
    <t>Outdoor, Push Pin, Galvanized Steel, XUKUN, XK225</t>
  </si>
  <si>
    <t>Billet Outdoor Trimless Bracket  - 17804</t>
  </si>
  <si>
    <t>BR012BLD</t>
  </si>
  <si>
    <t>Outdoor Bracket, Trimless Flande, Galvanized Steel, Bold Lighting LLC, 17804</t>
  </si>
  <si>
    <t>Asymmetric PCB Sheet Metal - E22002</t>
  </si>
  <si>
    <t>E22002</t>
  </si>
  <si>
    <t>PS037BLD</t>
  </si>
  <si>
    <t>BIW, BJW</t>
  </si>
  <si>
    <t>S, T, R, P,M,W</t>
  </si>
  <si>
    <t>PCB Metal Sheet, Indoor Asymmetric, 300mm, Bold Lighting LLC, E22002</t>
  </si>
  <si>
    <t>PS038BLD</t>
  </si>
  <si>
    <t>PCB Metal Sheet, Indoor Asymmetric, 450mm, Bold Lighting LLC, E22002</t>
  </si>
  <si>
    <t>PS039BLD</t>
  </si>
  <si>
    <t>PCB Metal Sheet, Indoor Asymmetric, 600mm, Bold Lighting LLC, E22002</t>
  </si>
  <si>
    <t>PS040BLD</t>
  </si>
  <si>
    <t>PCB Metal Sheet, Indoor Asymmetric, 750mm, Bold Lighting LLC, E22002</t>
  </si>
  <si>
    <t>PS041BLD</t>
  </si>
  <si>
    <t>PCB Metal Sheet, Indoor Asymmetric, 900mm, Bold Lighting LLC, E22002</t>
  </si>
  <si>
    <t>PS042BLD</t>
  </si>
  <si>
    <t>PCB Metal Sheet, Indoor Asymmetric, 1050mm, Bold Lighting LLC, E22002</t>
  </si>
  <si>
    <t>PS043BLD</t>
  </si>
  <si>
    <t>PCB Metal Sheet, Indoor Asymmetric, 1200mm, Bold Lighting LLC, E22002</t>
  </si>
  <si>
    <t>PS044BLD</t>
  </si>
  <si>
    <t>PCB Metal Sheet, Indoor Asymmetric, 1350mm, Bold Lighting LLC, E22002</t>
  </si>
  <si>
    <t>PS045BLD</t>
  </si>
  <si>
    <t>PCB Metal Sheet, Indoor Asymmetric, 1500mm, Bold Lighting LLC, E22002</t>
  </si>
  <si>
    <t>Kick Reflector Bracket - 22012-T1</t>
  </si>
  <si>
    <t>22012-T1</t>
  </si>
  <si>
    <t>BR035BLD</t>
  </si>
  <si>
    <t>12,18, 24, 30, 36</t>
  </si>
  <si>
    <t>Indoor Bracket, Stealth Bracket Magnet, Galvanized Steel, Bold Lighting LLC, 22012-T1</t>
  </si>
  <si>
    <t>S, T, R, P, M,W</t>
  </si>
  <si>
    <t>42, 48, 54, 60</t>
  </si>
  <si>
    <t>Kick Reflector Bracket - 22012-T2</t>
  </si>
  <si>
    <t>22012-T2</t>
  </si>
  <si>
    <t>BR045BLD</t>
  </si>
  <si>
    <t>S P,M,W</t>
  </si>
  <si>
    <t>Indoor Bracket, Remote, Stealth Bracket Magnet, Galvanized Steel, Bold Lighting LLC, 22012-T2</t>
  </si>
  <si>
    <t>Safety Bracket - 22222</t>
  </si>
  <si>
    <t>BR047BLD</t>
  </si>
  <si>
    <t>BXO, BXH, BIO, BIS, BIW</t>
  </si>
  <si>
    <t>24, 30, 36, 42, 48, 54, 60</t>
  </si>
  <si>
    <t>Indoor Bracket, Safety Bracket, Galvanized Steel, Bold Lighting LLC, 22222</t>
  </si>
  <si>
    <t>Round 25x8</t>
  </si>
  <si>
    <t>MG000GEN</t>
  </si>
  <si>
    <t>Magnet</t>
  </si>
  <si>
    <t>Round Magnet, Dimensions: 25x8mm, Generic Items (Unbranded)</t>
  </si>
  <si>
    <t>Mounting Spring - 22012</t>
  </si>
  <si>
    <t>MA009XFI</t>
  </si>
  <si>
    <t>Indoor, Mounting Spring, C75S, Xiamen Finewe Industry Co., Ltd., 22012</t>
  </si>
  <si>
    <t>Kick Reflector Driver Bracket - 17096</t>
  </si>
  <si>
    <t>BR024BLD</t>
  </si>
  <si>
    <t>2/D</t>
  </si>
  <si>
    <t>Indoor Bracket, Kick Reflector Driver Bracket, Galvanized Steel, Bold Lighting LLC, 17096</t>
  </si>
  <si>
    <t>Honeycomb PCB Sheet Metal - E22010</t>
  </si>
  <si>
    <t>E22010</t>
  </si>
  <si>
    <t>PS000BLD</t>
  </si>
  <si>
    <t>PCB Metal Sheet, Indoor Honeycomb, 292mm, Bold Lighting LLC, E22010</t>
  </si>
  <si>
    <t>PS001BLD</t>
  </si>
  <si>
    <t>PCB Metal Sheet, Indoor Honeycomb, 592mm, Bold Lighting LLC, E22010</t>
  </si>
  <si>
    <t>PS002BLD</t>
  </si>
  <si>
    <t>PCB Metal Sheet, Indoor Honeycomb, 892mm, Bold Lighting LLC, E22010</t>
  </si>
  <si>
    <t>PS003BLD</t>
  </si>
  <si>
    <t>PCB Metal Sheet, Indoor Honeycomb, 1192mm, Bold Lighting LLC, E22010</t>
  </si>
  <si>
    <t>PS004BLD</t>
  </si>
  <si>
    <t>PCB Metal Sheet, Indoor Honeycomb, 1492mm, Bold Lighting LLC, E22010</t>
  </si>
  <si>
    <t>Symmetric PCB Sheet Metal - E22004</t>
  </si>
  <si>
    <t>E22004</t>
  </si>
  <si>
    <t>PS019BLD</t>
  </si>
  <si>
    <t>BIS, BJS</t>
  </si>
  <si>
    <t>PCB Metal Sheet, Indoor Symmetric, 300mm, Bold Lighting LLC, E22004</t>
  </si>
  <si>
    <t>PS020BLD</t>
  </si>
  <si>
    <t>PCB Metal Sheet, Indoor Symmetric, 450mm, Bold Lighting LLC, E22004</t>
  </si>
  <si>
    <t>PS021BLD</t>
  </si>
  <si>
    <t>PCB Metal Sheet, Indoor Symmetric, 600mm, Bold Lighting LLC, E22004</t>
  </si>
  <si>
    <t>PS022BLD</t>
  </si>
  <si>
    <t>PCB Metal Sheet, Indoor Symmetric, 750mm, Bold Lighting LLC, E22004</t>
  </si>
  <si>
    <t>PS023BLD</t>
  </si>
  <si>
    <t>PCB Metal Sheet, Indoor Symmetric, 900mm, Bold Lighting LLC, E22004</t>
  </si>
  <si>
    <t>PS024BLD</t>
  </si>
  <si>
    <t>PCB Metal Sheet, Indoor Symmetric, 1050mm, Bold Lighting LLC, E22004</t>
  </si>
  <si>
    <t>PS025BLD</t>
  </si>
  <si>
    <t>PCB Metal Sheet, Indoor Symmetric, 1200mm, Bold Lighting LLC, E22004</t>
  </si>
  <si>
    <t>PS026BLD</t>
  </si>
  <si>
    <t>PCB Metal Sheet, Indoor Symmetric, 1350mm, Bold Lighting LLC, E22004</t>
  </si>
  <si>
    <t>PS027BLD</t>
  </si>
  <si>
    <t>PCB Metal Sheet, Indoor Symmetric, 1500mm, Bold Lighting LLC, E22004</t>
  </si>
  <si>
    <t>Alignment Bracket - 22107</t>
  </si>
  <si>
    <t>BR003BLD</t>
  </si>
  <si>
    <t>Galv Steel, 2mm</t>
  </si>
  <si>
    <t>BXO, BXH, BIO, BIS, BIW,BIK</t>
  </si>
  <si>
    <t>Indoor Bracket, Alignment Bracket 1, Galvanized Steel, Bold Lighting LLC, 22107</t>
  </si>
  <si>
    <t>Alignment Bracket - 22015</t>
  </si>
  <si>
    <t>BR004BLD</t>
  </si>
  <si>
    <t>Indoor Bracket, Alignment Bracket 2, Galvanized Steel, Bold Lighting LLC, 22015</t>
  </si>
  <si>
    <t>Safety Cable Bracket - 22020</t>
  </si>
  <si>
    <t>BR002BLD</t>
  </si>
  <si>
    <t>Indoor Bracket, Safety Cable Bracket, Galvanized Steel, Bold Lighting LLC, 22020</t>
  </si>
  <si>
    <t>Billet Indoor End Cap, Remote - 22010</t>
  </si>
  <si>
    <t>EC009BLD</t>
  </si>
  <si>
    <t>S,M,P</t>
  </si>
  <si>
    <t>Indoor Endcap, Remote, Surface, Bold Lighting LLC, 22010</t>
  </si>
  <si>
    <t>Bracket 1 - 22013</t>
  </si>
  <si>
    <t>MA010XFI</t>
  </si>
  <si>
    <t>SS201, 0.5mm</t>
  </si>
  <si>
    <t>Indoor, Remote Mounting Spring 1, SS01, Xiamen Finewe Industry Co., Ltd., 22013</t>
  </si>
  <si>
    <t>Bracket 2 - 22014</t>
  </si>
  <si>
    <t>MA011XFI</t>
  </si>
  <si>
    <t>Indoor, Remote Mounting Spring 2, SS01, Xiamen Finewe Industry Co., Ltd., 22014</t>
  </si>
  <si>
    <t>Connector Bracket - 22213</t>
  </si>
  <si>
    <t>BR025BLD</t>
  </si>
  <si>
    <t>Indoor Bracket, Remote Connector Bracket, Galvanized Steel, Bold Lighting LLC, 22213</t>
  </si>
  <si>
    <t>Alignment Bracket - 22106</t>
  </si>
  <si>
    <t>BR005BLD</t>
  </si>
  <si>
    <t>Indoor Bracket, Alignment Bracket R, Galvanized Steel, Bold Lighting LLC, 22106</t>
  </si>
  <si>
    <t>Billet Bracket - 22101</t>
  </si>
  <si>
    <t>BR015BLD</t>
  </si>
  <si>
    <t>R, T</t>
  </si>
  <si>
    <t>Indoor Bracket, Trimless Trim Bracket, Galvanized Steel, Bold Lighting LLC, 22101</t>
  </si>
  <si>
    <t>Billet Surface Mounted Main Endcaps - 22002</t>
  </si>
  <si>
    <t>EC006BLD</t>
  </si>
  <si>
    <t>S,P,W,M</t>
  </si>
  <si>
    <t>Indoor Main Endcap, Surface/Wall/Pendant Mounted, Bold Lighting LLC, 22002</t>
  </si>
  <si>
    <t>Billet Trim Main Endcaps - 22005</t>
  </si>
  <si>
    <t>EC007BLD</t>
  </si>
  <si>
    <t>Indoor Endcap, Recessed with Trim, Bold Lighting LLC, 22005</t>
  </si>
  <si>
    <t>Billet Trimless Main Endcaps - 22009</t>
  </si>
  <si>
    <t>EC008BLD</t>
  </si>
  <si>
    <t>Indoor Endcap, Trimless, Bold Lighting LLC, 22009</t>
  </si>
  <si>
    <t>Safety Cable</t>
  </si>
  <si>
    <t>SC-01</t>
  </si>
  <si>
    <t>MA012ZTP</t>
  </si>
  <si>
    <t>R,T,S,P,M</t>
  </si>
  <si>
    <t>Indoor, Safety Cable, Galvanized Steel, Zhongshan Tuer Precision Manufacturing Co., Ltd., SC-01</t>
  </si>
  <si>
    <t>WM Bracket - 22040</t>
  </si>
  <si>
    <t>BR016BLD</t>
  </si>
  <si>
    <t>Indoor Bracket, WM Bracket 1, Galvanized Steel, Bold Lighting LLC, 22041</t>
  </si>
  <si>
    <t>BR017BLD</t>
  </si>
  <si>
    <t>Indoor Bracket, WM Bracket 2, Galvanized Steel, Bold Lighting LLC, 22042</t>
  </si>
  <si>
    <t>Drivers</t>
  </si>
  <si>
    <t>BXDR-46LT-C214A-01-A</t>
  </si>
  <si>
    <t>DR002BRI</t>
  </si>
  <si>
    <t>BKH,BHS,BXH</t>
  </si>
  <si>
    <t>B,I</t>
  </si>
  <si>
    <t>48,42,54,60</t>
  </si>
  <si>
    <t>BIS,BIW,BOS,BOW,BJS,BJW</t>
  </si>
  <si>
    <t>12,18,24,30,36,42</t>
  </si>
  <si>
    <t>48,54,60</t>
  </si>
  <si>
    <t>BIS,BIW,BOS,BOW,BJS,BJW,BKH,BHS,BXH</t>
  </si>
  <si>
    <t>12,18,24</t>
  </si>
  <si>
    <t>30,36,42,48</t>
  </si>
  <si>
    <t>AC30CD700APT7L</t>
  </si>
  <si>
    <t>DR003ACE</t>
  </si>
  <si>
    <t>BIS,BIW,BOS,BOW,BJS,BJW,BXO,BIO,BHO,BOO,BKO,BJO,BIK,BOK,BOP</t>
  </si>
  <si>
    <t>A,B,I,H</t>
  </si>
  <si>
    <t>27,30,35,40</t>
  </si>
  <si>
    <t>PC</t>
  </si>
  <si>
    <t>LC 35W 150–1050mA 0-10V AUX lp EXC UNV</t>
  </si>
  <si>
    <t>DR026TRI</t>
  </si>
  <si>
    <t>L,H,V</t>
  </si>
  <si>
    <t>Tridonic Inc., LC 35 W 150–1050mA/28004443, Driver, 35W, 0-10V to 1% Dimming, Monochromatic, Linear Form, Constant Current, 150-1050mA, 1 Channel, 100-240V Input Voltage</t>
  </si>
  <si>
    <t>BIS,BIW,BOS,BOW,BJS,BJW,BXO,BIO,BHO,BOO,BKO,BJO,BIK,BOK</t>
  </si>
  <si>
    <t>24,30,36,42,48,54</t>
  </si>
  <si>
    <t>BXO, BXH,BIO,BIS,BIW,BKO,BKH,BJO,BJS,BJW</t>
  </si>
  <si>
    <t>24,30,36</t>
  </si>
  <si>
    <t>24,36,48</t>
  </si>
  <si>
    <t>24,36</t>
  </si>
  <si>
    <t>LC 50 w 400–1400mA 0-10 V AUX lp EXC UNV</t>
  </si>
  <si>
    <t>DR027TRI</t>
  </si>
  <si>
    <t>42,48,54</t>
  </si>
  <si>
    <t>27,30,35,41</t>
  </si>
  <si>
    <t>48,60</t>
  </si>
  <si>
    <t>LC 85W 700–2300mA 0-10V AUX lp EXC UNV</t>
  </si>
  <si>
    <t>DR028TRI</t>
  </si>
  <si>
    <t>36,48</t>
  </si>
  <si>
    <t xml:space="preserve">PUP20T-1LMC </t>
  </si>
  <si>
    <t>DR006EUC</t>
  </si>
  <si>
    <t>BIS,BIW,BOS,BOW,BJS,BJW,BXO,BIO,BHO,BOO,BKO,BJO,BKH,BHS,BXH,BIK,BOK,BOP</t>
  </si>
  <si>
    <t>L,M</t>
  </si>
  <si>
    <t>A,H,E,L,</t>
  </si>
  <si>
    <t>18,24</t>
  </si>
  <si>
    <t>E,L</t>
  </si>
  <si>
    <t>30,36,42</t>
  </si>
  <si>
    <t>PUP40T-1LMC-1200</t>
  </si>
  <si>
    <t>DR007EUC</t>
  </si>
  <si>
    <t>12,18,24,30,36,42,48,54</t>
  </si>
  <si>
    <t>H,V</t>
  </si>
  <si>
    <t>E,L,A,H</t>
  </si>
  <si>
    <t>12,18,24,30</t>
  </si>
  <si>
    <t>36,42,48,54,60</t>
  </si>
  <si>
    <t>SRPL-2305N-50CC650-1300U</t>
  </si>
  <si>
    <t>DR008SUN</t>
  </si>
  <si>
    <t>BIS,BIW,BOS,BOW,BJS,BJW,BXO,BIO,BHO,BOO,BKO,BJO,BKH,BHS,BXH,BIK,BOK</t>
  </si>
  <si>
    <t>L,M,H,V,D,W</t>
  </si>
  <si>
    <t>D,K</t>
  </si>
  <si>
    <t>27,30,35,40,WD</t>
  </si>
  <si>
    <t>L,M,H,D</t>
  </si>
  <si>
    <t>V,W</t>
  </si>
  <si>
    <t>L,M,W</t>
  </si>
  <si>
    <t>H,V,W</t>
  </si>
  <si>
    <t>48,54</t>
  </si>
  <si>
    <t>L,M,D</t>
  </si>
  <si>
    <t>M,H,D,W</t>
  </si>
  <si>
    <t>L,M,H,D,W</t>
  </si>
  <si>
    <t xml:space="preserve">SRPL-2309N-50CCT650-1300U </t>
  </si>
  <si>
    <t>DR009SUN</t>
  </si>
  <si>
    <t>BKH,BHS,BXH,BIS,BIW,BOS,BOW,BJS,BJW</t>
  </si>
  <si>
    <t>SRPL-2108-75CCT</t>
  </si>
  <si>
    <t>DR072SUN</t>
  </si>
  <si>
    <t>12,18,24,30,36,42,48</t>
  </si>
  <si>
    <t>F,M</t>
  </si>
  <si>
    <t>H,W</t>
  </si>
  <si>
    <t>U,A</t>
  </si>
  <si>
    <t>12,24</t>
  </si>
  <si>
    <t>PUP40A-1WMC-1200</t>
  </si>
  <si>
    <t>DR011EUC</t>
  </si>
  <si>
    <t>C,J</t>
  </si>
  <si>
    <t>36,42,48,54</t>
  </si>
  <si>
    <t>L,D</t>
  </si>
  <si>
    <t>B,C,J</t>
  </si>
  <si>
    <t>PUP20A-1WMC-700</t>
  </si>
  <si>
    <t>DR012EUC</t>
  </si>
  <si>
    <t>M,D</t>
  </si>
  <si>
    <t>DR013MAL</t>
  </si>
  <si>
    <t>Magnitude AFLEX-100W-2000-L-GB</t>
  </si>
  <si>
    <t>42,54,60</t>
  </si>
  <si>
    <t>Dummy Steplight Adura</t>
  </si>
  <si>
    <t>DR020ADR</t>
  </si>
  <si>
    <t>6,12</t>
  </si>
  <si>
    <t>L,M,H,V</t>
  </si>
  <si>
    <t>H,I,K</t>
  </si>
  <si>
    <t>Dummy RGBW DMX Ltech</t>
  </si>
  <si>
    <t>BIS,BIW,BOS,BOW,BJS,BJW,BXO,BIO,BHO,BOO,BKO,BJO,BIK,BOK,BOP,BKH,BHS,BXH</t>
  </si>
  <si>
    <t>ERP Power Supply 100W, with DMX/RDM Decoder LT-8036-1000</t>
  </si>
  <si>
    <t>Connectors</t>
  </si>
  <si>
    <t>Outdoor cable 6 poles</t>
  </si>
  <si>
    <t>CA007SJT</t>
  </si>
  <si>
    <t>Cables</t>
  </si>
  <si>
    <t>BHO,BHS,BOO,BOS,BOW,BOP,BOK</t>
  </si>
  <si>
    <t>B,S</t>
  </si>
  <si>
    <t>m</t>
  </si>
  <si>
    <t>Outdoor Power Stranded Core Cable, 6 Conductors, 3x16 AWG-3x22AWG, 300V, Black Color</t>
  </si>
  <si>
    <t>Cable gland M18x1.5</t>
  </si>
  <si>
    <t>AC057RWE</t>
  </si>
  <si>
    <t>Cable Gland</t>
  </si>
  <si>
    <t>B,S,M</t>
  </si>
  <si>
    <t>Cable Gland, PA66, M18, Black Color</t>
  </si>
  <si>
    <t>Overmolded connector, male</t>
  </si>
  <si>
    <t>CC010SJT</t>
  </si>
  <si>
    <t>Cables with Connectors</t>
  </si>
  <si>
    <t>BHO,BHS,BOO,BOS,BOW</t>
  </si>
  <si>
    <t>Outdoor Overmolded Cable with Connector, 6 Poles, Male Connection, 3 Wires 16 AWG and 3 Wires 22 AWG, 300V, 1000mm Cable Length, JINN FENG ELECTRONIC TECH CO., LIMITED, 53-200611-02</t>
  </si>
  <si>
    <t>Panel mounted connector, female</t>
  </si>
  <si>
    <t>CC009SJT</t>
  </si>
  <si>
    <t>M,E</t>
  </si>
  <si>
    <t>Outdoor Panelmount Cable with Connector, 6 Poles, Female Connection, 3 Wires 16 AWG and 3 Wires 22 AWG, 300V, 1000mm Cable Length, JINN FENG ELECTRONIC TECH CO., LIMITED, 53-100651-01</t>
  </si>
  <si>
    <t>Wago 2773 Connector</t>
  </si>
  <si>
    <t>Push Wire Connector, 2 poles</t>
  </si>
  <si>
    <t>CN011KRX</t>
  </si>
  <si>
    <t>Push Wire Connector Connector, 16-20AWG, 2 Poles, Universal Connection</t>
  </si>
  <si>
    <t>Push Wire Connector, 3 poles</t>
  </si>
  <si>
    <t>CN012KRX</t>
  </si>
  <si>
    <t>Push Wire Connector Connector, 16-20AWG, 3 Poles, Universal Connection</t>
  </si>
  <si>
    <t>Push Wire Connector, 4 poles</t>
  </si>
  <si>
    <t>CN013KRX</t>
  </si>
  <si>
    <t>Push Wire Connector Connector, 16-20AWG, 4 Poles, Universal Connection</t>
  </si>
  <si>
    <t>2,3 poles terminal</t>
  </si>
  <si>
    <t>005YU05Y08*</t>
  </si>
  <si>
    <t>CN010BJB</t>
  </si>
  <si>
    <t>S,E</t>
  </si>
  <si>
    <t>2 Poles terminal</t>
  </si>
  <si>
    <t>002YR06Y0C*</t>
  </si>
  <si>
    <t>CN009BJB</t>
  </si>
  <si>
    <t>3 Poles terminal</t>
  </si>
  <si>
    <t>E,S</t>
  </si>
  <si>
    <t>Harness</t>
  </si>
  <si>
    <t>Cable Harness (Green, Black, White)</t>
  </si>
  <si>
    <t>CC011GEN</t>
  </si>
  <si>
    <t>B,M,E</t>
  </si>
  <si>
    <t>18,24,30,36,42</t>
  </si>
  <si>
    <t>Cable Harness (Green, Black, White), 3 Poles, Universal Connection, 3 Wires 16 AWG and 3 Wires 18 AWG, 300V, 1050mm Cable Length</t>
  </si>
  <si>
    <t>CC012GEN</t>
  </si>
  <si>
    <t>48, 54, 60</t>
  </si>
  <si>
    <t>Cable Harness (Green, Black, White), 3 Poles, Universal Connection, 3 Wires 16 AWG and 3 Wires 18 AWG, 300V, 1650mm Cable Length</t>
  </si>
  <si>
    <t>Cable Harness (Pink, Purple)</t>
  </si>
  <si>
    <t>CC013GEN</t>
  </si>
  <si>
    <t>B,C,D,E,F,G</t>
  </si>
  <si>
    <t>Cable Harness (Pink, Purple), 2 Poles, Universal Connection, 2 Wires 18 AWG and 2 Wires 20 AWG, 300V, 1050mm Cable Length</t>
  </si>
  <si>
    <t>CC014GEN</t>
  </si>
  <si>
    <t>Cable Harness (Pink, Purple), 2 Poles, Universal Connection, 2 Wires 18 AWG and 2 Wires 20 AWG, 300V, 1650mm Cable Length</t>
  </si>
  <si>
    <t>CGS_M20</t>
  </si>
  <si>
    <t>AC023JIN</t>
  </si>
  <si>
    <t>Wires</t>
  </si>
  <si>
    <t>Cable Gland, Plastic, 20mm Diameter, Black Color, JINN FENG ELECTRONIC TECH CO., LIMITED, CGS_M20</t>
  </si>
  <si>
    <t>Grommet</t>
  </si>
  <si>
    <t>AC063GEN</t>
  </si>
  <si>
    <t>BXO,BXH,BIO,BIS,BIW,BKO,BKH,BJO,BJS,BJW</t>
  </si>
  <si>
    <t>Grommet Open, PVC, A:15.5 B:11.0 C:8 D:9.0 E:3.0, White/Black Color</t>
  </si>
  <si>
    <t>ECA3AWG24D6LOC</t>
  </si>
  <si>
    <t>CA000AZA</t>
  </si>
  <si>
    <t>1m DMX Cable, 3 Poles, 120 Ohm, OD6</t>
  </si>
  <si>
    <t>Power Stranded Core Cable</t>
  </si>
  <si>
    <t>Indoor Power Stranded Core Cable, Black</t>
  </si>
  <si>
    <t>CA002SAL</t>
  </si>
  <si>
    <t>BXO,BXH,BIS,BIW,BKO,BKH,BJO,BJS,BJW,BIK</t>
  </si>
  <si>
    <t>I,J,L,K,M,N</t>
  </si>
  <si>
    <t>Indoor Power Stranded Core Cable, 2 Conductors, 18 AWG, 300V, Black Color, SALCAVI, SVT-2XAWG18</t>
  </si>
  <si>
    <t>Indoor Power Stranded Core Cable, Grey</t>
  </si>
  <si>
    <t>CA004SAL</t>
  </si>
  <si>
    <t>Indoor Power Stranded Core Cable, 5 Conductors, 18 AWG, 300V, Grey Color, SALCAVI, SJT-5x18AWG</t>
  </si>
  <si>
    <t>S, T, R, M,W</t>
  </si>
  <si>
    <t>Outdoor Power Stranded Core Cable, Black</t>
  </si>
  <si>
    <t>CA003SAL</t>
  </si>
  <si>
    <t>Outdoor Power Stranded Core Cable, 2 Conductors, 16 AWG, 300V, Black Color, SALCAVI, SJTOW-2XAWG16</t>
  </si>
  <si>
    <t>CA006SAL</t>
  </si>
  <si>
    <t>Outdoor Power Stranded Core Cable, 5 Conductors, 16 AWG, 300V, Black Color, SALCAVI, SJTOW-5XAWG16</t>
  </si>
  <si>
    <t>Solid Core Wire,  Red Color</t>
  </si>
  <si>
    <t>WI005SAL</t>
  </si>
  <si>
    <t>27,30,35,40,WD,TW</t>
  </si>
  <si>
    <t>Solid Core Wire, 20 AWG, 300V, Red Color, Linear Meter, Between PCB &amp; Driver, SALCAVI, Style-1569</t>
  </si>
  <si>
    <t>Solid Core Wire, Black Color</t>
  </si>
  <si>
    <t>WI006SAL</t>
  </si>
  <si>
    <t>Solid Core Wire, 20 AWG, 300V, Black Color, Linear Meter,Between PCB &amp; Driver,  SALCAVI, Style-1569</t>
  </si>
  <si>
    <t>Solid Core Wire, Orange Color</t>
  </si>
  <si>
    <t>WI007SAL</t>
  </si>
  <si>
    <t>Solid Core Wire, 20 AWG, 300V, Orange Color, Linear Meter,Between PCB &amp; Driver,  SALCAVI, Style-1569</t>
  </si>
  <si>
    <t>Solid Core Wire, Grey Color</t>
  </si>
  <si>
    <t>WI008SAL</t>
  </si>
  <si>
    <t>Solid Core Wire, 20 AWG, 300V, Grey Color, Linear Meter, Between PCB &amp; Driver, SALCAVI, Style-1569</t>
  </si>
  <si>
    <t>18 AWG AC Wires</t>
  </si>
  <si>
    <t>18 AWG - L</t>
  </si>
  <si>
    <t>WI000SAL</t>
  </si>
  <si>
    <t>-----</t>
  </si>
  <si>
    <t>Stranded Core Wire, 16 AWG, 600V, White Color, Linear Meter, Power feeding Driver, SALCAVI, Style-1015</t>
  </si>
  <si>
    <t>18 AWG - N</t>
  </si>
  <si>
    <t>WI001SAL</t>
  </si>
  <si>
    <t>Stranded Core Wire, 16 AWG, 600V, Black Color, Linear Meter, Power feeding Driver,SALCAVI, Style-1015</t>
  </si>
  <si>
    <t>18 AWG - G</t>
  </si>
  <si>
    <t>WI002SAL</t>
  </si>
  <si>
    <t>Stranded Core Wire, 16 AWG, 600V, Green Color, Linear Meter,Power feeding Driver, SALCAVI, Style-1015</t>
  </si>
  <si>
    <t>Through Wiring &amp; Driver Control Feeding</t>
  </si>
  <si>
    <t>Stranded Pink Core Wire - Dimming</t>
  </si>
  <si>
    <t>WI003SAL</t>
  </si>
  <si>
    <t>Stranded Core Wire, 18 AWG, 300V, Pink Color, Linear Meter, Dimming inputs for driver, SALCAVI, Style-1569</t>
  </si>
  <si>
    <t>Stranded Violet Core Wire - Dimming</t>
  </si>
  <si>
    <t>WI004SAL</t>
  </si>
  <si>
    <t>Stranded Core Wire, 18 AWG, 300V, Violet Color, Linear Meter, Dimming inputs for driver,SALCAVI, Style-1569</t>
  </si>
  <si>
    <t>Stranded Core Wire, 18 AWG, 300V, Violet Color, Linear Meter, Dimming inputs for driver, SALCAVI, Style-1569</t>
  </si>
  <si>
    <t>XTZ connector - 2, 4 &amp; 8 poles - 22AWG</t>
  </si>
  <si>
    <t>XTZ-220804-01 2PM</t>
  </si>
  <si>
    <t>CC003XTZ</t>
  </si>
  <si>
    <t>BXO, BXH, BIO, BIS, BIW, BKO, BKH, BJO, BJS, BJW,BIK</t>
  </si>
  <si>
    <t>cancelled</t>
  </si>
  <si>
    <t>12,18,24,30,36,42,48,54,60</t>
  </si>
  <si>
    <t>27, 30, 35, 40,WD</t>
  </si>
  <si>
    <t>1/d</t>
  </si>
  <si>
    <t>Indoor Latched with Heatshrink Cable with Connector, 2 Poles, Female Connection, 2 Wires 22 AWG, 300V, 150mm Cable Length, XTZ (Shenzhen Xiangtianzhong Technology Co.,Ltd), XTZ-220804-01 2P</t>
  </si>
  <si>
    <t>Cancelled</t>
  </si>
  <si>
    <t>XTZ-220805-01 2PM</t>
  </si>
  <si>
    <t>CC004XTZ</t>
  </si>
  <si>
    <t>Indoor Latched with Heatshrink Cable with Connector, 2 Poles, Male Connection, 3 Wires 22 AWG, 300V, 150mm Cable Length, XTZ (Shenzhen Xiangtianzhong Technology Co.,Ltd), XTZ-220805-01 2PM</t>
  </si>
  <si>
    <t>XTZ-220804-02 4P</t>
  </si>
  <si>
    <t>CC005XTZ</t>
  </si>
  <si>
    <t>Indoor Latched with Heatshrink Cable with Connector, 4 Poles, Female Connection, 4 Wires 22 AWG, 300V, 150mm Cable Length, XTZ (Shenzhen Xiangtianzhong Technology Co.,Ltd), XTZ-220804-02 4P</t>
  </si>
  <si>
    <t>XTZ-220805-02 4PM</t>
  </si>
  <si>
    <t>CC006XTZ</t>
  </si>
  <si>
    <t>Indoor Latched with Heatshrink Cable with Connector, 4 Poles, Male Connection, 5 Wires 22 AWG, 300V, 150mm Cable Length, XTZ (Shenzhen Xiangtianzhong Technology Co.,Ltd), XTZ-220805-02 4PM</t>
  </si>
  <si>
    <t>XTZ-220804-03 8P</t>
  </si>
  <si>
    <t>CC007XTZ</t>
  </si>
  <si>
    <t>Indoor Latched with Heatshrink Cable with Connector, 8 Poles, Female Connection, 6 Wires 22 AWG, 300V, 150mm Cable Length, XTZ (Shenzhen Xiangtianzhong Technology Co.,Ltd), XTZ-220804-03 8P</t>
  </si>
  <si>
    <t>XTZ-220805-03 8PM</t>
  </si>
  <si>
    <t>CC008XTZ</t>
  </si>
  <si>
    <t>Indoor Latched with Heatshrink Cable with Connector, 8 Poles, Male Connection, 7 Wires 22 AWG, 300V, 150mm Cable Length, XTZ (Shenzhen Xiangtianzhong Technology Co.,Ltd), XTZ-220805-03 8PM</t>
  </si>
  <si>
    <t>PCB: 17000 | High Power PCB, 1 ft, 6 LED</t>
  </si>
  <si>
    <t>PCB</t>
  </si>
  <si>
    <t>12V, High Power PCB, 1 ft, CRI80, 6 LED, 2700k CC</t>
  </si>
  <si>
    <t>36,42</t>
  </si>
  <si>
    <t>12V, High Power PCB, 1 ft, CRI80, 6 LED, 3000k CC</t>
  </si>
  <si>
    <t>12V, High Power PCB, 1 ft, CRI80, 6 LED, 3500k CC</t>
  </si>
  <si>
    <t>12V, High Power PCB, 1 ft, CRI80, 6 LED, 4000k CC</t>
  </si>
  <si>
    <t>PB17000BLD927</t>
  </si>
  <si>
    <t>LED Board, High Power, 12V, CRI90, 2700K, 300mm, Aluminium, 6 LED from Lumileds, 5050 Form Factor, Binning: x, Bold Lighting LLC, E17000</t>
  </si>
  <si>
    <t>PB17000BLD930</t>
  </si>
  <si>
    <t>LED Board, High Power, 12V, CRI90, 3000K, 300mm, Aluminium, 6 LED from Lumileds, 5050 Form Factor, Binning: x, Bold Lighting LLC, E17000</t>
  </si>
  <si>
    <t>PB17000BLD935</t>
  </si>
  <si>
    <t>LED Board, High Power, 12V, CRI90, 3500K, 300mm, Aluminium, 6 LED from Lumileds, 5050 Form Factor, Binning: x, Bold Lighting LLC, E17000</t>
  </si>
  <si>
    <t>PB17000BLD940</t>
  </si>
  <si>
    <t>LED Board, High Power, 12V, CRI90, 4000K, 300mm, Aluminium, 6 LED from Lumileds, 5050 Form Factor, Binning: x, Bold Lighting LLC, E17000</t>
  </si>
  <si>
    <t>PCB: 17210 | High Power PCB,32 LED</t>
  </si>
  <si>
    <t>12V, High Power PCB, 1 ft, CRI80, 32 LED, 2700k CC</t>
  </si>
  <si>
    <t>12V, High Power PCB, 1 ft, CRI80, 32 LED, 3000k CC</t>
  </si>
  <si>
    <t>12V, High Power PCB, 1 ft, CRI80, 32 LED, 3500k CC</t>
  </si>
  <si>
    <t>12V, High Power PCB, 1 ft, CRI80, 32 LED, 4000k CC</t>
  </si>
  <si>
    <t>PB17210BLD927</t>
  </si>
  <si>
    <t>LED Board, High Power, 12V, CRI90, 2700K, 300mm, Aluminium, 32 LED from Cree, 2835 Form Factor, Binning: x, Bold Lighting LLC, E17210</t>
  </si>
  <si>
    <t>PB17210BLD930</t>
  </si>
  <si>
    <t>LED Board, High Power, 12V, CRI90, 3000K, 300mm, Aluminium, 32 LED from Cree, 2835 Form Factor, Binning: x, Bold Lighting LLC, E17210</t>
  </si>
  <si>
    <t>PB17210BLD935</t>
  </si>
  <si>
    <t>LED Board, High Power, 12V, CRI90, 3500K, 300mm, Aluminium, 32 LED from Cree, 2835 Form Factor, Binning: x, Bold Lighting LLC, E17210</t>
  </si>
  <si>
    <t>PB17210BLD940</t>
  </si>
  <si>
    <t>LED Board, High Power, 12V, CRI90, 4000K, 300mm, Aluminium, 32 LED from Cree, 2835 Form Factor, Binning: x, Bold Lighting LLC, E17210</t>
  </si>
  <si>
    <t>PCB: 17310 | High Power PCB, 24 LED</t>
  </si>
  <si>
    <t>PB17310BLD9CC</t>
  </si>
  <si>
    <t>BIS,BIW,BOS,BOW,BJS,BJW,BXO,BIO,BHO,BOO,BKO,BJO,BKH,BHS,BXH</t>
  </si>
  <si>
    <t>18V, Rotation 180' , High Power PCB, 1 ft, CRI80, 6 LED, RGBW CC</t>
  </si>
  <si>
    <t>18V, Rotation 180', High Power PCB, 1 ft, CRI90, 6 LED, RGBW CC</t>
  </si>
  <si>
    <t>PCB: 17220 | High Power PCB, 1/2 ft, 16 LED</t>
  </si>
  <si>
    <t>6V, High Power PCB, 1/2 ft, CRI80, 16 LED, 2700K, CC</t>
  </si>
  <si>
    <t>6V, High Power PCB, 1/2 ft, CRI80, 16 LED, 3000K, CC</t>
  </si>
  <si>
    <t>6V, High Power PCB, 1/2 ft, CRI80, 16 LED, 3500K, CC</t>
  </si>
  <si>
    <t>6V, High Power PCB, 1/2 ft, CRI80, 16 LED, 4000K, CC</t>
  </si>
  <si>
    <t>PB17220BLD927</t>
  </si>
  <si>
    <t>LED Board, High Power, 6V, CRI90, 2700K, 150mm, Aluminium, 16 LED from Cree, 2835 Form Factor, Binning: x, Bold Lighting LLC, E17220</t>
  </si>
  <si>
    <t>PB17220BLD930</t>
  </si>
  <si>
    <t>LED Board, High Power, 6V, CRI90, 3000K, 150mm, Aluminium, 16 LED from Cree, 2835 Form Factor, Binning: x, Bold Lighting LLC, E17220</t>
  </si>
  <si>
    <t>PB17220BLD935</t>
  </si>
  <si>
    <t>LED Board, High Power, 6V, CRI90, 3500K, 150mm, Aluminium, 16 LED from Cree, 2835 Form Factor, Binning: x, Bold Lighting LLC, E17220</t>
  </si>
  <si>
    <t>PB17220BLD940</t>
  </si>
  <si>
    <t>LED Board, High Power, 6V, CRI90, 4000K, 150mm, Aluminium, 16 LED from Cree, 2835 Form Factor, Binning: x, Bold Lighting LLC, E17220</t>
  </si>
  <si>
    <t>6V, High Power PCB, 1/2 ft, CRI90, 16 LED, 2700K, CC</t>
  </si>
  <si>
    <t>PCB: 17020 | High Power PCB, 1/2 ft, 3 LED</t>
  </si>
  <si>
    <t>6V, High Power PCB, 1/2 ft, CRI80, 3 LED, 2700K, CC</t>
  </si>
  <si>
    <t>6V, High Power PCB, 1/2 ft, CRI80, 3 LED, 3000K, CC</t>
  </si>
  <si>
    <t>6V, High Power PCB, 1/2 ft, CRI80, 3 LED, 3500K, CC</t>
  </si>
  <si>
    <t>6V, High Power PCB, 1/2 ft, CRI80, 3 LED, 4000K, CC</t>
  </si>
  <si>
    <t>PB17020BLD927</t>
  </si>
  <si>
    <t>LED Board, High Power, 6V, CRI90, 2700K, 150mm, Aluminium, 3 LED from Lumileds, 5050 Form Factor, Binning: x, Bold Lighting LLC, E17020</t>
  </si>
  <si>
    <t>PB17020BLD930</t>
  </si>
  <si>
    <t>LED Board, High Power, 6V, CRI90, 3000K, 150mm, Aluminium, 3 LED from Lumileds, 5050 Form Factor, Binning: x, Bold Lighting LLC, E17020</t>
  </si>
  <si>
    <t>PB17020BLD935</t>
  </si>
  <si>
    <t>LED Board, High Power, 6V, CRI90, 3500K, 150mm, Aluminium, 3 LED from Lumileds, 5050 Form Factor, Binning: x, Bold Lighting LLC, E17020</t>
  </si>
  <si>
    <t>PB17020BLD940</t>
  </si>
  <si>
    <t>LED Board, High Power, 6V, CRI90, 4000K, 150mm, Aluminium, 3 LED from Lumileds, 5050 Form Factor, Binning: x, Bold Lighting LLC, E17020</t>
  </si>
  <si>
    <t>PCB: 17110 | High Power PCB, 1 ft, 6 LED, Tunable White</t>
  </si>
  <si>
    <t>18V, High Power PCB, 1 ft, CRI80, 6 LED, Tunable White, 2700 - 5000K</t>
  </si>
  <si>
    <t>PB17110BLD9TW</t>
  </si>
  <si>
    <t>18V, High Power PCB, 1 ft, CRI90, 6 LED, Tunable White, 2700 - 5000K</t>
  </si>
  <si>
    <t>PCB: 17910 | High Power PCB, 1 ft, 10 LED</t>
  </si>
  <si>
    <t>BXH, BHS, BKH</t>
  </si>
  <si>
    <t>15V, High Power PCB, 1 ft, CRI80, 10 LED, 2700K</t>
  </si>
  <si>
    <t xml:space="preserve">15V, High Power PCB, 1 ft, CRI80, 10 LED, 2700K, </t>
  </si>
  <si>
    <t xml:space="preserve">15V, High Power PCB, 1 ft, CRI80, 10 LED, 3000K, </t>
  </si>
  <si>
    <t xml:space="preserve">15V, High Power PCB, 1 ft, CRI80, 10 LED, 3500K, </t>
  </si>
  <si>
    <t xml:space="preserve">15V, High Power PCB, 1 ft, CRI80, 10 LED, 4000K, </t>
  </si>
  <si>
    <t>PB17910BLD927</t>
  </si>
  <si>
    <t>LED Board, High Power, 15V, CRI90, 2700K, 292mm, Aluminium, 10 LED from Nichia, 2121 Form Factor, Binning: x, Bold Lighting LLC, E17910</t>
  </si>
  <si>
    <t>PB17910BLD930</t>
  </si>
  <si>
    <t>LED Board, High Power, 15V, CRI90, 3000K, 292mm, Aluminium, 10 LED from Nichia, 2121 Form Factor, Binning: x, Bold Lighting LLC, E17910</t>
  </si>
  <si>
    <t>PB17910BLD935</t>
  </si>
  <si>
    <t>LED Board, High Power, 15V, CRI90, 3500K, 292mm, Aluminium, 10 LED from Nichia, 2121 Form Factor, Binning: x, Bold Lighting LLC, E17910</t>
  </si>
  <si>
    <t>PB17910BLD940</t>
  </si>
  <si>
    <t>LED Board, High Power, 15V, CRI90, 4000K, 292mm, Aluminium, 10 LED from Nichia, 2121 Form Factor, Binning: x, Bold Lighting LLC, E17910</t>
  </si>
  <si>
    <t>PCB: 17511 | High Power PCB, 1 ft, 8 LED, Dim To Warm, CV, 9W</t>
  </si>
  <si>
    <t>9V, 9W, High Power PCB, 1 ft,CRI80, 6 LED/ft 1800K , 24 LED/ft 3000K WD, 1800-3000K, CC</t>
  </si>
  <si>
    <t>PB17511BLD9WD</t>
  </si>
  <si>
    <t>LED Board, High Power, 9V, CRI90, WD, 300mm, Aluminium, 30 LED from Luminus, 1616 Form Factor, Binning: x, Bold Lighting LLC, E17511</t>
  </si>
  <si>
    <t>PCB: 17512 | High Power PCB, 1 ft, 8 LED, Dim To Warm, CV, 18W</t>
  </si>
  <si>
    <t>18V, 18W, High Power PCB, 1 ft,CRI80, 6 LED/ft 1800K , 24 LED/ft 3000K WD, 1800-3000K,  CC</t>
  </si>
  <si>
    <t>PB17512BLD9WD</t>
  </si>
  <si>
    <t>LED Board, High Power, 18V, CRI90, WD, 300mm, Aluminium, 30 LED from Luminus, 1616 Form Factor, Binning: x, Bold Lighting LLC, E17512</t>
  </si>
  <si>
    <t>PCB: 17521 | High Power PCB, 1 ft, 8 LED, Dim To Warm, CV, 4.5W</t>
  </si>
  <si>
    <t>4.5V, 4.5W, High Power PCB, 1/2 ft,CRI80, 3 LED/ft 1800K , 12 LED/ft 3000K WD, 1800-3000K, CC</t>
  </si>
  <si>
    <t>PB17521BLD9WD</t>
  </si>
  <si>
    <t>LED Board, High Power, 4.5V, CRI90, WD, 150mm, Aluminium, 15 LED from Luminus, 1616 Form Factor, Binning: x, Bold Lighting LLC, E17521</t>
  </si>
  <si>
    <t>PCB: 17522 | High Power PCB, 1 ft, 8 LED, Dim To Warm, CV, 9W</t>
  </si>
  <si>
    <t>9V, 9W, High Power PCB, 1/2 ft,CRI80, 3 LED/ft 1800K , 12 LED/ft 3000K WD, 1800-3000K, CC</t>
  </si>
  <si>
    <t>PB17522BLD9WD</t>
  </si>
  <si>
    <t>LED Board, High Power, 9V, CRI90, WD, 150mm, Aluminium, 15 LED from Luminus, 1616 Form Factor, Binning: x, Bold Lighting LLC, E17522</t>
  </si>
  <si>
    <t>PCB: 17920 | High Power PCB, 1 ft, 8 LED, tunable White, CC</t>
  </si>
  <si>
    <t>15V, High Power PCB, CRI80, 8 LED/ft, Tunable White, 2700 - 5000K, CC</t>
  </si>
  <si>
    <t>PB17920BLD9TW</t>
  </si>
  <si>
    <t>LED Board, High Power, 15V, CRI90, TW, 300mm, Aluminium, 20 LED from Nichia, 1717 Form Factor, Binning: x, Bold Lighting LLC, E17920</t>
  </si>
  <si>
    <t>PCB: 17410 | Mid Power PCB, 143.5mm, 6V/ft, CC</t>
  </si>
  <si>
    <t>PB17410BLD827</t>
  </si>
  <si>
    <t>BIO, BOO, BJO, BXO, BHO, BKO</t>
  </si>
  <si>
    <t>LED Board, Medium Power, 12V, CRI80, 2700K, 891mm, Aluminium, 84 LED from Cree, 2835 Form Factor, Binning: x, Bold Lighting LLC, E17410</t>
  </si>
  <si>
    <t>PB17410BLD830</t>
  </si>
  <si>
    <t>LED Board, Medium Power, 12V, CRI80, 3000K, 891mm, Aluminium, 84 LED from Cree, 2835 Form Factor, Binning: x, Bold Lighting LLC, E17410</t>
  </si>
  <si>
    <t>PB17410BLD835</t>
  </si>
  <si>
    <t>LED Board, Medium Power, 12V, CRI80, 3500K, 891mm, Aluminium, 84 LED from Cree, 2835 Form Factor, Binning: x, Bold Lighting LLC, E17410</t>
  </si>
  <si>
    <t>PB17410BLD840</t>
  </si>
  <si>
    <t>LED Board, Medium Power, 12V, CRI80, 4000K, 891mm, Aluminium, 84 LED from Cree, 2835 Form Factor, Binning: x, Bold Lighting LLC, E17410</t>
  </si>
  <si>
    <t>PB17410BLD927</t>
  </si>
  <si>
    <t>LED Board, Medium Power, 12V, CRI90, 2700K, 891mm, Aluminium, 84 LED from Cree, 2835 Form Factor, Binning: x, Bold Lighting LLC, E17410</t>
  </si>
  <si>
    <t>PB17410BLD930</t>
  </si>
  <si>
    <t>LED Board, Medium Power, 12V, CRI90, 3000K, 891mm, Aluminium, 84 LED from Cree, 2835 Form Factor, Binning: x, Bold Lighting LLC, E17410</t>
  </si>
  <si>
    <t>PB17410BLD935</t>
  </si>
  <si>
    <t>LED Board, Medium Power, 12V, CRI90, 3500K, 891mm, Aluminium, 84 LED from Cree, 2835 Form Factor, Binning: x, Bold Lighting LLC, E17410</t>
  </si>
  <si>
    <t>PB17410BLD940</t>
  </si>
  <si>
    <t>LED Board, Medium Power, 12V, CRI90, 4000K, 891mm, Aluminium, 84 LED from Cree, 2835 Form Factor, Binning: x, Bold Lighting LLC, E17410</t>
  </si>
  <si>
    <t>H, V</t>
  </si>
  <si>
    <t>Lenses</t>
  </si>
  <si>
    <t>KB-Y29-10P-XP</t>
  </si>
  <si>
    <t>LE000KIB</t>
  </si>
  <si>
    <t>Optic_Lens</t>
  </si>
  <si>
    <t>Symmetric Lens, 29mm Diameter, 16.4mm Height, 10°x10° Beam Angle, KingBrite Technology Co.,Ltd, KB-Y29-10P-XP</t>
  </si>
  <si>
    <t>KB-Y29-20P-XP</t>
  </si>
  <si>
    <t>LE001KIB</t>
  </si>
  <si>
    <t>Symmetric Lens, 29mm Diameter, 16.4mm Height, 20°x20° Beam Angle, KingBrite Technology Co.,Ltd, KB-Y29-20P-XP</t>
  </si>
  <si>
    <t>KB-Y29-40P-XP</t>
  </si>
  <si>
    <t>LE002KIB</t>
  </si>
  <si>
    <t>Symmetric Lens, 29mm Diameter, 16.4mm Height, 28°x28° Beam Angle, KingBrite Technology Co.,Ltd, KB-Y29-40P-XP</t>
  </si>
  <si>
    <t>KB-H29-50P-XML</t>
  </si>
  <si>
    <t>LE003KIB</t>
  </si>
  <si>
    <t>Symmetric Lens, 29mm Diameter, 16.4mm Height, 50°x50° Beam Angle, KingBrite Technology Co.,Ltd, KB-H29-50P-XML</t>
  </si>
  <si>
    <t>KB-Y29-1030-XP</t>
  </si>
  <si>
    <t>LE008KIB</t>
  </si>
  <si>
    <t>Symmetric Lens, 29mm Diameter, 16.4mm Height, 10°x28° Beam Angle, KingBrite Technology Co.,Ltd, KB-Y29-1030-XP</t>
  </si>
  <si>
    <t>KB-Y29-1045-XP</t>
  </si>
  <si>
    <t>LE004KIB</t>
  </si>
  <si>
    <t>Elliptical Lens, 29mm Diameter, 16.4mm Height, 10°x36° Beam Angle, KingBrite Technology Co.,Ltd, KB-Y29-1045-XP</t>
  </si>
  <si>
    <t>KB-H37-15P-XML-R</t>
  </si>
  <si>
    <t>LE020KIB</t>
  </si>
  <si>
    <t>Symmetric Lens, 37mm Diameter, 18.8mm Height, 15°x15° Beam Angle, KingBrite Technology Co.,Ltd, KB-H37-15P-XML-R</t>
  </si>
  <si>
    <t>KB-H37-25P-XML-R</t>
  </si>
  <si>
    <t>LE021KIB</t>
  </si>
  <si>
    <t>Symmetric Lens, 37mm Diameter, 18.8mm Height, 25°x25° Beam Angle, KingBrite Technology Co.,Ltd, KB-H37-25P-XML-R</t>
  </si>
  <si>
    <t>LL01ZZ-HQ15L06-M2</t>
  </si>
  <si>
    <t>LE022LED</t>
  </si>
  <si>
    <t>Symmetric Lens, 16mm Diameter, 9.1mm Height, 15°x15° Beam Angle, Ledlink Optics, Inc., LL01ZZ-HQ15L06-M2</t>
  </si>
  <si>
    <t>LL01ZZ-HQ25L06-M2</t>
  </si>
  <si>
    <t>LE023LED</t>
  </si>
  <si>
    <t>Symmetric Lens, 16mm Diameter, 9.1mm Height, 25°x25° Beam Angle, Ledlink Optics, Inc., LL01ZZ-HQ25L06-M2</t>
  </si>
  <si>
    <t>LL01ZZ-HQ40L06-M2</t>
  </si>
  <si>
    <t>LE025LED</t>
  </si>
  <si>
    <t>Symmetric Lens, 16mm Diameter, 9.1mm Height, 35°x35° Beam Angle, Ledlink Optics, Inc., LL01ZZ-HQ30L06-M2</t>
  </si>
  <si>
    <t>LL01ZZ-HQ60L06-M2</t>
  </si>
  <si>
    <t>LE026LED</t>
  </si>
  <si>
    <t>Symmetric Lens, 16mm Diameter, 9.1mm Height, 60°x60° Beam Angle, Ledlink Optics, Inc., LL01ZZ-HQ60L06-M2</t>
  </si>
  <si>
    <t>CA15365_TINA2-O-WAS</t>
  </si>
  <si>
    <t>LE033LDL</t>
  </si>
  <si>
    <t>Asymmetric Lens, 16mm Diameter, 10mm Height, 10°x40° Beam Angle, Ledil, CA15365_TINA2-O-WAS</t>
  </si>
  <si>
    <t>LL01ZZ-HQ2545L06-M2</t>
  </si>
  <si>
    <t>LE027LED</t>
  </si>
  <si>
    <t>Elliptical Lens, 16mm Diameter, 9.1mm Height, 25°x45° Beam Angle, Ledlink Optics, Inc., LL01ZZ-HQ2545L06-M2</t>
  </si>
  <si>
    <t>18,30,42,54</t>
  </si>
  <si>
    <t>Opal Sheet</t>
  </si>
  <si>
    <t>17901 (from BL-505)</t>
  </si>
  <si>
    <t>Optic_Diffuser</t>
  </si>
  <si>
    <t>BHO, BOO</t>
  </si>
  <si>
    <t>Reflectors</t>
  </si>
  <si>
    <t>BL-505</t>
  </si>
  <si>
    <t>BIO, BKO, BJO</t>
  </si>
  <si>
    <t>BL-505-C</t>
  </si>
  <si>
    <t>BIO, BOO, BKO, BJO</t>
  </si>
  <si>
    <t>A,E</t>
  </si>
  <si>
    <t>Opal Sheet Clear</t>
  </si>
  <si>
    <t>17-Sym</t>
  </si>
  <si>
    <t>Optic_Reflector</t>
  </si>
  <si>
    <t>.</t>
  </si>
  <si>
    <t>LR003BLD</t>
  </si>
  <si>
    <t>Linear Symmetric Reflector, Specular Chrome Color, 300mm Length, 50mm Width, Bold Lighting LLC, 17-Sym, DK-300*50-REF-SYM-BL-BK-BC-D1</t>
  </si>
  <si>
    <t>LR002BLD</t>
  </si>
  <si>
    <t>Linear Symmetric Reflector, Black Nickel Color, 300mm Length, 50mm Width, Bold Lighting LLC, 17-Sym, DK-300*50-REF-SYM-BL-BK-GM-1-D1</t>
  </si>
  <si>
    <t>LR001BLD</t>
  </si>
  <si>
    <t>Linear Symmetric Reflector, Black Color, 300mm Length, 50mm Width, Bold Lighting LLC, 17-Sym, DK-300*50-REF-SYM-BL-BK-MABK-PQ1</t>
  </si>
  <si>
    <t>LR004BLD</t>
  </si>
  <si>
    <t>Linear Symmetric Reflector, Bright Gold Color, 300mm Length, 50mm Width, Bold Lighting LLC, 17-Sym, DK-300*50-REF-SYM-BL-WT-GD-D1</t>
  </si>
  <si>
    <t>LR000BLD</t>
  </si>
  <si>
    <t>Linear Symmetric Reflector, White Color, 300mm Length, 50mm Width, Bold Lighting LLC, 17-Sym, DK-300*50-REF-SYM-BL-WT-MAWT-PQ1</t>
  </si>
  <si>
    <t>17-Sym-1.5</t>
  </si>
  <si>
    <t>LR008BLD</t>
  </si>
  <si>
    <t>Linear Symmetric Reflector, Specular Chrome Color, 150mm Length, 50mm Width, Bold Lighting LLC, 17-Sym-1.5, DK-150*50-REF-SYM-BL-BK-BC-D1</t>
  </si>
  <si>
    <t>LR007BLD</t>
  </si>
  <si>
    <t>Linear Symmetric Reflector, Black Nickel Color, 150mm Length, 50mm Width, Bold Lighting LLC, 17-Sym-1.5, DK-150*50-REF-SYM-BL-BK-GM-1-D1</t>
  </si>
  <si>
    <t>LR006BLD</t>
  </si>
  <si>
    <t>Linear Symmetric Reflector, Black Color, 150mm Length, 50mm Width, Bold Lighting LLC, 17-Sym-1.5, DK-150*50-REF-SYM-BL-BK-MABK-PQ1</t>
  </si>
  <si>
    <t>LR009BLD</t>
  </si>
  <si>
    <t>Linear Symmetric Reflector, Bright Gold Color, 150mm Length, 50mm Width, Bold Lighting LLC, 17-Sym-1.5, DK-150*50-REF-SYM-BL-WT-GD-D1</t>
  </si>
  <si>
    <t>LR005BLD</t>
  </si>
  <si>
    <t>Linear Symmetric Reflector, White Color, 150mm Length, 50mm Width, Bold Lighting LLC, 17-Sym-1.5, DK-150*50-REF-SYM-BL-WT-MAWT-PQ1</t>
  </si>
  <si>
    <t>17-WW</t>
  </si>
  <si>
    <t>LR013BLD</t>
  </si>
  <si>
    <t>Linear Washer Reflector, Specular Chrome Color, 300mm Length, 50mm Width, Bold Lighting LLC, 17-WW, DK-300*50-GSZ-H18-BL-BK-BC-D1</t>
  </si>
  <si>
    <t>LR012BLD</t>
  </si>
  <si>
    <t>Linear Washer Reflector, Black Nickel Color, 300mm Length, 50mm Width, Bold Lighting LLC, 17-WW, DK-300*50-GSZ-H18-BL-BK-GM-1-D1</t>
  </si>
  <si>
    <t>LR011BLD</t>
  </si>
  <si>
    <t>Linear Washer Reflector, Black Color, 300mm Length, 50mm Width, Bold Lighting LLC, 17-WW, DK-300*50-GSZ-H18-BL-BK-MABK-PQ1</t>
  </si>
  <si>
    <t>LR014BLD</t>
  </si>
  <si>
    <t>Linear Washer Reflector, Bright Gold Color, 300mm Length, 50mm Width, Bold Lighting LLC, 17-WW, DK-300*50-GSZ-H18-BL-WT-GD-D1</t>
  </si>
  <si>
    <t>LR010BLD</t>
  </si>
  <si>
    <t>Linear Washer Reflector, White Color, 300mm Length, 50mm Width, Bold Lighting LLC, 17-WW, DK-300*50-GSZ-H18-BL-WT-MAWT-PQ1</t>
  </si>
  <si>
    <t>17-WW-1.5</t>
  </si>
  <si>
    <t>LR018BLD</t>
  </si>
  <si>
    <t>Linear Washer Reflector, Specular Chrome Color, 150mm Length, 50mm Width, Bold Lighting LLC, 17-WW-1.5, DK-150*50-GSZ-H18-BL-BK-BC-D1</t>
  </si>
  <si>
    <t>LR017BLD</t>
  </si>
  <si>
    <t>Linear Washer Reflector, Black Nickel Color, 150mm Length, 50mm Width, Bold Lighting LLC, 17-WW-1.5, DK-150*50-GSZ-H18-BL-BK-GM-1-D1</t>
  </si>
  <si>
    <t>LR016BLD</t>
  </si>
  <si>
    <t>Linear Washer Reflector, Black Color, 150mm Length, 50mm Width, Bold Lighting LLC, 17-WW-1.5, DK-150*50-GSZ-H18-BL-BK-MABK-PQ1</t>
  </si>
  <si>
    <t>LR019BLD</t>
  </si>
  <si>
    <t>Linear Washer Reflector, Bright Gold Color, 150mm Length, 50mm Width, Bold Lighting LLC, 17-WW-1.5, DK-150*50-GSZ-H18-BL-WT-GD-D1</t>
  </si>
  <si>
    <t>LR015BLD</t>
  </si>
  <si>
    <t>Linear Washer Reflector, White Color, 150mm Length, 50mm Width, Bold Lighting LLC, 17-WW-1.5, DK-150*50-GSZ-H18-BL-WT-MAWT-PQ1</t>
  </si>
  <si>
    <t>AC016GSO</t>
  </si>
  <si>
    <t>Optic_Kick_Reflector</t>
  </si>
  <si>
    <t>Kick Reflector, Plastic, 40mm Diameter, Silver Color, GUANGDONG SHINLAND OPTICAL TECHNOLOGY CO LTD., SL-RF-AF-050B-SW-2</t>
  </si>
  <si>
    <t>Fresnel Reflector</t>
  </si>
  <si>
    <t>AC017GSO</t>
  </si>
  <si>
    <t>Optic_Fresnel</t>
  </si>
  <si>
    <t>Fresnel Reflector, Plastic, 37mm Diameter, Transparent Color, GUANGDONG SHINLAND OPTICAL TECHNOLOGY CO LTD., SL-RF-AB-037-WW-V1</t>
  </si>
  <si>
    <t>G,W</t>
  </si>
  <si>
    <t>Fresenl Reflector, Plastic, 37mm Diameter, Transparent Color, GUANGDONG SHINLAND OPTICAL TECHNOLOGY CO LTD., SL-RF-AB-037-WW-V1</t>
  </si>
  <si>
    <t>A-AB20</t>
  </si>
  <si>
    <t>DI005BRV</t>
  </si>
  <si>
    <t>BXO, BIO, BHO, BOO, BKO, BJO</t>
  </si>
  <si>
    <t xml:space="preserve">ASYMMETRIC DIRECTION TURNING DIFFUSER, 21° </t>
  </si>
  <si>
    <t>E series</t>
  </si>
  <si>
    <t>Elliptical Diffuser</t>
  </si>
  <si>
    <t>17-Hex-10-V2</t>
  </si>
  <si>
    <t>BXH, BKH, BXO, BKO,BHS,BHO</t>
  </si>
  <si>
    <t>Honeycomb Reflector, 17-HEX</t>
  </si>
  <si>
    <t>LR033BLD</t>
  </si>
  <si>
    <t>LR032BLD</t>
  </si>
  <si>
    <t>LR031BLD</t>
  </si>
  <si>
    <t>LR030BLD</t>
  </si>
  <si>
    <t>Y-CG01-008</t>
  </si>
  <si>
    <t>MA002ZDL</t>
  </si>
  <si>
    <t>B, S</t>
  </si>
  <si>
    <t>Indoor, Pendant Kit B, Grey, Zhongshan Dora Lighting  Co., LTD., Y-CG01-008</t>
  </si>
  <si>
    <t>C12025</t>
  </si>
  <si>
    <t>MA000ZDL</t>
  </si>
  <si>
    <t>W,G</t>
  </si>
  <si>
    <t>Indoor, Pendant Kit A, White, Zhongshan Dora Lighting  Co., LTD., C12025</t>
  </si>
  <si>
    <t>MA001ZDL</t>
  </si>
  <si>
    <t>Indoor, Pendant Kit A, Black, Zhongshan Dora Lighting  Co., LTD., C12025</t>
  </si>
  <si>
    <t xml:space="preserve">Pendant Kit A </t>
  </si>
  <si>
    <t>Outdoor Pendant Kit</t>
  </si>
  <si>
    <t>Driver Spacer</t>
  </si>
  <si>
    <t>AC024GEN</t>
  </si>
  <si>
    <t>Spacer , Plastic, 7x4x6mm, White Color, C.B. ELECTRONICS S.A.R.L, ABS-4X6</t>
  </si>
  <si>
    <t>Self-Adhesive Backed Mounts</t>
  </si>
  <si>
    <t>AC060GEN</t>
  </si>
  <si>
    <t>BIO,BIS,BIW,BJO,BJS,BJW,BXO,BXH,BKO,BKH,BIK</t>
  </si>
  <si>
    <t>Self-Adhesive Backed Mounts, nylon66, L19.5 W19.5 H3.9 T4.8, White/Black Color, Dongguan city WASI Electronic Technology Co., LTD., HS-101S-GS</t>
  </si>
  <si>
    <t>Sealents</t>
  </si>
  <si>
    <t>Silicon (Weicon Flex310M Classic)</t>
  </si>
  <si>
    <t>AD003WEI</t>
  </si>
  <si>
    <t>Silicon</t>
  </si>
  <si>
    <t>Outdoor sealent</t>
  </si>
  <si>
    <t>Resin A (Jorle ZR340 Part A)</t>
  </si>
  <si>
    <t>RE001JOR</t>
  </si>
  <si>
    <t>Resin</t>
  </si>
  <si>
    <t>Driver Box Resin (in Kg)</t>
  </si>
  <si>
    <t>Resin B (Jorle ZR340 Part B)</t>
  </si>
  <si>
    <t>RE000JOR</t>
  </si>
  <si>
    <t>Screws</t>
  </si>
  <si>
    <t>ISO 7045 - M3 x 6 - Z - 4N</t>
  </si>
  <si>
    <t>SC001GEN</t>
  </si>
  <si>
    <t>M3 x 6</t>
  </si>
  <si>
    <t>ST 4.2 x 6</t>
  </si>
  <si>
    <t>SC005GEN</t>
  </si>
  <si>
    <t>4/D</t>
  </si>
  <si>
    <t>BHDkS Coarse, 6 x 1.25</t>
  </si>
  <si>
    <t>S,M</t>
  </si>
  <si>
    <t xml:space="preserve">Coarse Screw 4 mm </t>
  </si>
  <si>
    <t>R,T,S,P,M,W</t>
  </si>
  <si>
    <t>Set Screw M4 x 6</t>
  </si>
  <si>
    <t>SC006GEN</t>
  </si>
  <si>
    <t>43 x 6</t>
  </si>
  <si>
    <t>M3X4 ISO 7045</t>
  </si>
  <si>
    <t>SC000GEN</t>
  </si>
  <si>
    <t>Machine Screw, Pan Head, Phillips Imprint, Dimensions: M3x4, M3x4 ISO 7045, M3x4 ISO 7045</t>
  </si>
  <si>
    <t>M4X8 ISO 4017/M4X12 ISO 4017</t>
  </si>
  <si>
    <t>SC002GEN</t>
  </si>
  <si>
    <t>Machine Screw, Hex Bolt Head, Hex Imprint, Dimensions: M4x8, M4x8 ISO 4017, M4x8 ISO 4017</t>
  </si>
  <si>
    <t>M4X40 ISO 7045</t>
  </si>
  <si>
    <t>SC004GEN</t>
  </si>
  <si>
    <t>Machine Screw, Pan Head, Phillips Imprint, Dimensions: M4x40, M4x40 ISO 7045, M4x40 ISO 7045</t>
  </si>
  <si>
    <t>BXO, BXH, BIO, BIS, BIW, BIK</t>
  </si>
  <si>
    <t>Powder Coating</t>
  </si>
  <si>
    <t>RAL 9005 (black )</t>
  </si>
  <si>
    <t>PC004TCI</t>
  </si>
  <si>
    <t>Powder Coat</t>
  </si>
  <si>
    <t>S,M,P,W</t>
  </si>
  <si>
    <t>Powder Coating / PC003BMA in LB (Kg)</t>
  </si>
  <si>
    <t>RAL 7038 (grey)</t>
  </si>
  <si>
    <t>PC012BMA</t>
  </si>
  <si>
    <r>
      <t xml:space="preserve">Powder Coating (Kg) / PC007TCI in USA (Kg) - </t>
    </r>
    <r>
      <rPr>
        <sz val="11"/>
        <color rgb="FFFF0000"/>
        <rFont val="Calibri"/>
        <family val="2"/>
        <scheme val="minor"/>
      </rPr>
      <t>FOR CANOPY</t>
    </r>
  </si>
  <si>
    <t>PC007TCI</t>
  </si>
  <si>
    <t>Powder Coating (Kg) / PC012BMA in LB (Kg)</t>
  </si>
  <si>
    <t>RAL 9016 (white)</t>
  </si>
  <si>
    <t>PC005TCI</t>
  </si>
  <si>
    <t>Powder Coating / PC002BMA in LB (Kg)</t>
  </si>
  <si>
    <t>Packaging</t>
  </si>
  <si>
    <t>Nylon Wrap</t>
  </si>
  <si>
    <t>PRN26CW50MT</t>
  </si>
  <si>
    <t xml:space="preserve">Pallets </t>
  </si>
  <si>
    <t xml:space="preserve">Styrofoam Board 6 mm </t>
  </si>
  <si>
    <t xml:space="preserve">Nails </t>
  </si>
  <si>
    <t>Packaging Clips</t>
  </si>
  <si>
    <t xml:space="preserve">Packaging Belts </t>
  </si>
  <si>
    <t xml:space="preserve">Cartons </t>
  </si>
  <si>
    <t>on hold</t>
  </si>
  <si>
    <t>Fixture Labels</t>
  </si>
  <si>
    <t>LB000GEN</t>
  </si>
  <si>
    <t>Fixture labels</t>
  </si>
  <si>
    <t>Labels 52x26mm (White)</t>
  </si>
  <si>
    <t>LB001GEN</t>
  </si>
  <si>
    <t>Carton label</t>
  </si>
  <si>
    <t>Boards</t>
  </si>
  <si>
    <t>Aluminum 1250x2500x1</t>
  </si>
  <si>
    <t xml:space="preserve">Consumables </t>
  </si>
  <si>
    <t xml:space="preserve">Opal indoor and outdoor PCB plate </t>
  </si>
  <si>
    <t>Aluminum 1250x2500x1.5</t>
  </si>
  <si>
    <t>Sym indoor and outdoor PCB plate</t>
  </si>
  <si>
    <t>Aluminum 1250x2500x2</t>
  </si>
  <si>
    <t xml:space="preserve">Asym indoor PCB Plate </t>
  </si>
  <si>
    <t>Mild or Zincor Steel 1250x2500x1</t>
  </si>
  <si>
    <t xml:space="preserve">Brackets indoor and outdoor </t>
  </si>
  <si>
    <t>Mild or Zincor Steel 1250x2500x1.5</t>
  </si>
  <si>
    <t>Stainless Steel 304 1250x2500x0.6</t>
  </si>
  <si>
    <t xml:space="preserve">outdoor Housings </t>
  </si>
  <si>
    <t>Galv Steel 1250x2500x0.6</t>
  </si>
  <si>
    <t xml:space="preserve">Downlight Housings </t>
  </si>
  <si>
    <t>Labor</t>
  </si>
  <si>
    <t>Assembly (Temp. Removed)</t>
  </si>
  <si>
    <t>Manlabor</t>
  </si>
  <si>
    <t>Assembly manlabor for billet indoor 12"</t>
  </si>
  <si>
    <t>Assembly manlabor for billet indoor 18"</t>
  </si>
  <si>
    <t>Assembly manlabor for billet indoor 24"</t>
  </si>
  <si>
    <t>Assembly manlabor for billet indoor 30"</t>
  </si>
  <si>
    <t>Assembly manlabor for billet indoor 36"</t>
  </si>
  <si>
    <t>Assembly manlabor for billet indoor 42"</t>
  </si>
  <si>
    <t>Assembly manlabor for billet indoor 48"</t>
  </si>
  <si>
    <t>Assembly manlabor for billet indoor 54"</t>
  </si>
  <si>
    <t>Assembly manlabor for billet indoor 60"</t>
  </si>
  <si>
    <t>Assembly manlabor for billet outdoor 12"</t>
  </si>
  <si>
    <t>Assembly manlabor for billet outdoor 18"</t>
  </si>
  <si>
    <t>Assembly manlabor for billet outdoor 24"</t>
  </si>
  <si>
    <t>Assembly manlabor for billet outdoor 30"</t>
  </si>
  <si>
    <t>Assembly manlabor for billet outdoor 36"</t>
  </si>
  <si>
    <t>Assembly manlabor for billet outdoor 42"</t>
  </si>
  <si>
    <t>Assembly manlabor for billet outdoor 48"</t>
  </si>
  <si>
    <t>Assembly manlabor for billet outdoor 54"</t>
  </si>
  <si>
    <t>Assembly manlabor for billet outdoor 60"</t>
  </si>
  <si>
    <t>Reference</t>
  </si>
  <si>
    <t>EXW RM</t>
  </si>
  <si>
    <t>Landed RM</t>
  </si>
  <si>
    <t>EXW Driver</t>
  </si>
  <si>
    <t>Landed Driver</t>
  </si>
  <si>
    <t># 1</t>
  </si>
  <si>
    <t>ERP</t>
  </si>
  <si>
    <t>Unit Cost</t>
  </si>
  <si>
    <t>Total Cost</t>
  </si>
  <si>
    <t>Unit Price</t>
  </si>
  <si>
    <t>Total Price</t>
  </si>
  <si>
    <t>Row Labels</t>
  </si>
  <si>
    <t>Sum of Qty</t>
  </si>
  <si>
    <t>(blank)</t>
  </si>
  <si>
    <t>Consumables</t>
  </si>
  <si>
    <t>Grand Total</t>
  </si>
  <si>
    <t/>
  </si>
  <si>
    <t>Color</t>
  </si>
  <si>
    <t>Power</t>
  </si>
  <si>
    <t>Beam</t>
  </si>
  <si>
    <t xml:space="preserve"> </t>
  </si>
  <si>
    <t>T.Qty</t>
  </si>
  <si>
    <t>EXW Unit</t>
  </si>
  <si>
    <t>EXW Total</t>
  </si>
  <si>
    <t>Landed Total GA</t>
  </si>
  <si>
    <t>Landed Total LB</t>
  </si>
  <si>
    <t>Push Wire Connector, 3 poles / Connectors</t>
  </si>
  <si>
    <t>Push Wire Connector, 4 poles / Connectors</t>
  </si>
  <si>
    <t>Solid Core Wire,  Red Color / Wires</t>
  </si>
  <si>
    <t>Solid Core Wire, Black Color / Wires</t>
  </si>
  <si>
    <t>M3X4 ISO 7045 / Screws</t>
  </si>
  <si>
    <t>M4X8 ISO 4017/M4X12 ISO 4017 / Screws</t>
  </si>
  <si>
    <t>Fixture Labels / Packaging</t>
  </si>
  <si>
    <t>Labels 52x26mm (White) / Packaging</t>
  </si>
  <si>
    <t>ERP cat</t>
  </si>
  <si>
    <t>item</t>
  </si>
  <si>
    <t>DR190EUC</t>
  </si>
  <si>
    <t>PUP40D-1WMC-1200</t>
  </si>
  <si>
    <t>Driver, 40W, Dali Dimming, Monochromatic, Linear Form, Constant Current, 850-1200mA, 1 Channel, 120-277VAC Input Voltage</t>
  </si>
  <si>
    <t>Missing PCB</t>
  </si>
  <si>
    <t>ISO 7045 - M3 x 6 - Z - 4N / Screws</t>
  </si>
  <si>
    <t>ST 4.2 x 6 / Screws</t>
  </si>
  <si>
    <t>Nylon Wrap / Packaging</t>
  </si>
  <si>
    <t>Inset part: 43%</t>
  </si>
  <si>
    <t>Control part: 20%</t>
  </si>
  <si>
    <t>Body part: 37%</t>
  </si>
  <si>
    <t>2300 mm</t>
  </si>
  <si>
    <t>17-Hex-10-V2 / Optic_Reflector</t>
  </si>
  <si>
    <t>BHS-I60G-MUD-B-M930-0</t>
  </si>
  <si>
    <t>BHSI60GMUDBM9300</t>
  </si>
  <si>
    <t>Billet Outdoor, IP67, Inground, Flat Black HoneyComb TIR, 35°, 60 inch, 5 ft, Grey Body Finish, 120/277V, 10W/ft, Dali to 1% - Integral Driver, CRI90, 3000K, No Emergency</t>
  </si>
  <si>
    <t>BHS-I60G-MUD-B-M930-0S</t>
  </si>
  <si>
    <t>Billet Outdoor, IP67, Inground, Flat Black HoneyComb TIR, 35°, 60 inch, 5 ft, Grey Body Finish, 120/277V, 10W/ft, Dali to 1% - Integral Driver, CRI90, 3000K, No Emergency, Single with 3ft Feeding Whip</t>
  </si>
  <si>
    <t>17011 / Aluminum Profile</t>
  </si>
  <si>
    <t>1562.5 mm</t>
  </si>
  <si>
    <t>17041 / Aluminum Profile</t>
  </si>
  <si>
    <t>1571 mm</t>
  </si>
  <si>
    <t>17012 / Aluminum Profile</t>
  </si>
  <si>
    <t>1568.8 mm</t>
  </si>
  <si>
    <t>17021 / Aluminum Profile</t>
  </si>
  <si>
    <t>1000 mm</t>
  </si>
  <si>
    <t>17014 / Glass</t>
  </si>
  <si>
    <t>E17012 / Aluminum, 1.5mm</t>
  </si>
  <si>
    <t>17908 / Galv Steel, 0.6mm</t>
  </si>
  <si>
    <t>17024 / Galv Steel, 1mm</t>
  </si>
  <si>
    <t>17044 / Galv Steel, 1.5mm</t>
  </si>
  <si>
    <t>HITP-X02 / Accessories</t>
  </si>
  <si>
    <t>17013 / Endcap</t>
  </si>
  <si>
    <t>17022 / Endcap</t>
  </si>
  <si>
    <t>17042 / Aluminum, 2mm</t>
  </si>
  <si>
    <t>SRPL-2305N-50CC650-1300U / Drivers</t>
  </si>
  <si>
    <t>Shenzhen Sunricher Technology Co. Ltd, SRPL-2305N-50CC650-1300U, Driver, 50W, Dali DT6 Dimming, Monochromatic, Linear Form, Constant Current, 650-1300mA, 1 Channel, 220-240V Input Voltage</t>
  </si>
  <si>
    <t>Outdoor cable 6 poles / Cables</t>
  </si>
  <si>
    <t>1 mm</t>
  </si>
  <si>
    <t>Cable gland M18x1.5 / Cable Gland</t>
  </si>
  <si>
    <t>Outdoor Power Stranded Core Cable, Black / Cables</t>
  </si>
  <si>
    <t>1100 mm</t>
  </si>
  <si>
    <t>17910 / PCB</t>
  </si>
  <si>
    <t>LL01ZZ-HQ40L06-M2 / Optic_Lens</t>
  </si>
  <si>
    <t>Silicon (Weicon Flex310M Classic) / Silicon</t>
  </si>
  <si>
    <t>Resin A (Jorle ZR340 Part A) / Resin</t>
  </si>
  <si>
    <t>Resin B (Jorle ZR340 Part B) / Resin</t>
  </si>
  <si>
    <t>Set Screw M4 x 6 / Screws</t>
  </si>
  <si>
    <t>RAL 7038 (grey) / Powder Coat</t>
  </si>
  <si>
    <t>BHSI60GMUDBM9300S</t>
  </si>
  <si>
    <t>9105.30 pc</t>
  </si>
  <si>
    <t>2582.10 pc</t>
  </si>
  <si>
    <t>271.80 pc</t>
  </si>
  <si>
    <t>99.15 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</si>
</sst>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\ &quot;pc&quot;"/>
    <numFmt numFmtId="166" formatCode="[&lt;=9999999]###\-####;\(###\)\ ###\-####"/>
    <numFmt numFmtId="167" formatCode="_(* #,##0_);_(* \(#,##0\);_(* &quot;-&quot;??_);_(@_)"/>
    <numFmt numFmtId="168" formatCode="0.0000"/>
  </numFmts>
  <fonts count="3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theme="1" tint="0.499984740745262"/>
      <name val="Calibri Light"/>
      <family val="2"/>
      <scheme val="major"/>
    </font>
    <font>
      <b/>
      <sz val="18"/>
      <color theme="1" tint="0.2499465926084170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name val="Arial"/>
      <family val="2"/>
    </font>
    <font>
      <b/>
      <sz val="12"/>
      <color theme="1"/>
      <name val="Courier New"/>
      <family val="3"/>
    </font>
    <font>
      <sz val="11"/>
      <color theme="0" tint="-0.34998626667073579"/>
      <name val="Calibri"/>
      <family val="2"/>
      <scheme val="minor"/>
    </font>
    <font>
      <b/>
      <sz val="16"/>
      <color theme="1"/>
      <name val="Courier New"/>
      <family val="3"/>
    </font>
    <font>
      <sz val="11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000000"/>
      <name val="Courier New"/>
      <family val="3"/>
    </font>
    <font>
      <sz val="16"/>
      <color theme="1"/>
      <name val="Courier New"/>
      <family val="3"/>
    </font>
    <font>
      <b/>
      <sz val="24"/>
      <color theme="1" tint="4.9989318521683403E-2"/>
      <name val="Dreaming Outloud Script Pro"/>
      <family val="4"/>
    </font>
    <font>
      <b/>
      <sz val="16"/>
      <color theme="1" tint="4.9989318521683403E-2"/>
      <name val="Dreaming Outloud Pro"/>
      <family val="4"/>
    </font>
    <font>
      <b/>
      <sz val="11"/>
      <color rgb="FFFF00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000000"/>
      <name val="Courier New"/>
      <family val="3"/>
    </font>
    <font>
      <b/>
      <sz val="10"/>
      <color theme="1"/>
      <name val="Calibri"/>
      <family val="2"/>
      <scheme val="minor"/>
    </font>
    <font>
      <sz val="26"/>
      <color rgb="FF00FFFF"/>
      <name val="Calibri"/>
      <family val="2"/>
    </font>
    <font>
      <b/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i/>
      <sz val="7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D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AD6C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</borders>
  <cellStyleXfs count="32">
    <xf numFmtId="0" fontId="0" fillId="0" borderId="0"/>
    <xf numFmtId="0" fontId="1" fillId="2" borderId="0" applyNumberFormat="0" applyBorder="0" applyAlignment="0" applyProtection="0"/>
    <xf numFmtId="44" fontId="6" fillId="0" borderId="0" applyFont="0" applyFill="0" applyBorder="0" applyAlignment="0" applyProtection="0"/>
    <xf numFmtId="0" fontId="9" fillId="16" borderId="2" applyNumberFormat="0" applyAlignment="0" applyProtection="0"/>
    <xf numFmtId="0" fontId="11" fillId="0" borderId="0"/>
    <xf numFmtId="0" fontId="13" fillId="0" borderId="0">
      <alignment horizontal="left" vertical="center" wrapText="1"/>
    </xf>
    <xf numFmtId="3" fontId="13" fillId="0" borderId="0" applyFont="0" applyFill="0" applyBorder="0">
      <alignment horizontal="center" vertical="center"/>
    </xf>
    <xf numFmtId="44" fontId="18" fillId="0" borderId="0" applyFont="0" applyFill="0" applyBorder="0" applyProtection="0">
      <alignment horizontal="right" vertical="center"/>
    </xf>
    <xf numFmtId="10" fontId="18" fillId="0" borderId="0" applyFont="0" applyFill="0" applyBorder="0" applyProtection="0">
      <alignment horizontal="right" vertical="center"/>
    </xf>
    <xf numFmtId="0" fontId="14" fillId="0" borderId="0">
      <alignment horizontal="right"/>
    </xf>
    <xf numFmtId="0" fontId="15" fillId="0" borderId="0"/>
    <xf numFmtId="0" fontId="17" fillId="0" borderId="0">
      <alignment horizontal="right"/>
    </xf>
    <xf numFmtId="0" fontId="16" fillId="0" borderId="0">
      <alignment vertical="top"/>
    </xf>
    <xf numFmtId="0" fontId="16" fillId="0" borderId="0">
      <alignment horizontal="right" vertical="center"/>
    </xf>
    <xf numFmtId="0" fontId="13" fillId="0" borderId="5">
      <alignment horizontal="center" vertical="center" wrapText="1"/>
    </xf>
    <xf numFmtId="0" fontId="16" fillId="0" borderId="0">
      <alignment horizontal="center" wrapText="1"/>
    </xf>
    <xf numFmtId="0" fontId="17" fillId="0" borderId="0">
      <alignment horizontal="left" vertical="top" wrapText="1"/>
    </xf>
    <xf numFmtId="0" fontId="13" fillId="0" borderId="0">
      <alignment horizontal="right" vertical="center" indent="1"/>
    </xf>
    <xf numFmtId="166" fontId="13" fillId="0" borderId="0" applyFont="0" applyFill="0" applyBorder="0">
      <alignment horizontal="left" vertical="top"/>
    </xf>
    <xf numFmtId="0" fontId="16" fillId="0" borderId="0">
      <alignment horizontal="right"/>
    </xf>
    <xf numFmtId="0" fontId="13" fillId="22" borderId="5">
      <alignment horizontal="center" vertical="center"/>
    </xf>
    <xf numFmtId="49" fontId="13" fillId="0" borderId="0" applyFont="0" applyFill="0" applyBorder="0">
      <alignment horizontal="center" vertical="center" wrapText="1"/>
    </xf>
    <xf numFmtId="0" fontId="13" fillId="0" borderId="6" applyNumberFormat="0" applyFont="0" applyFill="0" applyAlignment="0">
      <alignment horizontal="left" vertical="center" wrapText="1"/>
    </xf>
    <xf numFmtId="14" fontId="13" fillId="0" borderId="0" applyFont="0" applyFill="0" applyBorder="0">
      <alignment horizontal="center" vertical="center"/>
    </xf>
    <xf numFmtId="0" fontId="13" fillId="0" borderId="0">
      <alignment horizontal="left" vertical="center" wrapText="1"/>
    </xf>
    <xf numFmtId="0" fontId="13" fillId="0" borderId="0">
      <alignment horizontal="left" vertical="center" wrapText="1"/>
    </xf>
    <xf numFmtId="14" fontId="13" fillId="0" borderId="0">
      <alignment horizontal="left"/>
    </xf>
    <xf numFmtId="0" fontId="13" fillId="0" borderId="0" applyNumberFormat="0" applyFont="0" applyFill="0" applyBorder="0">
      <alignment horizontal="left" wrapText="1"/>
    </xf>
    <xf numFmtId="0" fontId="13" fillId="0" borderId="0">
      <alignment horizontal="left" vertical="center" wrapText="1"/>
    </xf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44" fontId="0" fillId="0" borderId="0" xfId="2" applyFont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0" fillId="0" borderId="0" xfId="0" applyNumberFormat="1" applyFont="1" applyAlignment="1">
      <alignment horizontal="center" vertical="center"/>
    </xf>
    <xf numFmtId="49" fontId="0" fillId="17" borderId="0" xfId="0" applyNumberFormat="1" applyFill="1" applyAlignment="1">
      <alignment horizontal="center" vertical="center"/>
    </xf>
    <xf numFmtId="49" fontId="0" fillId="20" borderId="0" xfId="0" applyNumberForma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6" fillId="0" borderId="1" xfId="0" applyFont="1" applyBorder="1" applyAlignment="1">
      <alignment horizontal="left" vertical="top"/>
    </xf>
    <xf numFmtId="44" fontId="6" fillId="0" borderId="1" xfId="0" applyNumberFormat="1" applyFont="1" applyBorder="1" applyAlignment="1">
      <alignment horizontal="left" vertical="top"/>
    </xf>
    <xf numFmtId="44" fontId="6" fillId="0" borderId="1" xfId="2" applyFont="1" applyBorder="1" applyAlignment="1">
      <alignment horizontal="left" vertical="top"/>
    </xf>
    <xf numFmtId="49" fontId="6" fillId="0" borderId="1" xfId="0" applyNumberFormat="1" applyFont="1" applyBorder="1" applyAlignment="1">
      <alignment horizontal="left" vertical="top"/>
    </xf>
    <xf numFmtId="164" fontId="6" fillId="0" borderId="1" xfId="0" applyNumberFormat="1" applyFont="1" applyBorder="1" applyAlignment="1">
      <alignment horizontal="left" vertical="top"/>
    </xf>
    <xf numFmtId="0" fontId="6" fillId="21" borderId="1" xfId="0" applyFont="1" applyFill="1" applyBorder="1" applyAlignment="1">
      <alignment horizontal="left" vertical="top"/>
    </xf>
    <xf numFmtId="0" fontId="6" fillId="20" borderId="1" xfId="0" applyFont="1" applyFill="1" applyBorder="1" applyAlignment="1">
      <alignment horizontal="left" vertical="top"/>
    </xf>
    <xf numFmtId="0" fontId="6" fillId="17" borderId="1" xfId="0" applyFont="1" applyFill="1" applyBorder="1" applyAlignment="1">
      <alignment horizontal="left" vertical="top"/>
    </xf>
    <xf numFmtId="0" fontId="6" fillId="23" borderId="1" xfId="0" applyFont="1" applyFill="1" applyBorder="1" applyAlignment="1">
      <alignment horizontal="left" vertical="top"/>
    </xf>
    <xf numFmtId="0" fontId="0" fillId="23" borderId="0" xfId="0" applyFill="1" applyAlignment="1">
      <alignment horizontal="left" vertical="center"/>
    </xf>
    <xf numFmtId="0" fontId="0" fillId="0" borderId="1" xfId="0" applyBorder="1" applyAlignment="1">
      <alignment horizontal="left" vertical="top"/>
    </xf>
    <xf numFmtId="49" fontId="0" fillId="6" borderId="0" xfId="0" applyNumberFormat="1" applyFill="1" applyAlignment="1">
      <alignment horizontal="center" vertical="center"/>
    </xf>
    <xf numFmtId="49" fontId="0" fillId="24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6" fillId="0" borderId="1" xfId="0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center"/>
    </xf>
    <xf numFmtId="2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top"/>
    </xf>
    <xf numFmtId="1" fontId="4" fillId="2" borderId="1" xfId="1" applyNumberFormat="1" applyFont="1" applyBorder="1" applyAlignment="1">
      <alignment horizontal="center" vertical="center" wrapText="1"/>
    </xf>
    <xf numFmtId="0" fontId="4" fillId="2" borderId="1" xfId="1" applyFont="1" applyBorder="1" applyAlignment="1">
      <alignment horizontal="center" vertical="center" wrapText="1"/>
    </xf>
    <xf numFmtId="49" fontId="0" fillId="27" borderId="0" xfId="0" applyNumberFormat="1" applyFill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0" fillId="28" borderId="0" xfId="0" applyFill="1" applyAlignment="1">
      <alignment horizontal="center" vertical="center"/>
    </xf>
    <xf numFmtId="165" fontId="0" fillId="28" borderId="0" xfId="0" applyNumberFormat="1" applyFill="1" applyAlignment="1">
      <alignment horizontal="center" vertical="center"/>
    </xf>
    <xf numFmtId="0" fontId="20" fillId="28" borderId="0" xfId="24" applyFont="1" applyFill="1" applyAlignment="1">
      <alignment horizontal="center" vertical="center" wrapText="1"/>
    </xf>
    <xf numFmtId="0" fontId="23" fillId="28" borderId="0" xfId="0" applyFont="1" applyFill="1" applyAlignment="1">
      <alignment vertical="center"/>
    </xf>
    <xf numFmtId="14" fontId="21" fillId="28" borderId="0" xfId="0" applyNumberFormat="1" applyFont="1" applyFill="1" applyAlignment="1">
      <alignment vertical="center"/>
    </xf>
    <xf numFmtId="0" fontId="21" fillId="28" borderId="0" xfId="0" applyFont="1" applyFill="1" applyAlignment="1">
      <alignment vertical="center"/>
    </xf>
    <xf numFmtId="0" fontId="24" fillId="28" borderId="11" xfId="0" applyFont="1" applyFill="1" applyBorder="1" applyAlignment="1">
      <alignment horizontal="center" vertical="center"/>
    </xf>
    <xf numFmtId="0" fontId="25" fillId="28" borderId="11" xfId="0" applyFont="1" applyFill="1" applyBorder="1" applyAlignment="1">
      <alignment horizontal="center" vertical="center"/>
    </xf>
    <xf numFmtId="0" fontId="24" fillId="26" borderId="13" xfId="0" applyFont="1" applyFill="1" applyBorder="1" applyAlignment="1">
      <alignment horizontal="center" vertical="center"/>
    </xf>
    <xf numFmtId="0" fontId="24" fillId="28" borderId="10" xfId="0" applyFont="1" applyFill="1" applyBorder="1" applyAlignment="1">
      <alignment horizontal="center" vertical="center"/>
    </xf>
    <xf numFmtId="0" fontId="19" fillId="29" borderId="14" xfId="3" applyFont="1" applyFill="1" applyBorder="1" applyAlignment="1">
      <alignment horizontal="center" vertical="center"/>
    </xf>
    <xf numFmtId="0" fontId="19" fillId="29" borderId="15" xfId="3" applyFont="1" applyFill="1" applyBorder="1" applyAlignment="1">
      <alignment horizontal="center" vertical="center"/>
    </xf>
    <xf numFmtId="165" fontId="19" fillId="29" borderId="12" xfId="3" applyNumberFormat="1" applyFont="1" applyFill="1" applyBorder="1" applyAlignment="1">
      <alignment horizontal="center" vertical="center"/>
    </xf>
    <xf numFmtId="165" fontId="19" fillId="29" borderId="16" xfId="3" applyNumberFormat="1" applyFont="1" applyFill="1" applyBorder="1" applyAlignment="1">
      <alignment horizontal="center" vertical="center"/>
    </xf>
    <xf numFmtId="49" fontId="0" fillId="28" borderId="0" xfId="0" applyNumberFormat="1" applyFill="1" applyAlignment="1">
      <alignment horizontal="center" vertical="center"/>
    </xf>
    <xf numFmtId="49" fontId="29" fillId="28" borderId="0" xfId="0" applyNumberFormat="1" applyFont="1" applyFill="1" applyAlignment="1">
      <alignment horizontal="center" vertical="center"/>
    </xf>
    <xf numFmtId="0" fontId="0" fillId="22" borderId="0" xfId="0" applyFill="1"/>
    <xf numFmtId="0" fontId="0" fillId="29" borderId="0" xfId="0" applyFill="1"/>
    <xf numFmtId="0" fontId="2" fillId="22" borderId="0" xfId="0" applyFont="1" applyFill="1"/>
    <xf numFmtId="0" fontId="0" fillId="0" borderId="1" xfId="0" applyBorder="1"/>
    <xf numFmtId="49" fontId="31" fillId="26" borderId="11" xfId="0" applyNumberFormat="1" applyFont="1" applyFill="1" applyBorder="1" applyAlignment="1">
      <alignment horizontal="center" vertical="center"/>
    </xf>
    <xf numFmtId="44" fontId="0" fillId="19" borderId="0" xfId="2" applyFont="1" applyFill="1" applyAlignment="1">
      <alignment horizontal="center" vertical="center"/>
    </xf>
    <xf numFmtId="49" fontId="0" fillId="30" borderId="0" xfId="0" applyNumberFormat="1" applyFill="1" applyAlignment="1">
      <alignment horizontal="center" vertical="center"/>
    </xf>
    <xf numFmtId="49" fontId="31" fillId="20" borderId="11" xfId="0" applyNumberFormat="1" applyFont="1" applyFill="1" applyBorder="1" applyAlignment="1">
      <alignment horizontal="center" vertical="center"/>
    </xf>
    <xf numFmtId="0" fontId="0" fillId="23" borderId="1" xfId="0" applyFill="1" applyBorder="1" applyAlignment="1">
      <alignment horizontal="left" vertical="top"/>
    </xf>
    <xf numFmtId="44" fontId="0" fillId="0" borderId="1" xfId="2" applyFont="1" applyBorder="1" applyAlignment="1">
      <alignment horizontal="left" vertical="top"/>
    </xf>
    <xf numFmtId="2" fontId="0" fillId="0" borderId="0" xfId="2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4" fillId="2" borderId="1" xfId="1" applyNumberFormat="1" applyFont="1" applyBorder="1" applyAlignment="1">
      <alignment horizontal="center" vertical="center" wrapText="1"/>
    </xf>
    <xf numFmtId="44" fontId="6" fillId="0" borderId="1" xfId="2" applyFont="1" applyFill="1" applyBorder="1" applyAlignment="1">
      <alignment horizontal="left" vertical="top"/>
    </xf>
    <xf numFmtId="49" fontId="0" fillId="0" borderId="1" xfId="0" applyNumberFormat="1" applyBorder="1" applyAlignment="1">
      <alignment horizontal="left" vertical="center"/>
    </xf>
    <xf numFmtId="44" fontId="6" fillId="17" borderId="1" xfId="2" applyFont="1" applyFill="1" applyBorder="1" applyAlignment="1">
      <alignment horizontal="left" vertical="top"/>
    </xf>
    <xf numFmtId="44" fontId="0" fillId="0" borderId="0" xfId="2" applyFont="1"/>
    <xf numFmtId="2" fontId="0" fillId="17" borderId="1" xfId="0" applyNumberFormat="1" applyFill="1" applyBorder="1" applyAlignment="1">
      <alignment horizontal="center" vertical="top"/>
    </xf>
    <xf numFmtId="0" fontId="32" fillId="0" borderId="0" xfId="0" applyFont="1" applyAlignment="1">
      <alignment horizontal="right" vertical="center"/>
    </xf>
    <xf numFmtId="0" fontId="0" fillId="31" borderId="1" xfId="0" applyFill="1" applyBorder="1" applyAlignment="1">
      <alignment horizontal="left" vertical="top"/>
    </xf>
    <xf numFmtId="44" fontId="6" fillId="31" borderId="1" xfId="2" applyFont="1" applyFill="1" applyBorder="1" applyAlignment="1">
      <alignment horizontal="left" vertical="top"/>
    </xf>
    <xf numFmtId="0" fontId="0" fillId="31" borderId="0" xfId="0" applyFill="1" applyAlignment="1">
      <alignment horizontal="center" vertical="center"/>
    </xf>
    <xf numFmtId="0" fontId="2" fillId="25" borderId="1" xfId="0" applyFont="1" applyFill="1" applyBorder="1" applyAlignment="1">
      <alignment horizontal="center"/>
    </xf>
    <xf numFmtId="0" fontId="2" fillId="25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4" fontId="5" fillId="0" borderId="0" xfId="29" applyFont="1" applyAlignment="1">
      <alignment horizontal="right" vertical="center"/>
    </xf>
    <xf numFmtId="0" fontId="0" fillId="19" borderId="0" xfId="0" applyFill="1" applyAlignment="1">
      <alignment horizontal="center" vertical="center"/>
    </xf>
    <xf numFmtId="9" fontId="0" fillId="28" borderId="0" xfId="31" applyFont="1" applyFill="1" applyAlignment="1">
      <alignment horizontal="center" vertical="center"/>
    </xf>
    <xf numFmtId="167" fontId="0" fillId="28" borderId="0" xfId="30" applyNumberFormat="1" applyFont="1" applyFill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top"/>
    </xf>
    <xf numFmtId="1" fontId="6" fillId="29" borderId="1" xfId="0" applyNumberFormat="1" applyFont="1" applyFill="1" applyBorder="1" applyAlignment="1">
      <alignment horizontal="left" vertical="top"/>
    </xf>
    <xf numFmtId="0" fontId="0" fillId="29" borderId="1" xfId="0" applyFill="1" applyBorder="1" applyAlignment="1">
      <alignment horizontal="left" vertical="top"/>
    </xf>
    <xf numFmtId="0" fontId="6" fillId="29" borderId="1" xfId="0" applyFont="1" applyFill="1" applyBorder="1" applyAlignment="1">
      <alignment horizontal="left" vertical="top"/>
    </xf>
    <xf numFmtId="49" fontId="0" fillId="29" borderId="1" xfId="0" applyNumberFormat="1" applyFill="1" applyBorder="1" applyAlignment="1">
      <alignment horizontal="left" vertical="top"/>
    </xf>
    <xf numFmtId="44" fontId="6" fillId="29" borderId="1" xfId="0" applyNumberFormat="1" applyFont="1" applyFill="1" applyBorder="1" applyAlignment="1">
      <alignment horizontal="left" vertical="top"/>
    </xf>
    <xf numFmtId="0" fontId="13" fillId="29" borderId="1" xfId="0" applyFont="1" applyFill="1" applyBorder="1" applyAlignment="1">
      <alignment horizontal="left" vertical="top"/>
    </xf>
    <xf numFmtId="44" fontId="6" fillId="29" borderId="1" xfId="2" applyFont="1" applyFill="1" applyBorder="1" applyAlignment="1">
      <alignment horizontal="left" vertical="top"/>
    </xf>
    <xf numFmtId="0" fontId="0" fillId="29" borderId="0" xfId="0" applyFill="1" applyAlignment="1">
      <alignment horizontal="center" vertical="center"/>
    </xf>
    <xf numFmtId="2" fontId="0" fillId="19" borderId="0" xfId="2" applyNumberFormat="1" applyFont="1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2" fontId="0" fillId="31" borderId="1" xfId="0" applyNumberFormat="1" applyFill="1" applyBorder="1" applyAlignment="1">
      <alignment horizontal="center" vertical="top"/>
    </xf>
    <xf numFmtId="2" fontId="0" fillId="29" borderId="1" xfId="0" applyNumberFormat="1" applyFill="1" applyBorder="1" applyAlignment="1">
      <alignment horizontal="center" vertical="top"/>
    </xf>
    <xf numFmtId="1" fontId="0" fillId="0" borderId="1" xfId="0" applyNumberForma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4" fontId="0" fillId="28" borderId="0" xfId="0" applyNumberFormat="1" applyFill="1" applyAlignment="1">
      <alignment horizontal="center" vertical="center"/>
    </xf>
    <xf numFmtId="14" fontId="0" fillId="28" borderId="0" xfId="0" applyNumberFormat="1" applyFill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hidden="1"/>
    </xf>
    <xf numFmtId="4" fontId="0" fillId="22" borderId="0" xfId="0" applyNumberFormat="1" applyFill="1"/>
    <xf numFmtId="1" fontId="6" fillId="20" borderId="1" xfId="0" applyNumberFormat="1" applyFont="1" applyFill="1" applyBorder="1" applyAlignment="1">
      <alignment horizontal="left" vertical="top"/>
    </xf>
    <xf numFmtId="49" fontId="6" fillId="20" borderId="1" xfId="0" applyNumberFormat="1" applyFont="1" applyFill="1" applyBorder="1" applyAlignment="1">
      <alignment horizontal="left" vertical="top"/>
    </xf>
    <xf numFmtId="44" fontId="6" fillId="20" borderId="1" xfId="0" applyNumberFormat="1" applyFont="1" applyFill="1" applyBorder="1" applyAlignment="1">
      <alignment horizontal="left" vertical="top"/>
    </xf>
    <xf numFmtId="44" fontId="6" fillId="20" borderId="1" xfId="2" applyFont="1" applyFill="1" applyBorder="1" applyAlignment="1">
      <alignment horizontal="left" vertical="top"/>
    </xf>
    <xf numFmtId="2" fontId="0" fillId="20" borderId="1" xfId="0" applyNumberFormat="1" applyFill="1" applyBorder="1" applyAlignment="1">
      <alignment horizontal="center" vertical="top"/>
    </xf>
    <xf numFmtId="0" fontId="0" fillId="20" borderId="0" xfId="0" applyFill="1" applyAlignment="1">
      <alignment horizontal="center" vertical="center"/>
    </xf>
    <xf numFmtId="44" fontId="0" fillId="0" borderId="3" xfId="2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4" fontId="19" fillId="28" borderId="0" xfId="0" applyNumberFormat="1" applyFont="1" applyFill="1" applyAlignment="1">
      <alignment horizontal="center" vertical="center"/>
    </xf>
    <xf numFmtId="4" fontId="23" fillId="28" borderId="0" xfId="0" applyNumberFormat="1" applyFont="1" applyFill="1" applyAlignment="1">
      <alignment vertical="center"/>
    </xf>
    <xf numFmtId="4" fontId="22" fillId="28" borderId="0" xfId="0" applyNumberFormat="1" applyFont="1" applyFill="1" applyAlignment="1">
      <alignment horizontal="center" vertical="center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hidden="1"/>
    </xf>
    <xf numFmtId="0" fontId="0" fillId="0" borderId="0" xfId="0" pivotButton="1"/>
    <xf numFmtId="0" fontId="6" fillId="0" borderId="1" xfId="0" quotePrefix="1" applyFont="1" applyBorder="1" applyAlignment="1">
      <alignment horizontal="left" vertical="top"/>
    </xf>
    <xf numFmtId="49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center" vertical="center"/>
    </xf>
    <xf numFmtId="44" fontId="2" fillId="0" borderId="0" xfId="2" applyFont="1" applyAlignment="1">
      <alignment horizontal="center" vertical="center"/>
    </xf>
    <xf numFmtId="2" fontId="2" fillId="0" borderId="0" xfId="2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4" fontId="34" fillId="0" borderId="0" xfId="2" applyFont="1" applyAlignment="1">
      <alignment horizontal="center" vertical="center"/>
    </xf>
    <xf numFmtId="0" fontId="0" fillId="19" borderId="26" xfId="0" applyFill="1" applyBorder="1" applyAlignment="1">
      <alignment horizontal="center" vertical="center"/>
    </xf>
    <xf numFmtId="44" fontId="0" fillId="19" borderId="26" xfId="2" applyFont="1" applyFill="1" applyBorder="1" applyAlignment="1">
      <alignment horizontal="center" vertical="center"/>
    </xf>
    <xf numFmtId="0" fontId="35" fillId="0" borderId="25" xfId="0" applyFont="1" applyBorder="1" applyAlignment="1">
      <alignment horizontal="left" vertical="center"/>
    </xf>
    <xf numFmtId="0" fontId="36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2" fontId="35" fillId="0" borderId="0" xfId="2" applyNumberFormat="1" applyFont="1" applyAlignment="1">
      <alignment horizontal="center" vertical="center"/>
    </xf>
    <xf numFmtId="2" fontId="36" fillId="0" borderId="0" xfId="2" applyNumberFormat="1" applyFont="1" applyAlignment="1">
      <alignment horizontal="center" vertical="center"/>
    </xf>
    <xf numFmtId="44" fontId="35" fillId="0" borderId="0" xfId="2" applyFont="1" applyAlignment="1">
      <alignment horizontal="center" vertical="center"/>
    </xf>
    <xf numFmtId="44" fontId="36" fillId="0" borderId="0" xfId="2" applyFont="1" applyAlignment="1">
      <alignment horizontal="center" vertical="center"/>
    </xf>
    <xf numFmtId="2" fontId="35" fillId="0" borderId="0" xfId="0" applyNumberFormat="1" applyFont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49" fontId="35" fillId="0" borderId="0" xfId="0" quotePrefix="1" applyNumberFormat="1" applyFont="1" applyAlignment="1">
      <alignment horizontal="center" vertical="center"/>
    </xf>
    <xf numFmtId="44" fontId="37" fillId="0" borderId="0" xfId="2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2" fontId="0" fillId="0" borderId="3" xfId="2" applyNumberFormat="1" applyFont="1" applyBorder="1" applyAlignment="1">
      <alignment horizontal="center" vertical="center"/>
    </xf>
    <xf numFmtId="44" fontId="38" fillId="0" borderId="0" xfId="2" applyFont="1" applyAlignment="1">
      <alignment horizontal="center" vertical="center"/>
    </xf>
    <xf numFmtId="0" fontId="2" fillId="0" borderId="26" xfId="0" applyFont="1" applyBorder="1" applyAlignment="1">
      <alignment horizontal="left" vertical="center"/>
    </xf>
    <xf numFmtId="44" fontId="2" fillId="17" borderId="26" xfId="2" applyFont="1" applyFill="1" applyBorder="1" applyAlignment="1">
      <alignment horizontal="center" vertical="center"/>
    </xf>
    <xf numFmtId="44" fontId="2" fillId="32" borderId="26" xfId="2" applyFont="1" applyFill="1" applyBorder="1" applyAlignment="1">
      <alignment horizontal="center" vertical="center"/>
    </xf>
    <xf numFmtId="0" fontId="35" fillId="0" borderId="4" xfId="0" applyFont="1" applyBorder="1" applyAlignment="1">
      <alignment horizontal="left" vertical="center"/>
    </xf>
    <xf numFmtId="0" fontId="35" fillId="0" borderId="3" xfId="0" applyFont="1" applyBorder="1" applyAlignment="1">
      <alignment horizontal="left" vertical="center"/>
    </xf>
    <xf numFmtId="49" fontId="35" fillId="0" borderId="3" xfId="0" applyNumberFormat="1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2" fontId="35" fillId="0" borderId="3" xfId="2" applyNumberFormat="1" applyFont="1" applyBorder="1" applyAlignment="1">
      <alignment horizontal="center" vertical="center"/>
    </xf>
    <xf numFmtId="44" fontId="35" fillId="0" borderId="3" xfId="2" applyFont="1" applyBorder="1" applyAlignment="1">
      <alignment horizontal="center" vertical="center"/>
    </xf>
    <xf numFmtId="0" fontId="32" fillId="0" borderId="28" xfId="0" applyFont="1" applyBorder="1" applyAlignment="1">
      <alignment horizontal="right" vertical="center"/>
    </xf>
    <xf numFmtId="44" fontId="34" fillId="0" borderId="28" xfId="2" applyFont="1" applyBorder="1" applyAlignment="1">
      <alignment horizontal="center" vertical="center"/>
    </xf>
    <xf numFmtId="0" fontId="0" fillId="17" borderId="24" xfId="0" applyFill="1" applyBorder="1" applyAlignment="1" applyProtection="1">
      <alignment horizontal="center" vertical="center"/>
      <protection locked="0"/>
    </xf>
    <xf numFmtId="0" fontId="0" fillId="17" borderId="24" xfId="0" applyFill="1" applyBorder="1" applyAlignment="1" applyProtection="1">
      <alignment horizontal="center" vertical="center"/>
      <protection hidden="1"/>
    </xf>
    <xf numFmtId="0" fontId="2" fillId="0" borderId="3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6" fillId="28" borderId="0" xfId="0" applyNumberFormat="1" applyFont="1" applyFill="1" applyAlignment="1">
      <alignment horizontal="center" vertical="center"/>
    </xf>
    <xf numFmtId="0" fontId="27" fillId="29" borderId="0" xfId="0" applyFont="1" applyFill="1" applyAlignment="1">
      <alignment horizontal="center" vertical="center"/>
    </xf>
    <xf numFmtId="14" fontId="28" fillId="29" borderId="0" xfId="0" applyNumberFormat="1" applyFont="1" applyFill="1" applyAlignment="1">
      <alignment horizontal="center" vertical="center"/>
    </xf>
    <xf numFmtId="0" fontId="28" fillId="29" borderId="0" xfId="0" applyFont="1" applyFill="1" applyAlignment="1">
      <alignment horizontal="center" vertical="center"/>
    </xf>
    <xf numFmtId="0" fontId="30" fillId="30" borderId="17" xfId="0" applyFont="1" applyFill="1" applyBorder="1" applyAlignment="1">
      <alignment horizontal="center" vertical="center"/>
    </xf>
    <xf numFmtId="0" fontId="30" fillId="30" borderId="18" xfId="0" applyFont="1" applyFill="1" applyBorder="1" applyAlignment="1">
      <alignment horizontal="center" vertical="center"/>
    </xf>
    <xf numFmtId="0" fontId="30" fillId="30" borderId="19" xfId="0" applyFont="1" applyFill="1" applyBorder="1" applyAlignment="1">
      <alignment horizontal="center" vertical="center"/>
    </xf>
    <xf numFmtId="0" fontId="30" fillId="30" borderId="20" xfId="0" applyFont="1" applyFill="1" applyBorder="1" applyAlignment="1">
      <alignment horizontal="center" vertical="center"/>
    </xf>
    <xf numFmtId="0" fontId="30" fillId="30" borderId="0" xfId="0" applyFont="1" applyFill="1" applyAlignment="1">
      <alignment horizontal="center" vertical="center"/>
    </xf>
    <xf numFmtId="0" fontId="30" fillId="30" borderId="21" xfId="0" applyFont="1" applyFill="1" applyBorder="1" applyAlignment="1">
      <alignment horizontal="center" vertical="center"/>
    </xf>
    <xf numFmtId="0" fontId="30" fillId="30" borderId="22" xfId="0" applyFont="1" applyFill="1" applyBorder="1" applyAlignment="1">
      <alignment horizontal="center" vertical="center"/>
    </xf>
    <xf numFmtId="0" fontId="30" fillId="30" borderId="10" xfId="0" applyFont="1" applyFill="1" applyBorder="1" applyAlignment="1">
      <alignment horizontal="center" vertical="center"/>
    </xf>
    <xf numFmtId="0" fontId="30" fillId="30" borderId="23" xfId="0" applyFont="1" applyFill="1" applyBorder="1" applyAlignment="1">
      <alignment horizontal="center" vertical="center"/>
    </xf>
    <xf numFmtId="0" fontId="30" fillId="29" borderId="17" xfId="0" applyFont="1" applyFill="1" applyBorder="1" applyAlignment="1">
      <alignment horizontal="center" vertical="center"/>
    </xf>
    <xf numFmtId="0" fontId="30" fillId="29" borderId="18" xfId="0" applyFont="1" applyFill="1" applyBorder="1" applyAlignment="1">
      <alignment horizontal="center" vertical="center"/>
    </xf>
    <xf numFmtId="0" fontId="30" fillId="29" borderId="19" xfId="0" applyFont="1" applyFill="1" applyBorder="1" applyAlignment="1">
      <alignment horizontal="center" vertical="center"/>
    </xf>
    <xf numFmtId="0" fontId="30" fillId="29" borderId="20" xfId="0" applyFont="1" applyFill="1" applyBorder="1" applyAlignment="1">
      <alignment horizontal="center" vertical="center"/>
    </xf>
    <xf numFmtId="0" fontId="30" fillId="29" borderId="0" xfId="0" applyFont="1" applyFill="1" applyAlignment="1">
      <alignment horizontal="center" vertical="center"/>
    </xf>
    <xf numFmtId="0" fontId="30" fillId="29" borderId="21" xfId="0" applyFont="1" applyFill="1" applyBorder="1" applyAlignment="1">
      <alignment horizontal="center" vertical="center"/>
    </xf>
    <xf numFmtId="0" fontId="30" fillId="29" borderId="22" xfId="0" applyFont="1" applyFill="1" applyBorder="1" applyAlignment="1">
      <alignment horizontal="center" vertical="center"/>
    </xf>
    <xf numFmtId="0" fontId="30" fillId="29" borderId="10" xfId="0" applyFont="1" applyFill="1" applyBorder="1" applyAlignment="1">
      <alignment horizontal="center" vertical="center"/>
    </xf>
    <xf numFmtId="0" fontId="30" fillId="29" borderId="23" xfId="0" applyFont="1" applyFill="1" applyBorder="1" applyAlignment="1">
      <alignment horizontal="center" vertical="center"/>
    </xf>
    <xf numFmtId="49" fontId="0" fillId="4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 vertical="center"/>
    </xf>
    <xf numFmtId="49" fontId="0" fillId="15" borderId="0" xfId="0" applyNumberFormat="1" applyFill="1" applyAlignment="1">
      <alignment horizontal="center" vertical="center"/>
    </xf>
    <xf numFmtId="49" fontId="0" fillId="6" borderId="0" xfId="0" applyNumberFormat="1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10" borderId="0" xfId="0" applyNumberFormat="1" applyFill="1" applyAlignment="1">
      <alignment horizontal="center" vertical="center"/>
    </xf>
    <xf numFmtId="49" fontId="0" fillId="11" borderId="0" xfId="0" applyNumberFormat="1" applyFill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49" fontId="0" fillId="13" borderId="0" xfId="0" applyNumberForma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23" borderId="1" xfId="0" applyFont="1" applyFill="1" applyBorder="1" applyAlignment="1">
      <alignment horizontal="left" vertical="top"/>
    </xf>
    <xf numFmtId="0" fontId="0" fillId="23" borderId="1" xfId="0" applyFill="1" applyBorder="1" applyAlignment="1">
      <alignment horizontal="left" vertical="top"/>
    </xf>
    <xf numFmtId="0" fontId="6" fillId="18" borderId="1" xfId="0" applyFont="1" applyFill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6" fillId="17" borderId="1" xfId="0" applyFont="1" applyFill="1" applyBorder="1" applyAlignment="1">
      <alignment horizontal="left" vertical="top"/>
    </xf>
    <xf numFmtId="0" fontId="6" fillId="21" borderId="1" xfId="0" applyFont="1" applyFill="1" applyBorder="1" applyAlignment="1">
      <alignment horizontal="left" vertical="top"/>
    </xf>
    <xf numFmtId="0" fontId="0" fillId="17" borderId="7" xfId="0" applyFill="1" applyBorder="1" applyAlignment="1">
      <alignment horizontal="left" vertical="center"/>
    </xf>
    <xf numFmtId="0" fontId="0" fillId="17" borderId="9" xfId="0" applyFill="1" applyBorder="1" applyAlignment="1">
      <alignment horizontal="left" vertical="center"/>
    </xf>
    <xf numFmtId="0" fontId="0" fillId="17" borderId="8" xfId="0" applyFill="1" applyBorder="1" applyAlignment="1">
      <alignment horizontal="left" vertical="center"/>
    </xf>
    <xf numFmtId="0" fontId="0" fillId="17" borderId="1" xfId="0" applyFill="1" applyBorder="1" applyAlignment="1">
      <alignment horizontal="left" vertical="center"/>
    </xf>
    <xf numFmtId="0" fontId="2" fillId="0" borderId="25" xfId="0" applyFon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4" fillId="0" borderId="25" xfId="0" applyFont="1" applyBorder="1" applyAlignment="1">
      <alignment horizontal="left" vertical="center" wrapText="1"/>
    </xf>
    <xf numFmtId="0" fontId="12" fillId="19" borderId="26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7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12" fillId="1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29" xfId="0" applyFont="1" applyBorder="1" applyAlignment="1">
      <alignment horizontal="left" vertical="center" wrapText="1"/>
    </xf>
    <xf numFmtId="0" fontId="0" fillId="0" borderId="28" xfId="0" applyBorder="1" applyAlignment="1">
      <alignment horizontal="left" vertical="center" wrapText="1"/>
    </xf>
    <xf numFmtId="0" fontId="6" fillId="23" borderId="1" xfId="0" applyFont="1" applyFill="1" applyBorder="1" applyAlignment="1">
      <alignment vertical="top"/>
    </xf>
  </cellXfs>
  <cellStyles count="32">
    <cellStyle name="Comma" xfId="30" builtinId="3"/>
    <cellStyle name="Comma 2" xfId="6" xr:uid="{B57AA00D-1AB6-4FEE-B4CA-6DCFAF792BB6}"/>
    <cellStyle name="Currency" xfId="2" builtinId="4"/>
    <cellStyle name="Currency 2" xfId="7" xr:uid="{210E201A-D8F0-41FC-B950-BE4D7DAB931A}"/>
    <cellStyle name="Currency 2 2" xfId="29" xr:uid="{6F13138D-C965-4122-AA25-188A46FD0A3B}"/>
    <cellStyle name="Custom Field" xfId="22" xr:uid="{69DDB5EE-A50F-4446-AD04-61535543E1CB}"/>
    <cellStyle name="Date" xfId="26" xr:uid="{EDAA86C5-FEFA-4E9F-BA44-1A1AAEE00BE6}"/>
    <cellStyle name="Date label" xfId="19" xr:uid="{96AFF545-CD71-443D-9184-2D8FFDAA830F}"/>
    <cellStyle name="Explanatory Text 2" xfId="16" xr:uid="{E6ADCCA7-B3B3-4367-BED9-6F95B0FE0103}"/>
    <cellStyle name="Followed Hyperlink" xfId="25" builtinId="9" customBuiltin="1"/>
    <cellStyle name="Good" xfId="1" builtinId="26"/>
    <cellStyle name="Heading 1 2" xfId="10" xr:uid="{6167231A-7108-46C1-BF69-42B332D6DB15}"/>
    <cellStyle name="Heading 2 2" xfId="11" xr:uid="{09A13994-66A6-4F18-AD7B-73D8FC229EEA}"/>
    <cellStyle name="Heading 3 2" xfId="12" xr:uid="{569EC7C8-DA64-4DB1-BBDB-1B1658585406}"/>
    <cellStyle name="Heading 4 2" xfId="13" xr:uid="{7403EF58-F229-4736-9469-3437D9D4B47D}"/>
    <cellStyle name="Hyperlink" xfId="24" builtinId="8" customBuiltin="1"/>
    <cellStyle name="Input" xfId="3" builtinId="20"/>
    <cellStyle name="Input 2" xfId="14" xr:uid="{C918D975-E5A0-4499-9085-6A880BB5F5AF}"/>
    <cellStyle name="Name" xfId="27" xr:uid="{56DA5EF5-9E9F-45F3-A53A-D5372BC3851B}"/>
    <cellStyle name="Normal" xfId="0" builtinId="0"/>
    <cellStyle name="Normal 2" xfId="4" xr:uid="{00000000-0005-0000-0000-000004000000}"/>
    <cellStyle name="Normal 2 2" xfId="28" xr:uid="{D1ABAD66-0C28-4B46-B589-A5DA99D90696}"/>
    <cellStyle name="Normal 3" xfId="5" xr:uid="{EF1BDBA6-D06A-4ECB-A768-290ACC673441}"/>
    <cellStyle name="Note 2" xfId="15" xr:uid="{D0243F0E-F008-4E74-AEE9-EFEEB3CA9EE2}"/>
    <cellStyle name="Percent" xfId="31" builtinId="5"/>
    <cellStyle name="Percent 2" xfId="8" xr:uid="{6A39F2AB-01AB-4E9D-9C0F-BBD042B90579}"/>
    <cellStyle name="Phone" xfId="18" xr:uid="{73D8B23D-197C-4168-A731-0D000855DF81}"/>
    <cellStyle name="Shipping Date" xfId="23" xr:uid="{37DC0829-F23A-4DB9-B536-DAF87D58BBA3}"/>
    <cellStyle name="Shipping Details" xfId="20" xr:uid="{B212ED9A-A477-4A41-BEC1-2021CC0D38E0}"/>
    <cellStyle name="Taxable?" xfId="21" xr:uid="{E2DCEFB1-79DF-436F-8D21-B2C1A1D09CF5}"/>
    <cellStyle name="Title 2" xfId="9" xr:uid="{B9391019-60C1-4366-878F-E15258D9410B}"/>
    <cellStyle name="Total 2" xfId="17" xr:uid="{0E9176E0-915C-447F-B149-54172201C4B0}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color rgb="FF00B05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4.9989318521683403E-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diagonalUp="0" diagonalDown="0">
        <left/>
        <right/>
        <top style="thin">
          <color theme="0" tint="-0.34998626667073579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2" defaultTableStyle="TableStyleMedium2" defaultPivotStyle="PivotStyleLight16">
    <tableStyle name="Invisible" pivot="0" table="0" count="0" xr9:uid="{3E0850CF-4562-4614-80C9-A3B97B733B58}"/>
    <tableStyle name="Price quote with tax calculation" pivot="0" count="5" xr9:uid="{7C9493BF-1D50-4BA3-B00D-E86EA4501085}">
      <tableStyleElement type="wholeTable" dxfId="28"/>
      <tableStyleElement type="headerRow" dxfId="27"/>
      <tableStyleElement type="totalRow" dxfId="26"/>
      <tableStyleElement type="lastColumn" dxfId="25"/>
      <tableStyleElement type="lastTotalCell" dxfId="24"/>
    </tableStyle>
  </tableStyles>
  <colors>
    <mruColors>
      <color rgb="FF2AD6CE"/>
      <color rgb="FFFFFF66"/>
      <color rgb="FF3FABC1"/>
      <color rgb="FFFF66CC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openxmlformats.org/officeDocument/2006/relationships/hyperlink" Target="#BOQ!A1"/><Relationship Id="rId7" Type="http://schemas.openxmlformats.org/officeDocument/2006/relationships/image" Target="../media/image4.png"/><Relationship Id="rId2" Type="http://schemas.openxmlformats.org/officeDocument/2006/relationships/hyperlink" Target="#'Detailed BOM'!A1"/><Relationship Id="rId1" Type="http://schemas.openxmlformats.org/officeDocument/2006/relationships/image" Target="../media/image3.png"/><Relationship Id="rId6" Type="http://schemas.openxmlformats.org/officeDocument/2006/relationships/hyperlink" Target="https://www.boldlighting.us/en/products/linear" TargetMode="External"/><Relationship Id="rId5" Type="http://schemas.openxmlformats.org/officeDocument/2006/relationships/hyperlink" Target="#Pricelist!A1"/><Relationship Id="rId10" Type="http://schemas.openxmlformats.org/officeDocument/2006/relationships/image" Target="../media/image7.svg"/><Relationship Id="rId4" Type="http://schemas.openxmlformats.org/officeDocument/2006/relationships/hyperlink" Target="#'ERP Layout'!A1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8</xdr:row>
          <xdr:rowOff>114300</xdr:rowOff>
        </xdr:from>
        <xdr:to>
          <xdr:col>10</xdr:col>
          <xdr:colOff>571500</xdr:colOff>
          <xdr:row>11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FFFF"/>
                  </a:solidFill>
                  <a:latin typeface="Calibri"/>
                  <a:ea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19050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8195" name="cb_AutoSelectAllReferences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858190</xdr:colOff>
      <xdr:row>11</xdr:row>
      <xdr:rowOff>53951</xdr:rowOff>
    </xdr:from>
    <xdr:to>
      <xdr:col>17</xdr:col>
      <xdr:colOff>362431</xdr:colOff>
      <xdr:row>21</xdr:row>
      <xdr:rowOff>56782</xdr:rowOff>
    </xdr:to>
    <xdr:pic>
      <xdr:nvPicPr>
        <xdr:cNvPr id="3" name="Picture 2" descr="bold 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2965"/>
        <a:stretch/>
      </xdr:blipFill>
      <xdr:spPr bwMode="auto">
        <a:xfrm>
          <a:off x="12313703" y="2316139"/>
          <a:ext cx="4000177" cy="1906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895350</xdr:colOff>
          <xdr:row>6</xdr:row>
          <xdr:rowOff>85725</xdr:rowOff>
        </xdr:from>
        <xdr:to>
          <xdr:col>11</xdr:col>
          <xdr:colOff>457200</xdr:colOff>
          <xdr:row>7</xdr:row>
          <xdr:rowOff>142875</xdr:rowOff>
        </xdr:to>
        <xdr:sp macro="" textlink="">
          <xdr:nvSpPr>
            <xdr:cNvPr id="8194" name="cb_AutoSingleStandard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254244</xdr:colOff>
      <xdr:row>6</xdr:row>
      <xdr:rowOff>35902</xdr:rowOff>
    </xdr:from>
    <xdr:to>
      <xdr:col>7</xdr:col>
      <xdr:colOff>768594</xdr:colOff>
      <xdr:row>7</xdr:row>
      <xdr:rowOff>140677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979347" y="1231454"/>
          <a:ext cx="1775592" cy="314982"/>
        </a:xfrm>
        <a:prstGeom prst="roundRect">
          <a:avLst/>
        </a:prstGeom>
        <a:noFill/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819149</xdr:colOff>
      <xdr:row>6</xdr:row>
      <xdr:rowOff>38100</xdr:rowOff>
    </xdr:from>
    <xdr:to>
      <xdr:col>11</xdr:col>
      <xdr:colOff>495300</xdr:colOff>
      <xdr:row>7</xdr:row>
      <xdr:rowOff>142875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817473" y="1248335"/>
          <a:ext cx="2152651" cy="317687"/>
        </a:xfrm>
        <a:prstGeom prst="roundRect">
          <a:avLst/>
        </a:prstGeom>
        <a:noFill/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180975</xdr:colOff>
      <xdr:row>14</xdr:row>
      <xdr:rowOff>104775</xdr:rowOff>
    </xdr:from>
    <xdr:to>
      <xdr:col>10</xdr:col>
      <xdr:colOff>1</xdr:colOff>
      <xdr:row>17</xdr:row>
      <xdr:rowOff>66675</xdr:rowOff>
    </xdr:to>
    <xdr:sp macro="" textlink="">
      <xdr:nvSpPr>
        <xdr:cNvPr id="8" name="Arrow: Striped Right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81800" y="2886075"/>
          <a:ext cx="1933576" cy="533400"/>
        </a:xfrm>
        <a:prstGeom prst="stripedRightArrow">
          <a:avLst/>
        </a:prstGeom>
        <a:solidFill>
          <a:srgbClr val="2AD6CE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   GO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TO BOM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152400</xdr:colOff>
      <xdr:row>19</xdr:row>
      <xdr:rowOff>45427</xdr:rowOff>
    </xdr:from>
    <xdr:to>
      <xdr:col>10</xdr:col>
      <xdr:colOff>12455</xdr:colOff>
      <xdr:row>21</xdr:row>
      <xdr:rowOff>178777</xdr:rowOff>
    </xdr:to>
    <xdr:sp macro="" textlink="">
      <xdr:nvSpPr>
        <xdr:cNvPr id="9" name="Arrow: Striped Right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53225" y="3779227"/>
          <a:ext cx="1974605" cy="514350"/>
        </a:xfrm>
        <a:prstGeom prst="stripedRightArrow">
          <a:avLst/>
        </a:prstGeom>
        <a:solidFill>
          <a:srgbClr val="2AD6CE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   GO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TO BOQ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180976</xdr:colOff>
      <xdr:row>24</xdr:row>
      <xdr:rowOff>38100</xdr:rowOff>
    </xdr:from>
    <xdr:to>
      <xdr:col>10</xdr:col>
      <xdr:colOff>0</xdr:colOff>
      <xdr:row>26</xdr:row>
      <xdr:rowOff>180975</xdr:rowOff>
    </xdr:to>
    <xdr:sp macro="" textlink="">
      <xdr:nvSpPr>
        <xdr:cNvPr id="10" name="Arrow: Striped Right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781801" y="4724400"/>
          <a:ext cx="1933574" cy="514350"/>
        </a:xfrm>
        <a:prstGeom prst="stripedRightArrow">
          <a:avLst/>
        </a:prstGeom>
        <a:solidFill>
          <a:srgbClr val="2AD6CE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GO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TO ERP Layout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180974</xdr:colOff>
      <xdr:row>29</xdr:row>
      <xdr:rowOff>19050</xdr:rowOff>
    </xdr:from>
    <xdr:to>
      <xdr:col>9</xdr:col>
      <xdr:colOff>228599</xdr:colOff>
      <xdr:row>31</xdr:row>
      <xdr:rowOff>133350</xdr:rowOff>
    </xdr:to>
    <xdr:sp macro="" textlink="">
      <xdr:nvSpPr>
        <xdr:cNvPr id="11" name="Arrow: Striped Right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81799" y="5657850"/>
          <a:ext cx="1933575" cy="514350"/>
        </a:xfrm>
        <a:prstGeom prst="stripedRightArrow">
          <a:avLst/>
        </a:prstGeom>
        <a:solidFill>
          <a:srgbClr val="2AD6CE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GO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TO PriceList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19050</xdr:colOff>
      <xdr:row>14</xdr:row>
      <xdr:rowOff>0</xdr:rowOff>
    </xdr:from>
    <xdr:to>
      <xdr:col>10</xdr:col>
      <xdr:colOff>33130</xdr:colOff>
      <xdr:row>32</xdr:row>
      <xdr:rowOff>16566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10902398" y="2824370"/>
          <a:ext cx="14080" cy="3511826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400050</xdr:colOff>
      <xdr:row>29</xdr:row>
      <xdr:rowOff>152400</xdr:rowOff>
    </xdr:from>
    <xdr:to>
      <xdr:col>23</xdr:col>
      <xdr:colOff>94527</xdr:colOff>
      <xdr:row>34</xdr:row>
      <xdr:rowOff>38095</xdr:rowOff>
    </xdr:to>
    <xdr:pic>
      <xdr:nvPicPr>
        <xdr:cNvPr id="26" name="Graphic 25" descr="Address Book with solid fill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412505" y="5858896"/>
          <a:ext cx="878341" cy="948754"/>
        </a:xfrm>
        <a:prstGeom prst="rect">
          <a:avLst/>
        </a:prstGeom>
      </xdr:spPr>
    </xdr:pic>
    <xdr:clientData/>
  </xdr:twoCellAnchor>
  <xdr:twoCellAnchor editAs="oneCell">
    <xdr:from>
      <xdr:col>15</xdr:col>
      <xdr:colOff>7125</xdr:colOff>
      <xdr:row>15</xdr:row>
      <xdr:rowOff>161925</xdr:rowOff>
    </xdr:from>
    <xdr:to>
      <xdr:col>21</xdr:col>
      <xdr:colOff>398423</xdr:colOff>
      <xdr:row>40</xdr:row>
      <xdr:rowOff>112779</xdr:rowOff>
    </xdr:to>
    <xdr:pic>
      <xdr:nvPicPr>
        <xdr:cNvPr id="4" name="Graphic 31" descr="An arch of leaves, pinecones, lights and bells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542275" y="3133725"/>
          <a:ext cx="4573904" cy="4573904"/>
        </a:xfrm>
        <a:prstGeom prst="rect">
          <a:avLst/>
        </a:prstGeom>
      </xdr:spPr>
    </xdr:pic>
    <xdr:clientData/>
  </xdr:twoCellAnchor>
  <xdr:twoCellAnchor editAs="oneCell">
    <xdr:from>
      <xdr:col>20</xdr:col>
      <xdr:colOff>589027</xdr:colOff>
      <xdr:row>18</xdr:row>
      <xdr:rowOff>30280</xdr:rowOff>
    </xdr:from>
    <xdr:to>
      <xdr:col>25</xdr:col>
      <xdr:colOff>1560</xdr:colOff>
      <xdr:row>30</xdr:row>
      <xdr:rowOff>1893</xdr:rowOff>
    </xdr:to>
    <xdr:pic>
      <xdr:nvPicPr>
        <xdr:cNvPr id="35" name="Graphic 34" descr="An arch of leaves, pinecones, lights and bells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1481970">
          <a:off x="15905227" y="3573580"/>
          <a:ext cx="2368501" cy="2275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304800</xdr:colOff>
      <xdr:row>27</xdr:row>
      <xdr:rowOff>57150</xdr:rowOff>
    </xdr:from>
    <xdr:to>
      <xdr:col>18</xdr:col>
      <xdr:colOff>1219200</xdr:colOff>
      <xdr:row>32</xdr:row>
      <xdr:rowOff>1507</xdr:rowOff>
    </xdr:to>
    <xdr:pic>
      <xdr:nvPicPr>
        <xdr:cNvPr id="3" name="Graphic 2" descr="Back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06000" y="5200650"/>
          <a:ext cx="914400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oldlightingus.sharepoint.com/sites/BoldLightingLLC/Shared%20Documents/13-Nomenclature%20And%20Product%20Trees/Raw%20Material%20Nomenclature/ox.xlsx" TargetMode="External"/><Relationship Id="rId1" Type="http://schemas.openxmlformats.org/officeDocument/2006/relationships/externalLinkPath" Target="/sites/BoldLightingLLC/Shared%20Documents/13-Nomenclature%20And%20Product%20Trees/Raw%20Material%20Nomenclature/ox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oldlightingus.sharepoint.com/sites/BoldLightingLLC/Shared%20Documents/13-Nomenclature%20And%20Product%20Trees/02%20Billet/Automated%20BOM/BETA%20Version/Auto%20BOM%20-%2019%20June%20-%202025.xlsm" TargetMode="External"/><Relationship Id="rId1" Type="http://schemas.openxmlformats.org/officeDocument/2006/relationships/externalLinkPath" Target="BETA%20Version/Auto%20BOM%20-%2019%20June%20-%20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P4CPkaZukKMWuh8VY8vZ9akH4xuI91AopmNfH6LI1ejKYsFL4ppTKMrv4nnh31f" itemId="01ABCOBOKS33LWJ4ZPRJGK4MSIVHRLEFUF">
      <xxl21:absoluteUrl r:id="rId2"/>
    </xxl21:alternateUrls>
    <sheetNames>
      <sheetName val="Overview"/>
      <sheetName val="Suppliers List"/>
      <sheetName val="Accessories"/>
      <sheetName val="Sheet1"/>
      <sheetName val="Aluminum Profiles"/>
      <sheetName val="Baffles"/>
      <sheetName val="Brackets"/>
      <sheetName val="Cables"/>
      <sheetName val="Cable with Connector"/>
      <sheetName val="COB"/>
      <sheetName val="Connectors"/>
      <sheetName val="Decoders"/>
      <sheetName val="Diffusers"/>
      <sheetName val="Drivers"/>
      <sheetName val="Endcaps"/>
      <sheetName val="Fasteners"/>
      <sheetName val="Filter"/>
      <sheetName val="Glass"/>
      <sheetName val="Holders"/>
      <sheetName val="Labels"/>
      <sheetName val="Led Strips"/>
      <sheetName val="Lenses"/>
      <sheetName val="Magnet"/>
      <sheetName val="Metal Housings"/>
      <sheetName val="Miscellaneous"/>
      <sheetName val="Jigs"/>
      <sheetName val="Mounting Accesories"/>
      <sheetName val="Packaging"/>
      <sheetName val="PCB"/>
      <sheetName val="PCB Sheet Metal"/>
      <sheetName val="Point Reflectors"/>
      <sheetName val="Powder Coating"/>
      <sheetName val="Raw Sheets"/>
      <sheetName val="Sample Case"/>
      <sheetName val="Screws"/>
      <sheetName val="Sealants"/>
      <sheetName val="Wir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O3" t="str">
            <v>DR000TRI</v>
          </cell>
          <cell r="P3" t="str">
            <v>LCA 75W 900–1800MA/28000660</v>
          </cell>
          <cell r="R3" t="str">
            <v>Driver, 75W, Dali-2 Dimming, Monochromatic, Linear Form, Constant Current, 900-1800mA, 1 Channel, 198-264V Input Voltage</v>
          </cell>
          <cell r="S3" t="str">
            <v>Tridonic Inc., LCA 75W 900–1800MA/28000660, Driver, 75W, Dali-2 Dimming, Monochromatic, Linear Form, Constant Current, 900-1800mA, 1 Channel, 198-264V Input Voltage</v>
          </cell>
        </row>
        <row r="4">
          <cell r="O4" t="str">
            <v>DR001MEA</v>
          </cell>
          <cell r="P4" t="str">
            <v>LRS-200-24</v>
          </cell>
          <cell r="R4" t="str">
            <v>Driver, 200W, Non-Dimmable, Monochromatic, Brick Form, Constant Voltage, 24V, 1 Channel, 115-230V Input Voltage</v>
          </cell>
          <cell r="S4" t="str">
            <v>MEAN WELL Enterprises Co., Ltd., LRS-200-24, Driver, 200W, Non-Dimmable, Monochromatic, Brick Form, Constant Voltage, 24V, 1 Channel, 115-230V Input Voltage</v>
          </cell>
        </row>
        <row r="5">
          <cell r="O5" t="str">
            <v>DR002BRI</v>
          </cell>
          <cell r="P5" t="str">
            <v>BXDR-46LT-C214A-01-A</v>
          </cell>
          <cell r="R5" t="str">
            <v>Driver, 46W, 0-10V to 1% Dimming, Tunable White, Linear Form, Constant Current, 140-1400mA, 2 Channel, 120-347V Input Voltage</v>
          </cell>
          <cell r="S5" t="str">
            <v>BRIDGELUX , BXDR-46LT-C214A-01-A, Driver, 46W, 0-10V to 1% Dimming, Tunable White, Linear Form, Constant Current, 140-1400mA, 2 Channel, 120-347V Input Voltage</v>
          </cell>
        </row>
        <row r="6">
          <cell r="O6" t="str">
            <v>DR003ACE</v>
          </cell>
          <cell r="P6" t="str">
            <v>AC30CD700APT7L</v>
          </cell>
          <cell r="R6" t="str">
            <v>Driver, 30W, 0-10V to 1% Dimming, Monochromatic, Linear Form, Constant Current, 125-700mA, 1 Channel, 120-277V Input Voltage</v>
          </cell>
          <cell r="S6" t="str">
            <v>ACE LEDS , AC30CD700APT7L, Driver, 30W, 0-10V to 1% Dimming, Monochromatic, Linear Form, Constant Current, 125-700mA, 1 Channel, 120-277V Input Voltage</v>
          </cell>
        </row>
        <row r="7">
          <cell r="O7" t="str">
            <v>DR004SIG</v>
          </cell>
          <cell r="P7" t="str">
            <v>CR012C030V042RNR1</v>
          </cell>
          <cell r="R7" t="str">
            <v>Driver, 12W, ELV Dimming, Monochromatic, Circular Form, Constant Current, 300mA, 1 Channel, 120V Input Voltage</v>
          </cell>
          <cell r="S7" t="str">
            <v>Signify North America, CR012C030V042RNR1, Driver, 12W, ELV Dimming, Monochromatic, Circular Form, Constant Current, 300mA, 1 Channel, 120V Input Voltage</v>
          </cell>
        </row>
        <row r="8">
          <cell r="O8" t="str">
            <v>DR005SIG</v>
          </cell>
          <cell r="P8" t="str">
            <v>XR013C033V042RNO2</v>
          </cell>
          <cell r="R8" t="str">
            <v>Driver, 13W, ELV Dimming, Monochromatic, Puck Form, Constant Current, 330mA, 1 Channel, 120V Input Voltage</v>
          </cell>
          <cell r="S8" t="str">
            <v>Signify North America, XR013C033V042RNO2, Driver, 13W, ELV Dimming, Monochromatic, Puck Form, Constant Current, 330mA, 1 Channel, 120V Input Voltage</v>
          </cell>
        </row>
        <row r="9">
          <cell r="O9" t="str">
            <v>DR006EUC</v>
          </cell>
          <cell r="P9" t="str">
            <v>PUP20T-1LMC</v>
          </cell>
          <cell r="R9" t="str">
            <v>Driver, 20W, ELV Dimming, Monochromatic, Puck Form, Constant Current, 350-700mA, 1 Channel, 120-277V Input Voltage</v>
          </cell>
          <cell r="S9" t="str">
            <v>Ningbo Euchips Intelligent Technology Co., Ltd., PUP20T-1LMC, Driver, 20W, ELV Dimming, Monochromatic, Puck Form, Constant Current, 350-700mA, 1 Channel, 120-277V Input Voltage</v>
          </cell>
        </row>
        <row r="10">
          <cell r="O10" t="str">
            <v>DR007EUC</v>
          </cell>
          <cell r="P10" t="str">
            <v>PUP40T-1LMC-1200</v>
          </cell>
          <cell r="R10" t="str">
            <v>Driver, 40W, ELV Dimming, Monochromatic, Puck Form, Constant Current, 850-1200mA, 1 Channel, 120V Input Voltage</v>
          </cell>
          <cell r="S10" t="str">
            <v>Ningbo Euchips Intelligent Technology Co., Ltd., PUP40T-1LMC-1200, Driver, 40W, ELV Dimming, Monochromatic, Puck Form, Constant Current, 850-1200mA, 1 Channel, 120V Input Voltage</v>
          </cell>
        </row>
        <row r="11">
          <cell r="O11" t="str">
            <v>DR008SUN</v>
          </cell>
          <cell r="P11" t="str">
            <v>SRPL-2305N-50CC650-1300U</v>
          </cell>
          <cell r="R11" t="str">
            <v>Driver, 50W, Dali DT6 Dimming, Monochromatic, Linear Form, Constant Current, 650-1300mA, 1 Channel, 220-240V Input Voltage</v>
          </cell>
          <cell r="S11" t="str">
            <v>Shenzhen Sunricher Technology Co. Ltd, SRPL-2305N-50CC650-1300U, Driver, 50W, Dali DT6 Dimming, Monochromatic, Linear Form, Constant Current, 650-1300mA, 1 Channel, 220-240V Input Voltage</v>
          </cell>
        </row>
        <row r="12">
          <cell r="O12" t="str">
            <v>DR009SUN</v>
          </cell>
          <cell r="P12" t="str">
            <v>SRPL-2309N-50CCT650-1300U</v>
          </cell>
          <cell r="R12" t="str">
            <v>Driver, 50W, Dali DT8 Dimming, Tunable White, Linear Form, Constant Current, 650-1300mA, 2 Channel, 220-240V Input Voltage</v>
          </cell>
          <cell r="S12" t="str">
            <v>Shenzhen Sunricher Technology Co. Ltd, SRPL-2309N-50CCT650-1300U, Driver, 50W, Dali DT8 Dimming, Tunable White, Linear Form, Constant Current, 650-1300mA, 2 Channel, 220-240V Input Voltage</v>
          </cell>
        </row>
        <row r="13">
          <cell r="O13" t="str">
            <v>DR010ACB</v>
          </cell>
          <cell r="P13" t="str">
            <v>PW50U-M4Z0X1</v>
          </cell>
          <cell r="R13" t="str">
            <v>Driver, 50W, DMX Dimming, RGBW, Linear Form, Constant Current, 150-1400mA, 4 Channel, 120-250V Input Voltage</v>
          </cell>
          <cell r="S13" t="str">
            <v>Acuity Brands (EldoLED), PW50U-M4Z0X1, Driver, 50W, DMX Dimming, RGBW, Linear Form, Constant Current, 150-1400mA, 4 Channel, 120-250V Input Voltage</v>
          </cell>
        </row>
        <row r="14">
          <cell r="O14" t="str">
            <v>DR011EUC</v>
          </cell>
          <cell r="P14" t="str">
            <v>PUP40A-1WMC-1200</v>
          </cell>
          <cell r="R14" t="str">
            <v>Driver, 40W, 0-10V to 0.1% Dimming, Monochromatic, Puck Form, Constant Current, 850-1200mA, 1 Channel, 120-277V Input Voltage</v>
          </cell>
          <cell r="S14" t="str">
            <v>Ningbo Euchips Intelligent Technology Co., Ltd., PUP40A-1WMC-1200, Driver, 40W, 0-10V to 0.1% Dimming, Monochromatic, Puck Form, Constant Current, 850-1200mA, 1 Channel, 120-277V Input Voltage</v>
          </cell>
        </row>
        <row r="15">
          <cell r="O15" t="str">
            <v>DR012EUC</v>
          </cell>
          <cell r="P15" t="str">
            <v>PUP20A-1WMC</v>
          </cell>
          <cell r="R15" t="str">
            <v>Driver, 20W, 0-10V to 0.1% Dimming, Monochromatic, Puck Form, Constant Current, 350-700mA, 1 Channel, 120-277V Input Voltage</v>
          </cell>
          <cell r="S15" t="str">
            <v>Ningbo Euchips Intelligent Technology Co., Ltd., PUP20A-1WMC, Driver, 20W, 0-10V to 0.1% Dimming, Monochromatic, Puck Form, Constant Current, 350-700mA, 1 Channel, 120-277V Input Voltage</v>
          </cell>
        </row>
        <row r="16">
          <cell r="O16" t="str">
            <v>DR013MAL</v>
          </cell>
          <cell r="P16" t="str">
            <v>AFLEX-100W-2000-L-GB</v>
          </cell>
          <cell r="R16" t="str">
            <v>Driver, 100W, 0-10V to 0.1% Logarithmic Dimming, Monochromatic, Linear Form, Constant Current, 100-2000mA, 1 Channel, 120-277V Input Voltage</v>
          </cell>
          <cell r="S16" t="str">
            <v>Magnitude Lighting Inc., AFLEX-100W-2000-L-GB, Driver, 100W, 0-10V to 0.1% Logarithmic Dimming, Monochromatic, Linear Form, Constant Current, 100-2000mA, 1 Channel, 120-277V Input Voltage</v>
          </cell>
        </row>
        <row r="17">
          <cell r="O17" t="str">
            <v>DR014ACE</v>
          </cell>
          <cell r="P17" t="str">
            <v>AC25CD1.05APT7L</v>
          </cell>
          <cell r="R17" t="str">
            <v>Driver, 25W, 0-10V to 1% Dimming, Monochromatic, Linear Form, Constant Current, 125-1050mA, 1 Channel, 120-277V Input Voltage</v>
          </cell>
          <cell r="S17" t="str">
            <v>ACE LEDS , AC25CD1.05APT7L, Driver, 25W, 0-10V to 1% Dimming, Monochromatic, Linear Form, Constant Current, 125-1050mA, 1 Channel, 120-277V Input Voltage</v>
          </cell>
        </row>
        <row r="18">
          <cell r="O18" t="str">
            <v>DR015ZLT</v>
          </cell>
          <cell r="P18" t="str">
            <v>SE-40-300-1050-W2M</v>
          </cell>
          <cell r="R18" t="str">
            <v>Driver, 40W, DMX Dimming, Tunable White, Puck Form, Constant Current, 300-1050mA, 2 Channel, 100-240V Input Voltage</v>
          </cell>
          <cell r="S18" t="str">
            <v>ZHUHAI LTECH TECHNOLOGY CO., LTD., SE-40-300-1050-W2M, Driver, 40W, DMX Dimming, Tunable White, Puck Form, Constant Current, 300-1050mA, 2 Channel, 100-240V Input Voltage</v>
          </cell>
        </row>
        <row r="19">
          <cell r="O19" t="str">
            <v>DR016SUN</v>
          </cell>
          <cell r="P19" t="str">
            <v>SRPL-2305N-80CC1000-2000U</v>
          </cell>
          <cell r="R19" t="str">
            <v>Driver, 80W, Dali DT6 Dimming, Monochromatic, Linear Form, Constant Current, 1000-2000mA, 1 Channel, 220-240V Input Voltage</v>
          </cell>
          <cell r="S19" t="str">
            <v>Shenzhen Sunricher Technology Co. Ltd, SRPL-2305N-80CC1000-2000U, Driver, 80W, Dali DT6 Dimming, Monochromatic, Linear Form, Constant Current, 1000-2000mA, 1 Channel, 220-240V Input Voltage</v>
          </cell>
        </row>
        <row r="20">
          <cell r="O20" t="str">
            <v>DR017EUC</v>
          </cell>
          <cell r="P20" t="str">
            <v>PUP40T-1LMC-850</v>
          </cell>
          <cell r="R20" t="str">
            <v>Driver, 40W, ELV Dimming, Monochromatic, Puck Form, Constant Current, 500-850mA, 1 Channel, 120V Input Voltage</v>
          </cell>
          <cell r="S20" t="str">
            <v>Ningbo Euchips Intelligent Technology Co., Ltd., PUP40T-1LMC-850, Driver, 40W, ELV Dimming, Monochromatic, Puck Form, Constant Current, 500-850mA, 1 Channel, 120V Input Voltage</v>
          </cell>
        </row>
        <row r="21">
          <cell r="O21" t="str">
            <v>DR018ZLT</v>
          </cell>
          <cell r="P21" t="str">
            <v>SE-12-100-500-W2A</v>
          </cell>
          <cell r="R21" t="str">
            <v>Driver, 12W, 0-10V to 0.01% Dimming, Tunable White, Puck Form, Constant Current, 100-500mA, 2 Channel, 100-240V Input Voltage</v>
          </cell>
          <cell r="S21" t="str">
            <v>ZHUHAI LTECH TECHNOLOGY CO., LTD., SE-12-100-500-W2A, Driver, 12W, 0-10V to 0.01% Dimming, Tunable White, Puck Form, Constant Current, 100-500mA, 2 Channel, 100-240V Input Voltage</v>
          </cell>
        </row>
        <row r="22">
          <cell r="O22" t="str">
            <v>DR019TRI</v>
          </cell>
          <cell r="P22" t="str">
            <v>LCA 35W 150-700mA/28000654</v>
          </cell>
          <cell r="R22" t="str">
            <v>Driver, 35W, Dali DT6 Dimming, Monochromatic, Linear Form, Constant Current, 150-700mA, 1 Channel, 198-264V Input Voltage</v>
          </cell>
          <cell r="S22" t="str">
            <v>Tridonic Inc., LCA 35W 150-700mA/28000654, Driver, 35W, Dali DT6 Dimming, Monochromatic, Linear Form, Constant Current, 150-700mA, 1 Channel, 198-264V Input Voltage</v>
          </cell>
        </row>
        <row r="23">
          <cell r="O23" t="str">
            <v>DR020ADR</v>
          </cell>
          <cell r="P23" t="str">
            <v>ADL2-020-IC700-TS</v>
          </cell>
          <cell r="R23" t="str">
            <v>Driver, 20W, ELV Dimming, Monochromatic, Puck Form, Constant Current, 350-700mA, 1 Channel, 120-277V Input Voltage</v>
          </cell>
          <cell r="S23" t="str">
            <v>ADURA, ADL2-020-IC700-TS, Driver, 20W, ELV Dimming, Monochromatic, Puck Form, Constant Current, 350-700mA, 1 Channel, 120-277V Input Voltage</v>
          </cell>
        </row>
        <row r="24">
          <cell r="O24" t="str">
            <v>DR021ADR</v>
          </cell>
          <cell r="P24" t="str">
            <v>ADL2-040-IC1200-TS</v>
          </cell>
          <cell r="R24" t="str">
            <v>Driver, 40W, ELV Dimming, Monochromatic, Puck Form, Constant Current, 850-1200mA, 1 Channel, 120-277V Input Voltage</v>
          </cell>
          <cell r="S24" t="str">
            <v>ADURA, ADL2-040-IC1200-TS, Driver, 40W, ELV Dimming, Monochromatic, Puck Form, Constant Current, 850-1200mA, 1 Channel, 120-277V Input Voltage</v>
          </cell>
        </row>
        <row r="25">
          <cell r="O25" t="str">
            <v>DR022ADR</v>
          </cell>
          <cell r="P25" t="str">
            <v>ADL2-040-IC1200-ZS</v>
          </cell>
          <cell r="R25" t="str">
            <v>Driver, 40W, 0-10V to 0.1% Dimming, Monochromatic, Puck Form, Constant Current, 850-1200mA, 1 Channel, 120-277V Input Voltage</v>
          </cell>
          <cell r="S25" t="str">
            <v>ADURA, ADL2-040-IC1200-ZS, Driver, 40W, 0-10V to 0.1% Dimming, Monochromatic, Puck Form, Constant Current, 850-1200mA, 1 Channel, 120-277V Input Voltage</v>
          </cell>
        </row>
        <row r="26">
          <cell r="O26" t="str">
            <v>DR023ADR</v>
          </cell>
          <cell r="P26" t="str">
            <v>ADL2-020-IC700-ZS</v>
          </cell>
          <cell r="R26" t="str">
            <v>Driver, 20W, 0-10V to 0.1% Dimming, Monochromatic, Puck Form, Constant Current, 350-700mA, 1 Channel, 120-277V Input Voltage</v>
          </cell>
          <cell r="S26" t="str">
            <v>ADURA, ADL2-020-IC700-ZS, Driver, 20W, 0-10V to 0.1% Dimming, Monochromatic, Puck Form, Constant Current, 350-700mA, 1 Channel, 120-277V Input Voltage</v>
          </cell>
        </row>
        <row r="27">
          <cell r="O27" t="str">
            <v>DR024ADR</v>
          </cell>
          <cell r="P27" t="str">
            <v>ADL2-040-IC850-TS</v>
          </cell>
          <cell r="R27" t="str">
            <v>Driver, 40W, ELV Dimming, Monochromatic, Puck Form, Constant Current, 500-850mA, 1 Channel, 120-277V Input Voltage</v>
          </cell>
          <cell r="S27" t="str">
            <v>ADURA, ADL2-040-IC850-TS, Driver, 40W, ELV Dimming, Monochromatic, Puck Form, Constant Current, 500-850mA, 1 Channel, 120-277V Input Voltage</v>
          </cell>
        </row>
        <row r="28">
          <cell r="O28" t="str">
            <v>DR025SIG</v>
          </cell>
          <cell r="P28" t="str">
            <v>CR014C035V042RNR1</v>
          </cell>
          <cell r="R28" t="str">
            <v>Driver, 14W, ELV Dimming, Monochromatic, Circular Form, Constant Current, 350mA, 1 Channel, 120V Input Voltage</v>
          </cell>
          <cell r="S28" t="str">
            <v>Signify North America, CR014C035V042RNR1, Driver, 14W, ELV Dimming, Monochromatic, Circular Form, Constant Current, 350mA, 1 Channel, 120V Input Voltage</v>
          </cell>
        </row>
        <row r="29">
          <cell r="O29" t="str">
            <v>DR026TRI</v>
          </cell>
          <cell r="P29" t="str">
            <v>LC 35 W 150–1050mA/28004443</v>
          </cell>
          <cell r="R29" t="str">
            <v>Driver, 35W, 0-10V to 1% Dimming, Monochromatic, Linear Form, Constant Current, 150-1050mA, 1 Channel, 100-240V Input Voltage</v>
          </cell>
          <cell r="S29" t="str">
            <v>Tridonic Inc., LC 35 W 150–1050mA/28004443, Driver, 35W, 0-10V to 1% Dimming, Monochromatic, Linear Form, Constant Current, 150-1050mA, 1 Channel, 100-240V Input Voltage</v>
          </cell>
        </row>
        <row r="30">
          <cell r="O30" t="str">
            <v>DR027TRI</v>
          </cell>
          <cell r="P30" t="str">
            <v>LC 50-400–1400mA/28004444</v>
          </cell>
          <cell r="R30" t="str">
            <v>Driver, 50W, 0-10V to 1% Dimming, Monochromatic, Linear Form, Constant Current, 400-1400mA, 1 Channel, 100-240V Input Voltage</v>
          </cell>
          <cell r="S30" t="str">
            <v>Tridonic Inc., LC 50-400–1400mA/28004444, Driver, 50W, 0-10V to 1% Dimming, Monochromatic, Linear Form, Constant Current, 400-1400mA, 1 Channel, 100-240V Input Voltage</v>
          </cell>
        </row>
        <row r="31">
          <cell r="O31" t="str">
            <v>DR028TRI</v>
          </cell>
          <cell r="P31" t="str">
            <v>LC 85-700–2300mA/28004445</v>
          </cell>
          <cell r="R31" t="str">
            <v>Driver, 85W, 0-10V to 1% Dimming, Monochromatic, Linear Form, Constant Current, 700-2300mA, 1 Channel, 100-240V Input Voltage</v>
          </cell>
          <cell r="S31" t="str">
            <v>Tridonic Inc., LC 85-700–2300mA/28004445, Driver, 85W, 0-10V to 1% Dimming, Monochromatic, Linear Form, Constant Current, 700-2300mA, 1 Channel, 100-240V Input Voltage</v>
          </cell>
        </row>
        <row r="32">
          <cell r="O32" t="str">
            <v>DR029LUT</v>
          </cell>
          <cell r="P32" t="str">
            <v>LDE12U1UMN-KA035</v>
          </cell>
          <cell r="R32" t="str">
            <v>Driver, 9-20WW, Lutron 1% Dimming, Monochromatic, Linear Form, Constant Current, 30-50V, 1 Channel, 120-277V Input Voltage</v>
          </cell>
          <cell r="S32" t="str">
            <v>Lutron Electronics Co. Inc., LDE12U1UMN-KA035, Driver, 9-20WW, Lutron 1% Dimming, Monochromatic, Linear Form, Constant Current, 30-50V, 1 Channel, 120-277V Input Voltage</v>
          </cell>
        </row>
        <row r="33">
          <cell r="O33" t="str">
            <v>DR030LUT</v>
          </cell>
          <cell r="P33" t="str">
            <v>LDE15U1UMN-CA125</v>
          </cell>
          <cell r="R33" t="str">
            <v>Driver, 25–50 WW, Lutron 1% Dimming, Monochromatic, Linear Form, Constant Current, 20–40V, 1 Channel, 120-277V Input Voltage</v>
          </cell>
          <cell r="S33" t="str">
            <v>Lutron Electronics Co. Inc., LDE15U1UMN-CA125, Driver, 25–50 WW, Lutron 1% Dimming, Monochromatic, Linear Form, Constant Current, 20–40V, 1 Channel, 120-277V Input Voltage</v>
          </cell>
        </row>
        <row r="34">
          <cell r="O34" t="str">
            <v>DR031ACE</v>
          </cell>
          <cell r="P34" t="str">
            <v>ACE-G14LN1555CP</v>
          </cell>
          <cell r="R34" t="str">
            <v>Driver, 14W, Non-Dimmable, Monochromatic, Linear Form, Constant Power, 90min Emergency, 1 Channel, 100-277V Input Voltage</v>
          </cell>
          <cell r="S34" t="str">
            <v>ACE LEDS , ACE-G14LN1555CP, Driver, 14W, Non-Dimmable, Monochromatic, Linear Form, Constant Power, 90min Emergency, 1 Channel, 100-277V Input Voltage</v>
          </cell>
        </row>
        <row r="35">
          <cell r="O35" t="str">
            <v>DR032LUT</v>
          </cell>
          <cell r="P35" t="str">
            <v>LDE17U1UMN-VA125</v>
          </cell>
          <cell r="R35" t="str">
            <v>Driver, 40-75WW, Lutron 1% Dimming, Monochromatic, Linear Form, Constant Current,  30–50V, 1 Channel, 100-277V Input Voltage</v>
          </cell>
          <cell r="S35" t="str">
            <v>Lutron Electronics Co. Inc., LDE17U1UMN-VA125, Driver, 40-75WW, Lutron 1% Dimming, Monochromatic, Linear Form, Constant Current,  30–50V, 1 Channel, 100-277V Input Voltage</v>
          </cell>
        </row>
        <row r="36">
          <cell r="O36" t="str">
            <v>DR033LUT</v>
          </cell>
          <cell r="P36" t="str">
            <v>LDE13U1UMN-TA070</v>
          </cell>
          <cell r="R36" t="str">
            <v>Driver, 15–35WW, Lutron 1% Dimming, Monochromatic, Linear Form, Constant Current, 30.0–50.0V, 1 Channel, 100-277V Input Voltage</v>
          </cell>
          <cell r="S36" t="str">
            <v>Lutron Electronics Co. Inc., LDE13U1UMN-TA070, Driver, 15–35WW, Lutron 1% Dimming, Monochromatic, Linear Form, Constant Current, 30.0–50.0V, 1 Channel, 100-277V Input Voltage</v>
          </cell>
        </row>
        <row r="37">
          <cell r="O37" t="str">
            <v>DR034ACB</v>
          </cell>
          <cell r="P37" t="str">
            <v>SOLOdrive 261/B</v>
          </cell>
          <cell r="R37" t="str">
            <v>Driver, 20W, 0-10V to 0.1% Dimming, Monochromatic, Puck Form, Constant Current, 150-1400mA, 1 Channel, 120-277V Input Voltage</v>
          </cell>
          <cell r="S37" t="str">
            <v>Acuity Brands (EldoLED), SOLOdrive 261/B, Driver, 20W, 0-10V to 0.1% Dimming, Monochromatic, Puck Form, Constant Current, 150-1400mA, 1 Channel, 120-277V Input Voltage</v>
          </cell>
        </row>
        <row r="38">
          <cell r="O38" t="str">
            <v>DR035ERP</v>
          </cell>
          <cell r="P38" t="str">
            <v>EBR010U-0250-42</v>
          </cell>
          <cell r="R38" t="str">
            <v>Driver, 10W, ELV Dimming, Monochromatic, Circular Form, Constant Current, 250mA, 1 Channel, 120V Input Voltage</v>
          </cell>
          <cell r="S38" t="str">
            <v>ERP Power, EBR010U-0250-42, Driver, 10W, ELV Dimming, Monochromatic, Circular Form, Constant Current, 250mA, 1 Channel, 120V Input Voltage</v>
          </cell>
        </row>
        <row r="39">
          <cell r="O39" t="str">
            <v>DR036ERP</v>
          </cell>
          <cell r="P39" t="str">
            <v>EBR015U-0300-42</v>
          </cell>
          <cell r="R39" t="str">
            <v>Driver, 15W, ELV Dimming, Monochromatic, Circular Form, Constant Current, 300mA, 1 Channel, 120V Input Voltage</v>
          </cell>
          <cell r="S39" t="str">
            <v>ERP Power, EBR015U-0300-42, Driver, 15W, ELV Dimming, Monochromatic, Circular Form, Constant Current, 300mA, 1 Channel, 120V Input Voltage</v>
          </cell>
        </row>
        <row r="40">
          <cell r="O40" t="str">
            <v>DR037ERP</v>
          </cell>
          <cell r="P40" t="str">
            <v>EBR015U-0350-42</v>
          </cell>
          <cell r="R40" t="str">
            <v>Driver, 15W, ELV Dimming, Monochromatic, Circular Form, Constant Current, 350mA, 1 Channel, 120V Input Voltage</v>
          </cell>
          <cell r="S40" t="str">
            <v>ERP Power, EBR015U-0350-42, Driver, 15W, ELV Dimming, Monochromatic, Circular Form, Constant Current, 350mA, 1 Channel, 120V Input Voltage</v>
          </cell>
        </row>
        <row r="41">
          <cell r="O41" t="str">
            <v>DR038ERP</v>
          </cell>
          <cell r="P41" t="str">
            <v>ESS015W-0350-42</v>
          </cell>
          <cell r="R41" t="str">
            <v>Driver, 15W, 0-10V to 1%/ELV Dimming, Monochromatic, Puck Form, Constant Current, 350mA, 1 Channel, 120-277V Input Voltage</v>
          </cell>
          <cell r="S41" t="str">
            <v>ERP Power, ESS015W-0350-42, Driver, 15W, 0-10V to 1%/ELV Dimming, Monochromatic, Puck Form, Constant Current, 350mA, 1 Channel, 120-277V Input Voltage</v>
          </cell>
        </row>
        <row r="42">
          <cell r="O42" t="str">
            <v>DR039ERP</v>
          </cell>
          <cell r="P42" t="str">
            <v>ESSV030W-500-42</v>
          </cell>
          <cell r="R42" t="str">
            <v>Driver, 30W, 0-10V to 1%/ELV Dimming, Monochromatic, Puck Form, Constant Current, 500mA, 1 Channel, 120-277V Input Voltage</v>
          </cell>
          <cell r="S42" t="str">
            <v>ERP Power, ESSV030W-500-42, Driver, 30W, 0-10V to 1%/ELV Dimming, Monochromatic, Puck Form, Constant Current, 500mA, 1 Channel, 120-277V Input Voltage</v>
          </cell>
        </row>
        <row r="43">
          <cell r="O43" t="str">
            <v>DR040ERP</v>
          </cell>
          <cell r="P43" t="str">
            <v>PKB65-1800-55-TN</v>
          </cell>
          <cell r="R43" t="str">
            <v>Driver, 65W, 0-10V to 1% Dimming, Monochromatic, Linear Form, Constant Current, 600-1800mA, 1 Channel, 120-277V Input Voltage</v>
          </cell>
          <cell r="S43" t="str">
            <v>ERP Power, PKB65-1800-55-TN, Driver, 65W, 0-10V to 1% Dimming, Monochromatic, Linear Form, Constant Current, 600-1800mA, 1 Channel, 120-277V Input Voltage</v>
          </cell>
        </row>
        <row r="44">
          <cell r="O44" t="str">
            <v>DR041EUC</v>
          </cell>
          <cell r="P44" t="str">
            <v>MUP60T-1W24V</v>
          </cell>
          <cell r="R44" t="str">
            <v>Driver, 60W, ELV Dimming, Monochromatic, Linear Form, Constant Voltage, 24V, 1 Channel, 120-277V Input Voltage</v>
          </cell>
          <cell r="S44" t="str">
            <v>Ningbo Euchips Intelligent Technology Co., Ltd., MUP60T-1W24V, Driver, 60W, ELV Dimming, Monochromatic, Linear Form, Constant Voltage, 24V, 1 Channel, 120-277V Input Voltage</v>
          </cell>
        </row>
        <row r="45">
          <cell r="O45" t="str">
            <v>DR042EUC</v>
          </cell>
          <cell r="P45" t="str">
            <v>PUP10A-1WMC-350</v>
          </cell>
          <cell r="R45" t="str">
            <v>Driver, 10W, 0-10V to 0.1% Dimming, Monochromatic, Puck Form, Constant Current, 120-350mA, 1 Channel, 120-277V Input Voltage</v>
          </cell>
          <cell r="S45" t="str">
            <v>Ningbo Euchips Intelligent Technology Co., Ltd., PUP10A-1WMC-350, Driver, 10W, 0-10V to 0.1% Dimming, Monochromatic, Puck Form, Constant Current, 120-350mA, 1 Channel, 120-277V Input Voltage</v>
          </cell>
        </row>
        <row r="46">
          <cell r="O46" t="str">
            <v>DR043EUC</v>
          </cell>
          <cell r="P46" t="str">
            <v>PUP20D-1WMC</v>
          </cell>
          <cell r="R46" t="str">
            <v>Driver, 20W, Dali Dimming, Monochromatic, Puck Form, Constant Current, 350-700mA, 1 Channel, 120-277V Input Voltage</v>
          </cell>
          <cell r="S46" t="str">
            <v>Ningbo Euchips Intelligent Technology Co., Ltd., PUP20D-1WMC, Driver, 20W, Dali Dimming, Monochromatic, Puck Form, Constant Current, 350-700mA, 1 Channel, 120-277V Input Voltage</v>
          </cell>
        </row>
        <row r="47">
          <cell r="O47" t="str">
            <v>DR044HAL</v>
          </cell>
          <cell r="P47" t="str">
            <v>LC 12-0350Z-UNV-B</v>
          </cell>
          <cell r="R47" t="str">
            <v>Driver, 12W, 0-10V to 1% Dimming, Monochromatic, Puck Form, Constant Current, 350mA, 1 Channel, 120-277V Input Voltage</v>
          </cell>
          <cell r="S47" t="str">
            <v>Hatch Lighting, LC 12-0350Z-UNV-B, Driver, 12W, 0-10V to 1% Dimming, Monochromatic, Puck Form, Constant Current, 350mA, 1 Channel, 120-277V Input Voltage</v>
          </cell>
        </row>
        <row r="48">
          <cell r="O48" t="str">
            <v>DR045HAL</v>
          </cell>
          <cell r="P48" t="str">
            <v>LC 16-0350P-120-Q</v>
          </cell>
          <cell r="R48" t="str">
            <v>Driver, 16W, ELV Dimming, Monochromatic, Puck Form, Constant Current, 350mA, 1 Channel, 120V Input Voltage</v>
          </cell>
          <cell r="S48" t="str">
            <v>Hatch Lighting, LC 16-0350P-120-Q, Driver, 16W, ELV Dimming, Monochromatic, Puck Form, Constant Current, 350mA, 1 Channel, 120V Input Voltage</v>
          </cell>
        </row>
        <row r="49">
          <cell r="O49" t="str">
            <v>DR046HAL</v>
          </cell>
          <cell r="P49" t="str">
            <v>LC 25-0500Z-UNV-Q</v>
          </cell>
          <cell r="R49" t="str">
            <v>Driver, 25W, 0-10V to 1% Dimming, Monochromatic, Puck Form, Constant Current, 500mA, 1 Channel, 120-277V Input Voltage</v>
          </cell>
          <cell r="S49" t="str">
            <v>Hatch Lighting, LC 25-0500Z-UNV-Q, Driver, 25W, 0-10V to 1% Dimming, Monochromatic, Puck Form, Constant Current, 500mA, 1 Channel, 120-277V Input Voltage</v>
          </cell>
        </row>
        <row r="50">
          <cell r="O50" t="str">
            <v>DR047LIF</v>
          </cell>
          <cell r="P50" t="str">
            <v>LF-GLD040YA0900U</v>
          </cell>
          <cell r="R50" t="str">
            <v>Driver, 40W, 0-10V to 1% Dimming, Monochromatic, Linear Form, Constant Current, 900mA, 1 Channel, 100-277V Input Voltage</v>
          </cell>
          <cell r="S50" t="str">
            <v>Lifud Technology Co., Ltd., LF-GLD040YA0900U, Driver, 40W, 0-10V to 1% Dimming, Monochromatic, Linear Form, Constant Current, 900mA, 1 Channel, 100-277V Input Voltage</v>
          </cell>
        </row>
        <row r="51">
          <cell r="O51" t="str">
            <v>DR048LTF</v>
          </cell>
          <cell r="P51" t="str">
            <v>DA10W220C2846-3001</v>
          </cell>
          <cell r="R51" t="str">
            <v>Driver, 10W, 0-10V to 1%/ELV Dimming, Monochromatic, Puck Form, Constant Current, 220mA, 1 Channel, 120V Input Voltage</v>
          </cell>
          <cell r="S51" t="str">
            <v>LTF Technology, DA10W220C2846-3001, Driver, 10W, 0-10V to 1%/ELV Dimming, Monochromatic, Puck Form, Constant Current, 220mA, 1 Channel, 120V Input Voltage</v>
          </cell>
        </row>
        <row r="52">
          <cell r="O52" t="str">
            <v>DR049LTF</v>
          </cell>
          <cell r="P52" t="str">
            <v>DA12W700C1018LI-0000</v>
          </cell>
          <cell r="R52" t="str">
            <v>Driver, 12W, 0-10V to 1%/ELV Dimming, Monochromatic, Puck Form, Constant Current, 700mA, 1 Channel, 120V Input Voltage</v>
          </cell>
          <cell r="S52" t="str">
            <v>LTF Technology, DA12W700C1018LI-0000, Driver, 12W, 0-10V to 1%/ELV Dimming, Monochromatic, Puck Form, Constant Current, 700mA, 1 Channel, 120V Input Voltage</v>
          </cell>
        </row>
        <row r="53">
          <cell r="O53" t="str">
            <v>DR050LTF</v>
          </cell>
          <cell r="P53" t="str">
            <v>DA15W300C2850-3001</v>
          </cell>
          <cell r="R53" t="str">
            <v>Driver, 15W, 0-10V to 1%/ELV Dimming, Monochromatic, Puck Form, Constant Current, 300mA, 1 Channel, 120V Input Voltage</v>
          </cell>
          <cell r="S53" t="str">
            <v>LTF Technology, DA15W300C2850-3001, Driver, 15W, 0-10V to 1%/ELV Dimming, Monochromatic, Puck Form, Constant Current, 300mA, 1 Channel, 120V Input Voltage</v>
          </cell>
        </row>
        <row r="54">
          <cell r="O54" t="str">
            <v>DR051LTF</v>
          </cell>
          <cell r="P54" t="str">
            <v>DA8W700C0812-0000</v>
          </cell>
          <cell r="R54" t="str">
            <v>Driver, 8W, 0-10V to 1%/ELV Dimming, Monochromatic, Puck Form, Constant Current, 700mA, 1 Channel, 120V Input Voltage</v>
          </cell>
          <cell r="S54" t="str">
            <v>LTF Technology, DA8W700C0812-0000, Driver, 8W, 0-10V to 1%/ELV Dimming, Monochromatic, Puck Form, Constant Current, 700mA, 1 Channel, 120V Input Voltage</v>
          </cell>
        </row>
        <row r="55">
          <cell r="O55" t="str">
            <v>DR052CUV</v>
          </cell>
          <cell r="P55" t="str">
            <v>DRW-A4D030/1-CC700-42-700</v>
          </cell>
          <cell r="R55" t="str">
            <v>Driver, 30W, 0-10V to 1% Dimming, Monochromatic, Puck Form, Constant Current, 700mA, 1 Channel, 108-305V Input Voltage</v>
          </cell>
          <cell r="S55" t="str">
            <v>Cuvée Systems, Inc, DRW-A4D030/1-CC700-42-700, Driver, 30W, 0-10V to 1% Dimming, Monochromatic, Puck Form, Constant Current, 700mA, 1 Channel, 108-305V Input Voltage</v>
          </cell>
        </row>
        <row r="56">
          <cell r="O56" t="str">
            <v>DR053LTF</v>
          </cell>
          <cell r="P56" t="str">
            <v>DS12W0350C2040MB1UD-000</v>
          </cell>
          <cell r="R56" t="str">
            <v>Driver, 12W, 0-10V to 1%/ELV Dimming, Monochromatic, Puck Form, Constant Current, 350mA, 1 Channel, 100-305V Input Voltage</v>
          </cell>
          <cell r="S56" t="str">
            <v>LTF Technology, DS12W0350C2040MB1UD-000, Driver, 12W, 0-10V to 1%/ELV Dimming, Monochromatic, Puck Form, Constant Current, 350mA, 1 Channel, 100-305V Input Voltage</v>
          </cell>
        </row>
        <row r="57">
          <cell r="O57" t="str">
            <v>DR054LTF</v>
          </cell>
          <cell r="P57" t="str">
            <v>DS12W280C2543D010-3001</v>
          </cell>
          <cell r="R57" t="str">
            <v>Driver, 12W, 0-10V to 1%/ELV Dimming, Monochromatic, Puck Form, Constant Current, 280mA, 1 Channel, 100-305V Input Voltage</v>
          </cell>
          <cell r="S57" t="str">
            <v>LTF Technology, DS12W280C2543D010-3001, Driver, 12W, 0-10V to 1%/ELV Dimming, Monochromatic, Puck Form, Constant Current, 280mA, 1 Channel, 100-305V Input Voltage</v>
          </cell>
        </row>
        <row r="58">
          <cell r="O58" t="str">
            <v>DR055LTF</v>
          </cell>
          <cell r="P58" t="str">
            <v>DS12W0350C1534MB1UD-0000</v>
          </cell>
          <cell r="R58" t="str">
            <v>Driver, 12W, 0-10V to 1%/ELV Dimming, Monochromatic, Puck Form, Constant Current, 350mA, 1 Channel, 100-305V Input Voltage</v>
          </cell>
          <cell r="S58" t="str">
            <v>LTF Technology, DS12W0350C1534MB1UD-0000, Driver, 12W, 0-10V to 1%/ELV Dimming, Monochromatic, Puck Form, Constant Current, 350mA, 1 Channel, 100-305V Input Voltage</v>
          </cell>
        </row>
        <row r="59">
          <cell r="O59" t="str">
            <v>DR056LTF</v>
          </cell>
          <cell r="P59" t="str">
            <v>DS15W300C2850D010-3001</v>
          </cell>
          <cell r="R59" t="str">
            <v>Driver, 15W, 0-10V to 1% Dimming, Monochromatic, Puck Form, Constant Current, 300mA, 1 Channel, 120-277V Input Voltage</v>
          </cell>
          <cell r="S59" t="str">
            <v>LTF Technology, DS15W300C2850D010-3001, Driver, 15W, 0-10V to 1% Dimming, Monochromatic, Puck Form, Constant Current, 300mA, 1 Channel, 120-277V Input Voltage</v>
          </cell>
        </row>
        <row r="60">
          <cell r="O60" t="str">
            <v>DR057LTF</v>
          </cell>
          <cell r="P60" t="str">
            <v>DS15W350C1542D10-301</v>
          </cell>
          <cell r="R60" t="str">
            <v>Driver, 15W, 0-10V to 1% Dimming, Monochromatic, Puck Form, Constant Current, 350mA, 15-42V, 1 Channel, 120-277V Input Voltage</v>
          </cell>
          <cell r="S60" t="str">
            <v>LTF Technology, DS15W350C1542D10-301, Driver, 15W, 0-10V to 1% Dimming, Monochromatic, Puck Form, Constant Current, 350mA, 15-42V, 1 Channel, 120-277V Input Voltage</v>
          </cell>
        </row>
        <row r="61">
          <cell r="O61" t="str">
            <v>DR058LTF</v>
          </cell>
          <cell r="P61" t="str">
            <v>DS15W350C2042SM1UD-3002</v>
          </cell>
          <cell r="R61" t="str">
            <v>Driver, 15W, 0-10V to 1% Dimming, Monochromatic, Puck Form, Constant Current, 350mA, 20-42V, 1 Channel, 120-277V Input Voltage</v>
          </cell>
          <cell r="S61" t="str">
            <v>LTF Technology, DS15W350C2042SM1UD-3002, Driver, 15W, 0-10V to 1% Dimming, Monochromatic, Puck Form, Constant Current, 350mA, 20-42V, 1 Channel, 120-277V Input Voltage</v>
          </cell>
        </row>
        <row r="62">
          <cell r="O62" t="str">
            <v>DR059ZSE</v>
          </cell>
          <cell r="P62" t="str">
            <v>KVG-24096-DW</v>
          </cell>
          <cell r="R62" t="str">
            <v>Driver, 96W, 0-10V to 0.1% Dimming, Monochromatic, Linear Form, Constant Voltage, 24V, 1 Channel, 100-277V Input Voltage</v>
          </cell>
          <cell r="S62" t="str">
            <v>Zhuhai Shengchang Electronics Co.,Ltd (SC POWER), KVG-24096-DW, Driver, 96W, 0-10V to 0.1% Dimming, Monochromatic, Linear Form, Constant Voltage, 24V, 1 Channel, 100-277V Input Voltage</v>
          </cell>
        </row>
        <row r="63">
          <cell r="O63" t="str">
            <v>DR060LTF</v>
          </cell>
          <cell r="P63" t="str">
            <v>DS30W700C2043LTLI6-0060</v>
          </cell>
          <cell r="R63" t="str">
            <v>Driver, 30W, 0-10V to 0.1%/ELV Dimming, Tunable White, Linear Form, Constant Current, 700mA, 2 Channel, 120-277V Input Voltage</v>
          </cell>
          <cell r="S63" t="str">
            <v>LTF Technology, DS30W700C2043LTLI6-0060, Driver, 30W, 0-10V to 0.1%/ELV Dimming, Tunable White, Linear Form, Constant Current, 700mA, 2 Channel, 120-277V Input Voltage</v>
          </cell>
        </row>
        <row r="64">
          <cell r="O64" t="str">
            <v>DR061LTF</v>
          </cell>
          <cell r="P64" t="str">
            <v>DS96W24VLI15UD-3002</v>
          </cell>
          <cell r="R64" t="str">
            <v>Driver, 96W, 0-10V to 1%/ELV Dimming, Monochromatic, Linear Form, Constant Voltage, 24V, 1 Channel, 120-277V Input Voltage</v>
          </cell>
          <cell r="S64" t="str">
            <v>LTF Technology, DS96W24VLI15UD-3002, Driver, 96W, 0-10V to 1%/ELV Dimming, Monochromatic, Linear Form, Constant Voltage, 24V, 1 Channel, 120-277V Input Voltage</v>
          </cell>
        </row>
        <row r="65">
          <cell r="O65" t="str">
            <v>DR062LTF</v>
          </cell>
          <cell r="P65" t="str">
            <v>LDS300W24VUD-4002R1</v>
          </cell>
          <cell r="R65" t="str">
            <v>Driver, 300W, 0-10V to 0.1%/ELV Dimming, Monochromatic, Linear Form, Constant Voltage, 24V, 1 Channel, 120-277V Input Voltage</v>
          </cell>
          <cell r="S65" t="str">
            <v>LTF Technology, LDS300W24VUD-4002R1, Driver, 300W, 0-10V to 0.1%/ELV Dimming, Monochromatic, Linear Form, Constant Voltage, 24V, 1 Channel, 120-277V Input Voltage</v>
          </cell>
        </row>
        <row r="66">
          <cell r="O66" t="str">
            <v>DR063MAL</v>
          </cell>
          <cell r="P66" t="str">
            <v>AFLEX-60W-1400-S-L</v>
          </cell>
          <cell r="R66" t="str">
            <v>Driver, 60W, 0-10V to 1% Dimming, Monochromatic, Puck Form, Constant Current, 100-1400mA, 1 Channel, 120-277V Input Voltage</v>
          </cell>
          <cell r="S66" t="str">
            <v>Magnitude Lighting Inc., AFLEX-60W-1400-S-L, Driver, 60W, 0-10V to 1% Dimming, Monochromatic, Puck Form, Constant Current, 100-1400mA, 1 Channel, 120-277V Input Voltage</v>
          </cell>
        </row>
        <row r="67">
          <cell r="O67" t="str">
            <v>DR064MEA</v>
          </cell>
          <cell r="P67" t="str">
            <v>PWM-120-24</v>
          </cell>
          <cell r="R67" t="str">
            <v>Driver, 120W, Dali Type 2 Dimming, Monochromatic, Puck Form, Constant Voltage, 24V, 1 Channel, 115-277V Input Voltage</v>
          </cell>
          <cell r="S67" t="str">
            <v>MEAN WELL Enterprises Co., Ltd., PWM-120-24, Driver, 120W, Dali Type 2 Dimming, Monochromatic, Puck Form, Constant Voltage, 24V, 1 Channel, 115-277V Input Voltage</v>
          </cell>
        </row>
        <row r="68">
          <cell r="O68" t="str">
            <v>DR065MEA</v>
          </cell>
          <cell r="P68" t="str">
            <v>PWM-90-24</v>
          </cell>
          <cell r="R68" t="str">
            <v>Driver, 90W, Dali Type 2 Dimming, Monochromatic, Puck Form, Constant Voltage, 24V, 1 Channel, 115-277V Input Voltage</v>
          </cell>
          <cell r="S68" t="str">
            <v>MEAN WELL Enterprises Co., Ltd., PWM-90-24, Driver, 90W, Dali Type 2 Dimming, Monochromatic, Puck Form, Constant Voltage, 24V, 1 Channel, 115-277V Input Voltage</v>
          </cell>
        </row>
        <row r="69">
          <cell r="O69" t="str">
            <v>DR066MAL</v>
          </cell>
          <cell r="P69" t="str">
            <v>CCT30W700</v>
          </cell>
          <cell r="R69" t="str">
            <v>Driver, 30W, ELV Dimming, Monochromatic, Circular Form, Constant Current, 700mA, 1 Channel, 120V Input Voltage</v>
          </cell>
          <cell r="S69" t="str">
            <v>Magnitude Lighting Inc., CCT30W700, Driver, 30W, ELV Dimming, Monochromatic, Circular Form, Constant Current, 700mA, 1 Channel, 120V Input Voltage</v>
          </cell>
        </row>
        <row r="70">
          <cell r="O70" t="str">
            <v>DR067MAL</v>
          </cell>
          <cell r="P70" t="str">
            <v>CVD96L24DC</v>
          </cell>
          <cell r="R70" t="str">
            <v>Driver, 96W, 0-10V to 1% Dimming, Monochromatic, Linear Form, Constant Voltage, 24V, 1 Channel, 120V Input Voltage</v>
          </cell>
          <cell r="S70" t="str">
            <v>Magnitude Lighting Inc., CVD96L24DC, Driver, 96W, 0-10V to 1% Dimming, Monochromatic, Linear Form, Constant Voltage, 24V, 1 Channel, 120V Input Voltage</v>
          </cell>
        </row>
        <row r="71">
          <cell r="O71" t="str">
            <v>DR068LTF</v>
          </cell>
          <cell r="P71" t="str">
            <v>LDS200W24VDU</v>
          </cell>
          <cell r="R71" t="str">
            <v>Driver, 200W, 0-10V to 0.1%/ELV Dimming, Monochromatic, Linear Form, Constant Voltage, 24V, 1 Channel, 120-277V Input Voltage</v>
          </cell>
          <cell r="S71" t="str">
            <v>LTF Technology, LDS200W24VDU, Driver, 200W, 0-10V to 0.1%/ELV Dimming, Monochromatic, Linear Form, Constant Voltage, 24V, 1 Channel, 120-277V Input Voltage</v>
          </cell>
        </row>
        <row r="72">
          <cell r="O72" t="str">
            <v>DR069ERP</v>
          </cell>
          <cell r="P72" t="str">
            <v>PKB30W-1050-55-TN</v>
          </cell>
          <cell r="R72" t="str">
            <v>Driver, 30W, 0-10V to 1% Dimming, Monochromatic, Linear Form, Constant Current, 275-1050mA, 1 Channel, 120-277V Input Voltage</v>
          </cell>
          <cell r="S72" t="str">
            <v>ERP Power, PKB30W-1050-55-TN, Driver, 30W, 0-10V to 1% Dimming, Monochromatic, Linear Form, Constant Current, 275-1050mA, 1 Channel, 120-277V Input Voltage</v>
          </cell>
        </row>
        <row r="73">
          <cell r="O73" t="str">
            <v>DR070ERP</v>
          </cell>
          <cell r="P73" t="str">
            <v>PKB65W-1800-35-TN</v>
          </cell>
          <cell r="R73" t="str">
            <v>Driver, 65W, 0-10V to 1% Dimming, Monochromatic, Linear Form, Constant Current, 600-1800mA, 1 Channel, 120-277V Input Voltage</v>
          </cell>
          <cell r="S73" t="str">
            <v>ERP Power, PKB65W-1800-35-TN, Driver, 65W, 0-10V to 1% Dimming, Monochromatic, Linear Form, Constant Current, 600-1800mA, 1 Channel, 120-277V Input Voltage</v>
          </cell>
        </row>
        <row r="74">
          <cell r="O74" t="str">
            <v>DR071BRI</v>
          </cell>
          <cell r="P74" t="str">
            <v>BXDR-MP-46LT-C114A-01-A</v>
          </cell>
          <cell r="R74" t="str">
            <v>Driver, 46W, 0-10V to 1% Dimming, Monochromatic, Linear Form, Constant Current, 140-1400mA, 1 Channel, 120-277V Input Voltage</v>
          </cell>
          <cell r="S74" t="str">
            <v>BRIDGELUX , BXDR-MP-46LT-C114A-01-A, Driver, 46W, 0-10V to 1% Dimming, Monochromatic, Linear Form, Constant Current, 140-1400mA, 1 Channel, 120-277V Input Voltage</v>
          </cell>
        </row>
        <row r="75">
          <cell r="O75" t="str">
            <v>DR072SUN</v>
          </cell>
          <cell r="P75" t="str">
            <v>SRPL-2108-75CCT</v>
          </cell>
          <cell r="R75" t="str">
            <v>Driver, 75W, DMX Dimming, Tunable White, Linear Form, Constant Current, 250-1500mA, 2 Channel, 100-277V Input Voltage</v>
          </cell>
          <cell r="S75" t="str">
            <v>Shenzhen Sunricher Technology Co. Ltd, SRPL-2108-75CCT, Driver, 75W, DMX Dimming, Tunable White, Linear Form, Constant Current, 250-1500mA, 2 Channel, 100-277V Input Voltage</v>
          </cell>
        </row>
        <row r="76">
          <cell r="O76" t="str">
            <v>DR073ACE</v>
          </cell>
          <cell r="P76" t="str">
            <v>ACE-G6.5I1255CP</v>
          </cell>
          <cell r="R76" t="str">
            <v>Driver, 6.5W, Non-Dimmable, Monochromatic, Linear Form, Constant Power, 90min Emergency, 1 Channel, 100-277V Input Voltage</v>
          </cell>
          <cell r="S76" t="str">
            <v>ACE LEDS , ACE-G6.5I1255CP, Driver, 6.5W, Non-Dimmable, Monochromatic, Linear Form, Constant Power, 90min Emergency, 1 Channel, 100-277V Input Voltage</v>
          </cell>
        </row>
        <row r="77">
          <cell r="O77" t="str">
            <v>DR074ERP</v>
          </cell>
          <cell r="P77" t="str">
            <v>VLM60W-24</v>
          </cell>
          <cell r="R77" t="str">
            <v>Driver, 60W, Non-Dimmable, Monochromatic, Linear Form, Constant Voltage, 24V, 1 Channel, 120-277V Input Voltage</v>
          </cell>
          <cell r="S77" t="str">
            <v>ERP Power, VLM60W-24, Driver, 60W, Non-Dimmable, Monochromatic, Linear Form, Constant Voltage, 24V, 1 Channel, 120-277V Input Voltage</v>
          </cell>
        </row>
        <row r="78">
          <cell r="O78" t="str">
            <v>DR075LUT</v>
          </cell>
          <cell r="P78" t="str">
            <v>LDE53U1UMN-BA070</v>
          </cell>
          <cell r="R78" t="str">
            <v>Driver, 15-35W, Lutron Dimming, Monochromatic, Linear Form, Constant Current, 700mA, 1 Channel, 120-277V Input Voltage</v>
          </cell>
          <cell r="S78" t="str">
            <v>Lutron Electronics Co. Inc., LDE53U1UMN-BA070, Driver, 15-35W, Lutron Dimming, Monochromatic, Linear Form, Constant Current, 700mA, 1 Channel, 120-277V Input Voltage</v>
          </cell>
        </row>
        <row r="79">
          <cell r="O79" t="str">
            <v>DR076TRI</v>
          </cell>
          <cell r="P79" t="str">
            <v>LC 35W 350-900mA/87500848</v>
          </cell>
          <cell r="R79" t="str">
            <v>Driver, 35W, 0-10V to 1% Dimming, Monochromatic, Linear Form, Constant Current, 350-900mA, 1 Channel, 120-277V Input Voltage</v>
          </cell>
          <cell r="S79" t="str">
            <v>Tridonic Inc., LC 35W 350-900mA/87500848, Driver, 35W, 0-10V to 1% Dimming, Monochromatic, Linear Form, Constant Current, 350-900mA, 1 Channel, 120-277V Input Voltage</v>
          </cell>
        </row>
        <row r="80">
          <cell r="O80" t="str">
            <v>DR077ACE</v>
          </cell>
          <cell r="P80" t="str">
            <v>AC10CD250AT2K</v>
          </cell>
          <cell r="R80" t="str">
            <v>Driver, 10W, 0-10V to 5% Dimming, Monochromatic, Puck Form, Constant Current, 250mA, 1 Channel, 120-277V Input Voltage</v>
          </cell>
          <cell r="S80" t="str">
            <v>ACE LEDS , AC10CD250AT2K, Driver, 10W, 0-10V to 5% Dimming, Monochromatic, Puck Form, Constant Current, 250mA, 1 Channel, 120-277V Input Voltage</v>
          </cell>
        </row>
        <row r="81">
          <cell r="O81" t="str">
            <v>DR078ZSE</v>
          </cell>
          <cell r="P81" t="str">
            <v>KVG-24060-DW</v>
          </cell>
          <cell r="R81" t="str">
            <v>Driver, 60W, 0-10V to 0.1% Dimming, Monochromatic, Linear Form, Constant Voltage, 24V, 1 Channel, 100-277V Input Voltage</v>
          </cell>
          <cell r="S81" t="str">
            <v>Zhuhai Shengchang Electronics Co.,Ltd (SC POWER), KVG-24060-DW, Driver, 60W, 0-10V to 0.1% Dimming, Monochromatic, Linear Form, Constant Voltage, 24V, 1 Channel, 100-277V Input Voltage</v>
          </cell>
        </row>
        <row r="82">
          <cell r="O82" t="str">
            <v>DR079ZSE</v>
          </cell>
          <cell r="P82" t="str">
            <v>KVG-24100-DW</v>
          </cell>
          <cell r="R82" t="str">
            <v>Driver, 100W, 0-10V to 0.1% Dimming, Monochromatic, Linear Form, Constant Voltage, 24V, 1 Channel, 100-277V Input Voltage</v>
          </cell>
          <cell r="S82" t="str">
            <v>Zhuhai Shengchang Electronics Co.,Ltd (SC POWER), KVG-24100-DW, Driver, 100W, 0-10V to 0.1% Dimming, Monochromatic, Linear Form, Constant Voltage, 24V, 1 Channel, 100-277V Input Voltage</v>
          </cell>
        </row>
        <row r="83">
          <cell r="O83" t="str">
            <v>DR080ZSE</v>
          </cell>
          <cell r="P83" t="str">
            <v>KVG-24120-DW</v>
          </cell>
          <cell r="R83" t="str">
            <v>Driver, 120W, 0-10V to 0.1% Dimming, Monochromatic, Linear Form, Constant Voltage, 24V, 1 Channel, 100-277V Input Voltage</v>
          </cell>
          <cell r="S83" t="str">
            <v>Zhuhai Shengchang Electronics Co.,Ltd (SC POWER), KVG-24120-DW, Driver, 120W, 0-10V to 0.1% Dimming, Monochromatic, Linear Form, Constant Voltage, 24V, 1 Channel, 100-277V Input Voltage</v>
          </cell>
        </row>
        <row r="84">
          <cell r="O84" t="str">
            <v>DR081ZSE</v>
          </cell>
          <cell r="P84" t="str">
            <v>KVG-24300-DW</v>
          </cell>
          <cell r="R84" t="str">
            <v>Driver, 300W, 0-10V to 0.1% Dimming, Monochromatic, Linear Form, Constant Voltage, 24V, 1 Channel, 100-277V Input Voltage</v>
          </cell>
          <cell r="S84" t="str">
            <v>Zhuhai Shengchang Electronics Co.,Ltd (SC POWER), KVG-24300-DW, Driver, 300W, 0-10V to 0.1% Dimming, Monochromatic, Linear Form, Constant Voltage, 24V, 1 Channel, 100-277V Input Voltage</v>
          </cell>
        </row>
        <row r="85">
          <cell r="O85" t="str">
            <v>DR082ZSE</v>
          </cell>
          <cell r="P85" t="str">
            <v>KVG-48080-DW</v>
          </cell>
          <cell r="R85" t="str">
            <v>Driver, 80W, 0-10V to 0.1% Dimming, Monochromatic, Linear Form, Constant Voltage, 48V, 1 Channel, 100-277V Input Voltage</v>
          </cell>
          <cell r="S85" t="str">
            <v>Zhuhai Shengchang Electronics Co.,Ltd (SC POWER), KVG-48080-DW, Driver, 80W, 0-10V to 0.1% Dimming, Monochromatic, Linear Form, Constant Voltage, 48V, 1 Channel, 100-277V Input Voltage</v>
          </cell>
        </row>
        <row r="86">
          <cell r="O86" t="str">
            <v>DR083ZSE</v>
          </cell>
          <cell r="P86" t="str">
            <v>KVG-48120-DW</v>
          </cell>
          <cell r="R86" t="str">
            <v>Driver, 120W, 0-10V to 0.1% Dimming, Monochromatic, Linear Form, Constant Voltage, 48V, 1 Channel, 100-277V Input Voltage</v>
          </cell>
          <cell r="S86" t="str">
            <v>Zhuhai Shengchang Electronics Co.,Ltd (SC POWER), KVG-48120-DW, Driver, 120W, 0-10V to 0.1% Dimming, Monochromatic, Linear Form, Constant Voltage, 48V, 1 Channel, 100-277V Input Voltage</v>
          </cell>
        </row>
        <row r="87">
          <cell r="O87" t="str">
            <v>DR084SIG</v>
          </cell>
          <cell r="P87" t="str">
            <v>XI020C050V042RNP2</v>
          </cell>
          <cell r="R87" t="str">
            <v>Driver, 20W, ELV Dimming, Monochromatic, Puck Form, Constant Current, 350-500mA, 1 Channel, 108-305V Input Voltage</v>
          </cell>
          <cell r="S87" t="str">
            <v>Signify North America, XI020C050V042RNP2, Driver, 20W, ELV Dimming, Monochromatic, Puck Form, Constant Current, 350-500mA, 1 Channel, 108-305V Input Voltage</v>
          </cell>
        </row>
        <row r="88">
          <cell r="O88" t="str">
            <v>DR085CUV</v>
          </cell>
          <cell r="P88" t="str">
            <v>DRW-NLT021/1-CC500-42</v>
          </cell>
          <cell r="R88" t="str">
            <v>Driver, 21W, ELV Dimming, Monochromatic, Puck Form, Constant Current, 500mA, 1 Channel, 108-132V Input Voltage</v>
          </cell>
          <cell r="S88" t="str">
            <v>Cuvée Systems, Inc, DRW-NLT021/1-CC500-42, Driver, 21W, ELV Dimming, Monochromatic, Puck Form, Constant Current, 500mA, 1 Channel, 108-132V Input Voltage</v>
          </cell>
        </row>
        <row r="89">
          <cell r="O89" t="str">
            <v>DR086ZLT</v>
          </cell>
          <cell r="P89" t="str">
            <v>SE-20-100-700-W1M</v>
          </cell>
          <cell r="R89" t="str">
            <v>Driver, 20W, DMX Dimming, Monochromatic, Puck Form, Constant Current, 100-700mA, 1 Channel, 100-240V Input Voltage</v>
          </cell>
          <cell r="S89" t="str">
            <v>ZHUHAI LTECH TECHNOLOGY CO., LTD., SE-20-100-700-W1M , Driver, 20W, DMX Dimming, Monochromatic, Puck Form, Constant Current, 100-700mA, 1 Channel, 100-240V Input Voltage</v>
          </cell>
        </row>
        <row r="90">
          <cell r="O90" t="str">
            <v>DR087LUT</v>
          </cell>
          <cell r="P90" t="str">
            <v>LDE13U1UMN-BA070</v>
          </cell>
          <cell r="R90" t="str">
            <v>Driver, 28W, Lutron 1% Dimming, Monochromatic, Linear Form, Constant Current, 700mA, 1 Channel, 21.5 – 40.0V Input Voltage</v>
          </cell>
          <cell r="S90" t="str">
            <v>Lutron Electronics Co. Inc., LDE13U1UMN-BA070, Driver, 28W, Lutron 1% Dimming, Monochromatic, Linear Form, Constant Current, 700mA, 1 Channel, 21.5 – 40.0V Input Voltage</v>
          </cell>
        </row>
        <row r="91">
          <cell r="O91" t="str">
            <v>DR088ZLT</v>
          </cell>
          <cell r="P91" t="str">
            <v>SE-12-100-450-W2A</v>
          </cell>
          <cell r="R91" t="str">
            <v>Driver, 12W, 0-10V Dimming, Tunable White, Puck Form, Constant Current, 100-450mA, 2 Channel, 100-240V Input Voltage</v>
          </cell>
          <cell r="S91" t="str">
            <v>ZHUHAI LTECH TECHNOLOGY CO., LTD., SE-12-100-450-W2A, Driver, 12W, 0-10V Dimming, Tunable White, Puck Form, Constant Current, 100-450mA, 2 Channel, 100-240V Input Voltage</v>
          </cell>
        </row>
        <row r="92">
          <cell r="O92" t="str">
            <v>DR089ANE</v>
          </cell>
          <cell r="P92" t="str">
            <v>EMLEDS10-1555-6.4CHPNB-FTR-AM251</v>
          </cell>
          <cell r="R92" t="str">
            <v>Driver, 10W, Non-Dimmable, Monochromatic, Linear Form, Constant Power, 90min Emergency, 1 Channel, 120-277V Input Voltage</v>
          </cell>
          <cell r="S92" t="str">
            <v>ANTRON ELECTRONICS CO.,LTD, EMLEDS10-1555-6.4CHPNB-FTR-AM251, Driver, 10W, Non-Dimmable, Monochromatic, Linear Form, Constant Power, 90min Emergency, 1 Channel, 120-277V Input Voltage</v>
          </cell>
        </row>
        <row r="93">
          <cell r="O93" t="str">
            <v>DR090EUC</v>
          </cell>
          <cell r="P93" t="str">
            <v>PUP10T-1LMC-350</v>
          </cell>
          <cell r="R93" t="str">
            <v>Driver, 10W, ELV Dimming, Monochromatic, Puck Form, Constant Current, 350mA, 1 Channel, 120-277V Input Voltage</v>
          </cell>
          <cell r="S93" t="str">
            <v>Ningbo Euchips Intelligent Technology Co., Ltd., PUP10T-1LMC-350, Driver, 10W, ELV Dimming, Monochromatic, Puck Form, Constant Current, 350mA, 1 Channel, 120-277V Input Voltage</v>
          </cell>
        </row>
        <row r="94">
          <cell r="O94" t="str">
            <v>DR091MEA</v>
          </cell>
          <cell r="P94" t="str">
            <v>XLG-100-H-AB</v>
          </cell>
          <cell r="R94" t="str">
            <v>Driver, 100W, ELV Dimming, Monochromatic, Brick Form, Constant Current, 2100mA, 1 Channel, 100-240V Input Voltage</v>
          </cell>
          <cell r="S94" t="str">
            <v>MEAN WELL Enterprises Co., Ltd., XLG-100-H-AB, Driver, 100W, ELV Dimming, Monochromatic, Brick Form, Constant Current, 2100mA, 1 Channel, 100-240V Input Voltage</v>
          </cell>
        </row>
        <row r="95">
          <cell r="O95" t="str">
            <v>DR092MAL</v>
          </cell>
          <cell r="P95" t="str">
            <v>CFLEX-54W-1400-C-SL</v>
          </cell>
          <cell r="R95" t="str">
            <v>Driver, 54W, 0-10V to 1% Dimming, Monochromatic, Puck Form, Constant Current, 1400mA, 1 Channel, 120-277V Input Voltage</v>
          </cell>
          <cell r="S95" t="str">
            <v>Magnitude Lighting Inc., CFLEX-54W-1400-C-SL, Driver, 54W, 0-10V to 1% Dimming, Monochromatic, Puck Form, Constant Current, 1400mA, 1 Channel, 120-277V Input Voltage</v>
          </cell>
        </row>
        <row r="96">
          <cell r="O96" t="str">
            <v>DR093ZSE</v>
          </cell>
          <cell r="P96" t="str">
            <v>KVG-24200-DW</v>
          </cell>
          <cell r="R96" t="str">
            <v>Driver, 200W, 0-10V to 0.1% Dimming, Monochromatic, Linear Form, Constant Voltage, 24V, 1 Channel, 100-277V Input Voltage</v>
          </cell>
          <cell r="S96" t="str">
            <v>Zhuhai Shengchang Electronics Co.,Ltd (SC POWER), KVG-24200-DW, Driver, 200W, 0-10V to 0.1% Dimming, Monochromatic, Linear Form, Constant Voltage, 24V, 1 Channel, 100-277V Input Voltage</v>
          </cell>
        </row>
        <row r="97">
          <cell r="O97" t="str">
            <v>DR094ANE</v>
          </cell>
          <cell r="P97" t="str">
            <v>EMLEDS10-1555-6.4CHPNB-FT</v>
          </cell>
          <cell r="R97" t="str">
            <v>Driver, 10W, Non-Dimmable, Monochromatic, Linear Form, Constant Power, 90min Emergency, 1 Channel, 120-277V Input Voltage</v>
          </cell>
          <cell r="S97" t="str">
            <v>ANTRON ELECTRONICS CO.,LTD, EMLEDS10-1555-6.4CHPNB-FT, Driver, 10W, Non-Dimmable, Monochromatic, Linear Form, Constant Power, 90min Emergency, 1 Channel, 120-277V Input Voltage</v>
          </cell>
        </row>
        <row r="98">
          <cell r="O98" t="str">
            <v>DR095ACE</v>
          </cell>
          <cell r="P98" t="str">
            <v>AC25CT700KT2Q</v>
          </cell>
          <cell r="R98" t="str">
            <v>Driver, 25W, ELV Dimming, Monochromatic, Puck Form, Constant Current, 350-700mA, 1 Channel, 120V Input Voltage</v>
          </cell>
          <cell r="S98" t="str">
            <v>ACE LEDS , AC25CT700KT2Q, Driver, 25W, ELV Dimming, Monochromatic, Puck Form, Constant Current, 350-700mA, 1 Channel, 120V Input Voltage</v>
          </cell>
        </row>
        <row r="99">
          <cell r="O99" t="str">
            <v>DR096ACE</v>
          </cell>
          <cell r="P99" t="str">
            <v>AC29CD700AT2Q</v>
          </cell>
          <cell r="R99" t="str">
            <v>Driver, 29W, 0-10V to 1% Dimming, Monochromatic, Puck Form, Constant Current, 350-700mA, 1 Channel, 120-277V Input Voltage</v>
          </cell>
          <cell r="S99" t="str">
            <v>ACE LEDS , AC29CD700AT2Q, Driver, 29W, 0-10V to 1% Dimming, Monochromatic, Puck Form, Constant Current, 350-700mA, 1 Channel, 120-277V Input Voltage</v>
          </cell>
        </row>
        <row r="100">
          <cell r="O100" t="str">
            <v>DR097SIG</v>
          </cell>
          <cell r="P100" t="str">
            <v>XI085C240V054BST1</v>
          </cell>
          <cell r="R100" t="str">
            <v>Driver, 85W, 0-10V to 1% Dimming, Monochromatic, Linear Form, Constant Current, 700-2400mA, 1 Channel, 120-277V Input Voltage</v>
          </cell>
          <cell r="S100" t="str">
            <v>Signify North America, XI085C240V054BST1, Driver, 85W, 0-10V to 1% Dimming, Monochromatic, Linear Form, Constant Current, 700-2400mA, 1 Channel, 120-277V Input Voltage</v>
          </cell>
        </row>
        <row r="101">
          <cell r="O101" t="str">
            <v>DR098SIG</v>
          </cell>
          <cell r="P101" t="str">
            <v>XI030C075V048BPT1</v>
          </cell>
          <cell r="R101" t="str">
            <v>Driver, 30W, 0-10V to 1% Dimming, Monochromatic, Linear Form, Constant Current, 100-750mA, 1 Channel, 120-277V Input Voltage</v>
          </cell>
          <cell r="S101" t="str">
            <v>Signify North America, XI030C075V048BPT1, Driver, 30W, 0-10V to 1% Dimming, Monochromatic, Linear Form, Constant Current, 100-750mA, 1 Channel, 120-277V Input Voltage</v>
          </cell>
        </row>
        <row r="102">
          <cell r="O102" t="str">
            <v>DR099BRI</v>
          </cell>
          <cell r="P102" t="str">
            <v>BXDR-MP-60LW-U114A-01-A-12</v>
          </cell>
          <cell r="R102" t="str">
            <v>Driver, 60W, 0-10V to 1% Dimming, Monochromatic, Linear Form, Constant Current, 140-1400mA, 1 Channel, 120-277V Input Voltage</v>
          </cell>
          <cell r="S102" t="str">
            <v>BRIDGELUX , BXDR-MP-60LW-U114A-01-A-12, Driver, 60W, 0-10V to 1% Dimming, Monochromatic, Linear Form, Constant Current, 140-1400mA, 1 Channel, 120-277V Input Voltage</v>
          </cell>
        </row>
        <row r="103">
          <cell r="O103" t="str">
            <v>DR100BRI</v>
          </cell>
          <cell r="P103" t="str">
            <v>BXDR-MP-80LW-U114A-01-A-12</v>
          </cell>
          <cell r="R103" t="str">
            <v>Driver, 80W, 0-10V to 1% Dimming, Monochromatic, Linear Form, Constant Current, 140-1400mA, 1 Channel, 120-277V Input Voltage</v>
          </cell>
          <cell r="S103" t="str">
            <v>BRIDGELUX , BXDR-MP-80LW-U114A-01-A-12, Driver, 80W, 0-10V to 1% Dimming, Monochromatic, Linear Form, Constant Current, 140-1400mA, 1 Channel, 120-277V Input Voltage</v>
          </cell>
        </row>
        <row r="104">
          <cell r="O104" t="str">
            <v>DR101ACB</v>
          </cell>
          <cell r="P104" t="str">
            <v>SOLOdrive 30S-M2Z0A</v>
          </cell>
          <cell r="R104" t="str">
            <v>Driver, 30W, 0-10V to 0.1% Dimming, Monochromatic, Brick Form, Constant Current, 150-1400mA, 2 Channel, 120-277V Input Voltage</v>
          </cell>
          <cell r="S104" t="str">
            <v>Acuity Brands (EldoLED), SOLOdrive 30S-M2Z0A, Driver, 30W, 0-10V to 0.1% Dimming, Monochromatic, Brick Form, Constant Current, 150-1400mA, 2 Channel, 120-277V Input Voltage</v>
          </cell>
        </row>
        <row r="105">
          <cell r="O105" t="str">
            <v>DR102ACB</v>
          </cell>
          <cell r="P105" t="str">
            <v>ECOdrive 260/S</v>
          </cell>
          <cell r="R105" t="str">
            <v>Driver, 20W, Dali Dimming, Monochromatic, Brick Form, Constant Current, 150-1400mA, 1 Channel, 120-277V Input Voltage</v>
          </cell>
          <cell r="S105" t="str">
            <v>Acuity Brands (EldoLED), ECOdrive 260/S, Driver, 20W, Dali Dimming, Monochromatic, Brick Form, Constant Current, 150-1400mA, 1 Channel, 120-277V Input Voltage</v>
          </cell>
        </row>
        <row r="106">
          <cell r="O106" t="str">
            <v>DR103ERP</v>
          </cell>
          <cell r="P106" t="str">
            <v>ESS030W-1050-21</v>
          </cell>
          <cell r="R106" t="str">
            <v>Driver, 30W, ELV Dimming, Monochromatic, Puck Form, Constant Current, 1050mA, 1 Channel, 120V Input Voltage</v>
          </cell>
          <cell r="S106" t="str">
            <v>ERP Power, ESS030W-1050-21, Driver, 30W, ELV Dimming, Monochromatic, Puck Form, Constant Current, 1050mA, 1 Channel, 120V Input Voltage</v>
          </cell>
        </row>
        <row r="107">
          <cell r="O107" t="str">
            <v>DR104ERP</v>
          </cell>
          <cell r="P107" t="str">
            <v>PLB50W-1200-38</v>
          </cell>
          <cell r="R107" t="str">
            <v>Driver, 50W, 0-10V to 1% Dimming, Monochromatic, Linear Form, Constant Current, 600-1200mA, 1 Channel, 120-277V Input Voltage</v>
          </cell>
          <cell r="S107" t="str">
            <v>ERP Power, PLB50W-1200-38, Driver, 50W, 0-10V to 1% Dimming, Monochromatic, Linear Form, Constant Current, 600-1200mA, 1 Channel, 120-277V Input Voltage</v>
          </cell>
        </row>
        <row r="108">
          <cell r="O108" t="str">
            <v>DR105ERP</v>
          </cell>
          <cell r="P108" t="str">
            <v>PSB30W-1050-27</v>
          </cell>
          <cell r="R108" t="str">
            <v>Driver, 30W, 0-10V to 1%/ELV Dimming, Monochromatic, Linear Form, Constant Current, 525-1050mA, 1 Channel, 120-277V Input Voltage</v>
          </cell>
          <cell r="S108" t="str">
            <v>ERP Power, PSB30W-1050-27, Driver, 30W, 0-10V to 1%/ELV Dimming, Monochromatic, Linear Form, Constant Current, 525-1050mA, 1 Channel, 120-277V Input Voltage</v>
          </cell>
        </row>
        <row r="109">
          <cell r="O109" t="str">
            <v>DR106ERP</v>
          </cell>
          <cell r="P109" t="str">
            <v>VZM100W-24</v>
          </cell>
          <cell r="R109" t="str">
            <v>Driver, 100W, 0-10V to 1% Dimming, Monochromatic, Puck Form, Constant Voltage, 3750mA, 1 Channel, 120-277V Input Voltage</v>
          </cell>
          <cell r="S109" t="str">
            <v>ERP Power, VZM100W-24, Driver, 100W, 0-10V to 1% Dimming, Monochromatic, Puck Form, Constant Voltage, 3750mA, 1 Channel, 120-277V Input Voltage</v>
          </cell>
        </row>
        <row r="110">
          <cell r="O110" t="str">
            <v>DR107HAL</v>
          </cell>
          <cell r="P110" t="str">
            <v>LC 20-0350Z-UNV-AA</v>
          </cell>
          <cell r="R110" t="str">
            <v>Driver, 20W, 0-10V to 1% Dimming, Monochromatic, Puck Form, Constant Current, 350mA, 1 Channel, 120-277V Input Voltage</v>
          </cell>
          <cell r="S110" t="str">
            <v>Hatch Lighting, LC 20-0350Z-UNV-AA, Driver, 20W, 0-10V to 1% Dimming, Monochromatic, Puck Form, Constant Current, 350mA, 1 Channel, 120-277V Input Voltage</v>
          </cell>
        </row>
        <row r="111">
          <cell r="O111" t="str">
            <v>DR108HAL</v>
          </cell>
          <cell r="P111" t="str">
            <v>LC 25-0700P-120-P</v>
          </cell>
          <cell r="R111" t="str">
            <v>Driver, 25W, ELV Dimming, Monochromatic, Puck Form, Constant Current, 700mA, 1 Channel, 120V Input Voltage</v>
          </cell>
          <cell r="S111" t="str">
            <v>Hatch Lighting, LC 25-0700P-120-P, Driver, 25W, ELV Dimming, Monochromatic, Puck Form, Constant Current, 700mA, 1 Channel, 120V Input Voltage</v>
          </cell>
        </row>
        <row r="112">
          <cell r="O112" t="str">
            <v>DR109HAL</v>
          </cell>
          <cell r="P112" t="str">
            <v>XAC16-0350P-UNV-1</v>
          </cell>
          <cell r="R112" t="str">
            <v>Driver, 16W, ELV Dimming, Monochromatic, Puck Form, Constant Current, 175-350mA, 1 Channel, 120-277V Input Voltage</v>
          </cell>
          <cell r="S112" t="str">
            <v>Hatch Lighting, XAC16-0350P-UNV-1, Driver, 16W, ELV Dimming, Monochromatic, Puck Form, Constant Current, 175-350mA, 1 Channel, 120-277V Input Voltage</v>
          </cell>
        </row>
        <row r="113">
          <cell r="O113" t="str">
            <v>DR110HAL</v>
          </cell>
          <cell r="P113" t="str">
            <v>XWV96-2448Z-UNV-1</v>
          </cell>
          <cell r="R113" t="str">
            <v>Driver, 96W, 0-10V to 1% Dimming, Monochromatic, Puck Form, Constant Voltage, 24V, 1 Channel, 120-277V Input Voltage</v>
          </cell>
          <cell r="S113" t="str">
            <v>Hatch Lighting, XWV96-2448Z-UNV-1, Driver, 96W, 0-10V to 1% Dimming, Monochromatic, Puck Form, Constant Voltage, 24V, 1 Channel, 120-277V Input Voltage</v>
          </cell>
        </row>
        <row r="114">
          <cell r="O114" t="str">
            <v>DR111HAL</v>
          </cell>
          <cell r="P114" t="str">
            <v>XTC32-0700-UNV-1</v>
          </cell>
          <cell r="R114" t="str">
            <v>Driver, 32W, ELV Dimming, Monochromatic, Puck Form, Constant Current, 350-700mA, 1 Channel, 120-277V Input Voltage</v>
          </cell>
          <cell r="S114" t="str">
            <v>Hatch Lighting, XTC32-0700-UNV-1, Driver, 32W, ELV Dimming, Monochromatic, Puck Form, Constant Current, 350-700mA, 1 Channel, 120-277V Input Voltage</v>
          </cell>
        </row>
        <row r="115">
          <cell r="O115" t="str">
            <v>DR112ZLT</v>
          </cell>
          <cell r="P115" t="str">
            <v>LM-100-24-G2M2</v>
          </cell>
          <cell r="R115" t="str">
            <v>Driver, 100W, DMX Dimming, Tunable White, Linear Form, Constant Voltage, 4170mA, 2 Channel, 220-240V Input Voltage</v>
          </cell>
          <cell r="S115" t="str">
            <v>ZHUHAI LTECH TECHNOLOGY CO., LTD., LM-100-24-G2M2, Driver, 100W, DMX Dimming, Tunable White, Linear Form, Constant Voltage, 4170mA, 2 Channel, 220-240V Input Voltage</v>
          </cell>
        </row>
        <row r="116">
          <cell r="O116" t="str">
            <v>DR113LTF</v>
          </cell>
          <cell r="P116" t="str">
            <v>DA12W350C1834D010-0014</v>
          </cell>
          <cell r="R116" t="str">
            <v>Driver, 12W, ELV Dimming, Monochromatic, Puck Form, Constant Current, 350mA, 1 Channel, 120V Input Voltage</v>
          </cell>
          <cell r="S116" t="str">
            <v>LTF Technology, DA12W350C1834D010-0014, Driver, 12W, ELV Dimming, Monochromatic, Puck Form, Constant Current, 350mA, 1 Channel, 120V Input Voltage</v>
          </cell>
        </row>
        <row r="117">
          <cell r="O117" t="str">
            <v>DR114LTF</v>
          </cell>
          <cell r="P117" t="str">
            <v>DS20W350C3058LI2D010</v>
          </cell>
          <cell r="R117" t="str">
            <v>Driver, 20W, 0-10V to 1%/ELV Dimming, Monochromatic, Puck Form, Constant Current, 350mA, 1 Channel, 100-305V Input Voltage</v>
          </cell>
          <cell r="S117" t="str">
            <v>LTF Technology, DS20W350C3058LI2D010, Driver, 20W, 0-10V to 1%/ELV Dimming, Monochromatic, Puck Form, Constant Current, 350mA, 1 Channel, 100-305V Input Voltage</v>
          </cell>
        </row>
        <row r="118">
          <cell r="O118" t="str">
            <v>DR115LTF</v>
          </cell>
          <cell r="P118" t="str">
            <v>DS50W1200C2042LTLI5-0060</v>
          </cell>
          <cell r="R118" t="str">
            <v>Driver, 50W, 0-10V to 1% Dimming, Tunable White, Linear Form, Constant Current, 1200mA, 1 Channel, 120-277V Input Voltage</v>
          </cell>
          <cell r="S118" t="str">
            <v>LTF Technology, DS50W1200C2042LTLI5-0060, Driver, 50W, 0-10V to 1% Dimming, Tunable White, Linear Form, Constant Current, 1200mA, 1 Channel, 120-277V Input Voltage</v>
          </cell>
        </row>
        <row r="119">
          <cell r="O119" t="str">
            <v>DR116LUT</v>
          </cell>
          <cell r="P119" t="str">
            <v>LDE12U1UMN-NA066</v>
          </cell>
          <cell r="R119" t="str">
            <v>Driver, 20W, Hi-lume 1% EcoSystem Dimming, Monochromatic, Linear Form, Constant Current, 660mA, 1 Channel, 120-277V Input Voltage</v>
          </cell>
          <cell r="S119" t="str">
            <v>Lutron Electronics Co. Inc., LDE12U1UMN-NA066, Driver, 20W, Hi-lume 1% EcoSystem Dimming, Monochromatic, Linear Form, Constant Current, 660mA, 1 Channel, 120-277V Input Voltage</v>
          </cell>
        </row>
        <row r="120">
          <cell r="O120" t="str">
            <v>DR117LUT</v>
          </cell>
          <cell r="P120" t="str">
            <v>PEQ01UVN2A</v>
          </cell>
          <cell r="R120" t="str">
            <v>Driver, 20W, Hi-lume 0.1% EcoSystem Dimming, Monochromatic, Puck Form, Constant Current, 150-1050mA, 1 Channel, 120-277V Input Voltage</v>
          </cell>
          <cell r="S120" t="str">
            <v>Lutron Electronics Co. Inc., PEQ01UVN2A, Driver, 20W, Hi-lume 0.1% EcoSystem Dimming, Monochromatic, Puck Form, Constant Current, 150-1050mA, 1 Channel, 120-277V Input Voltage</v>
          </cell>
        </row>
        <row r="121">
          <cell r="O121" t="str">
            <v>DR118LUT</v>
          </cell>
          <cell r="P121" t="str">
            <v>PEQ11UVN2A</v>
          </cell>
          <cell r="R121" t="str">
            <v>Driver, 20W, Hi-lume 1% EcoSystem Dimming, Monochromatic, Puck Form, Constant Current, 150-1050mA, 1 Channel, 120-277V Input Voltage</v>
          </cell>
          <cell r="S121" t="str">
            <v>Lutron Electronics Co. Inc., PEQ11UVN2A, Driver, 20W, Hi-lume 1% EcoSystem Dimming, Monochromatic, Puck Form, Constant Current, 150-1050mA, 1 Channel, 120-277V Input Voltage</v>
          </cell>
        </row>
        <row r="122">
          <cell r="O122" t="str">
            <v>DR119MAL</v>
          </cell>
          <cell r="P122" t="str">
            <v>CVD96L48DC</v>
          </cell>
          <cell r="R122" t="str">
            <v>Driver, 96W, 0-10V to 1% Dimming, Monochromatic, Brick Form, Constant Voltage, 2000mA, 1 Channel, 120-277V Input Voltage</v>
          </cell>
          <cell r="S122" t="str">
            <v>Magnitude Lighting Inc., CVD96L48DC, Driver, 96W, 0-10V to 1% Dimming, Monochromatic, Brick Form, Constant Voltage, 2000mA, 1 Channel, 120-277V Input Voltage</v>
          </cell>
        </row>
        <row r="123">
          <cell r="O123" t="str">
            <v>DR120MAL</v>
          </cell>
          <cell r="P123" t="str">
            <v>CVD96R48DC</v>
          </cell>
          <cell r="R123" t="str">
            <v>Driver, 96W, 0-10V to 1% Dimming, Monochromatic, Brick Form, Constant Voltage, 2000mA, 1 Channel, 120-277V Input Voltage</v>
          </cell>
          <cell r="S123" t="str">
            <v>Magnitude Lighting Inc., CVD96R48DC, Driver, 96W, 0-10V to 1% Dimming, Monochromatic, Brick Form, Constant Voltage, 2000mA, 1 Channel, 120-277V Input Voltage</v>
          </cell>
        </row>
        <row r="124">
          <cell r="O124" t="str">
            <v>DR121MEA</v>
          </cell>
          <cell r="P124" t="str">
            <v>LPV-60-24</v>
          </cell>
          <cell r="R124" t="str">
            <v>Driver, 60W, Non-Dimmable, Monochromatic, Linear Form, Constant Voltage, 2500mA, 1 Channel, 90-370V Input Voltage</v>
          </cell>
          <cell r="S124" t="str">
            <v>MEAN WELL Enterprises Co., Ltd., LPV-60-24, Driver, 60W, Non-Dimmable, Monochromatic, Linear Form, Constant Voltage, 2500mA, 1 Channel, 90-370V Input Voltage</v>
          </cell>
        </row>
        <row r="125">
          <cell r="O125" t="str">
            <v>DR122MEA</v>
          </cell>
          <cell r="P125" t="str">
            <v>LPLC-18-700</v>
          </cell>
          <cell r="R125" t="str">
            <v>Driver, 18W, Non-Dimmable, Monochromatic, Linear Form, Constant Current, 700mA, 1 Channel, 90-132V Input Voltage</v>
          </cell>
          <cell r="S125" t="str">
            <v>MEAN WELL Enterprises Co., Ltd., LPLC-18-700, Driver, 18W, Non-Dimmable, Monochromatic, Linear Form, Constant Current, 700mA, 1 Channel, 90-132V Input Voltage</v>
          </cell>
        </row>
        <row r="126">
          <cell r="O126" t="str">
            <v>DR123ACB</v>
          </cell>
          <cell r="P126" t="str">
            <v>OTI12W/120-277/0A3/DIM-5/J</v>
          </cell>
          <cell r="R126" t="str">
            <v>Driver, 25W, 0-10V to 1% Dimming, Monochromatic, Brick Form, Constant Current, 150-1250mA, 1 Channel, 347V Input Voltage</v>
          </cell>
          <cell r="S126" t="str">
            <v>Acuity Brands (EldoLED), OTI12W/120-277/0A3/DIM-5/J, Driver, 25W, 0-10V to 1% Dimming, Monochromatic, Brick Form, Constant Current, 150-1250mA, 1 Channel, 347V Input Voltage</v>
          </cell>
        </row>
        <row r="127">
          <cell r="O127" t="str">
            <v>DR124SUN</v>
          </cell>
          <cell r="P127" t="str">
            <v>SRP2106-75CC</v>
          </cell>
          <cell r="R127" t="str">
            <v>Driver, 75W, DMX Dimming, Monochromatic, Puck Form, Constant Current, 250-1500mA, 4 Channel, 200-240V Input Voltage</v>
          </cell>
          <cell r="S127" t="str">
            <v>Shenzhen Sunricher Technology Co. Ltd, SRP2106-75CC, Driver, 75W, DMX Dimming, Monochromatic, Puck Form, Constant Current, 250-1500mA, 4 Channel, 200-240V Input Voltage</v>
          </cell>
        </row>
        <row r="128">
          <cell r="O128" t="str">
            <v>DR125ZLT</v>
          </cell>
          <cell r="P128" t="str">
            <v>SE-40-300-1050-W2A</v>
          </cell>
          <cell r="R128" t="str">
            <v>Driver, 40W, 0-10V to 0.1% Dimming, Tunable White, Linear Form, Constant Current, 300-1050mA, 2 Channel, 115-230V Input Voltage</v>
          </cell>
          <cell r="S128" t="str">
            <v>ZHUHAI LTECH TECHNOLOGY CO., LTD., SE-40-300-1050-W2A, Driver, 40W, 0-10V to 0.1% Dimming, Tunable White, Linear Form, Constant Current, 300-1050mA, 2 Channel, 115-230V Input Voltage</v>
          </cell>
        </row>
        <row r="129">
          <cell r="O129" t="str">
            <v>DR126ZLT</v>
          </cell>
          <cell r="P129" t="str">
            <v>SE-40-300-1050-W1A</v>
          </cell>
          <cell r="R129" t="str">
            <v>Driver, 40W, 0-10V to 0.1% Dimming, Monochromatic, Linear Form, Constant Current, 300-1050mA, 2 Channel, 115-230V Input Voltage</v>
          </cell>
          <cell r="S129" t="str">
            <v>ZHUHAI LTECH TECHNOLOGY CO., LTD., SE-40-300-1050-W1A, Driver, 40W, 0-10V to 0.1% Dimming, Monochromatic, Linear Form, Constant Current, 300-1050mA, 2 Channel, 115-230V Input Voltage</v>
          </cell>
        </row>
        <row r="130">
          <cell r="O130" t="str">
            <v>DR127ACE</v>
          </cell>
          <cell r="P130" t="str">
            <v>ACEG14NI1555CPP</v>
          </cell>
          <cell r="R130" t="str">
            <v>Driver, 14W, Non-Dimmable, Monochromatic, Linear Form, Constant Power, 90min Emergency, 1 Channel, 120-277V Input Voltage</v>
          </cell>
          <cell r="S130" t="str">
            <v>ACE LEDS , ACEG14NI1555CPP, Driver, 14W, Non-Dimmable, Monochromatic, Linear Form, Constant Power, 90min Emergency, 1 Channel, 120-277V Input Voltage</v>
          </cell>
        </row>
        <row r="131">
          <cell r="O131" t="str">
            <v>DR128TRI</v>
          </cell>
          <cell r="P131" t="str">
            <v>89800678</v>
          </cell>
          <cell r="R131" t="str">
            <v>Driver, 4W, Non-Dimmable, Monochromatic, Linear Form, Constant Power, 90min Emergency Kit (Driver and Batteries, 89800651, 89800092), 1 Channel, 220-240V Input Voltage</v>
          </cell>
          <cell r="S131" t="str">
            <v>Tridonic Inc., 89800678, Driver, 4W, Non-Dimmable, Monochromatic, Linear Form, Constant Power, 90min Emergency Kit (Driver and Batteries, 89800651, 89800092), 1 Channel, 220-240V Input Voltage</v>
          </cell>
        </row>
        <row r="132">
          <cell r="O132" t="str">
            <v>DR129MAL</v>
          </cell>
          <cell r="P132" t="str">
            <v>AFLEX-100-2000-L-LD</v>
          </cell>
          <cell r="R132" t="str">
            <v>Driver, 100W, 0-10V to 0.1% Dimming, Monochromatic, Linear Form, Constant Current, 100-2000mA, 1 Channel, 120-277V Input Voltage</v>
          </cell>
          <cell r="S132" t="str">
            <v>Magnitude Lighting Inc., AFLEX-100-2000-L-LD, Driver, 100W, 0-10V to 0.1% Dimming, Monochromatic, Linear Form, Constant Current, 100-2000mA, 1 Channel, 120-277V Input Voltage</v>
          </cell>
        </row>
        <row r="133">
          <cell r="O133" t="str">
            <v>DR130ZLT</v>
          </cell>
          <cell r="P133" t="str">
            <v>SE-40-300-1050-W2D</v>
          </cell>
          <cell r="R133" t="str">
            <v>Driver, 40W, DALI-2 T6/DT8 Dimming, Tunable White, Linear Form, Constant Current, 300-1050mA, 2 Channel, 120-250V Input Voltage</v>
          </cell>
          <cell r="S133" t="str">
            <v>ZHUHAI LTECH TECHNOLOGY CO., LTD., SE-40-300-1050-W2D, Driver, 40W, DALI-2 T6/DT8 Dimming, Tunable White, Linear Form, Constant Current, 300-1050mA, 2 Channel, 120-250V Input Voltage</v>
          </cell>
        </row>
        <row r="134">
          <cell r="O134" t="str">
            <v>DR131ZSE</v>
          </cell>
          <cell r="P134" t="str">
            <v>KV-48300-DP2A</v>
          </cell>
          <cell r="R134" t="str">
            <v>Driver, 300W, Dali-2 Dimming, Monochromatic, Brick Form, Constant Voltage, 48V, 1 Channel, 100-277V Input Voltage</v>
          </cell>
          <cell r="S134" t="str">
            <v>Zhuhai Shengchang Electronics Co.,Ltd (SC POWER), KV-48300-DP2A, Driver, 300W, Dali-2 Dimming, Monochromatic, Brick Form, Constant Voltage, 48V, 1 Channel, 100-277V Input Voltage</v>
          </cell>
        </row>
        <row r="135">
          <cell r="O135" t="str">
            <v>DR132LUT</v>
          </cell>
          <cell r="P135" t="str">
            <v>PEQ01UVN– 2A100</v>
          </cell>
          <cell r="R135" t="str">
            <v>Driver, 20W, Lutron 0.1% Dimming, Monochromatic, Linear Form, Constant Current, 150-1050mA, 1 Channel, 120-277V Input Voltage</v>
          </cell>
          <cell r="S135" t="str">
            <v>Lutron Electronics Co. Inc., PEQ01UVN– 2A100, Driver, 20W, Lutron 0.1% Dimming, Monochromatic, Linear Form, Constant Current, 150-1050mA, 1 Channel, 120-277V Input Voltage</v>
          </cell>
        </row>
        <row r="136">
          <cell r="O136" t="str">
            <v>DR133LUT</v>
          </cell>
          <cell r="P136" t="str">
            <v>LDE17U1UMN-VA150</v>
          </cell>
          <cell r="R136" t="str">
            <v>Driver, 75W, Lutron 0.1% Dimming, Monochromatic, Linear Form, Constant Current, 1000-1880mA, 1 Channel, 120-277V Input Voltage</v>
          </cell>
          <cell r="S136" t="str">
            <v>Lutron Electronics Co. Inc., LDE17U1UMN-VA150, Driver, 75W, Lutron 0.1% Dimming, Monochromatic, Linear Form, Constant Current, 1000-1880mA, 1 Channel, 120-277V Input Voltage</v>
          </cell>
        </row>
        <row r="137">
          <cell r="O137" t="str">
            <v>DR134TCI</v>
          </cell>
          <cell r="P137" t="str">
            <v>SVM 85/700-2100 D4i NFC</v>
          </cell>
          <cell r="R137" t="str">
            <v>Driver, 85W, Dali-2 Dimming, Monochromatic, Linear Form, Constant Current, 700-2100mA, 1 Channel, 127-277V Input Voltage</v>
          </cell>
          <cell r="S137" t="str">
            <v>TCI AMERICA INC, SVM 85/700-2100 D4i NFC, Driver, 85W, Dali-2 Dimming, Monochromatic, Linear Form, Constant Current, 700-2100mA, 1 Channel, 127-277V Input Voltage</v>
          </cell>
        </row>
        <row r="138">
          <cell r="O138" t="str">
            <v>DR135ZLT</v>
          </cell>
          <cell r="P138" t="str">
            <v>SE-20-100-700-W1D</v>
          </cell>
          <cell r="R138" t="str">
            <v>Driver, 20W, Dali-2 Dimming, Monochromatic, Linear Form, Constant Current, 100-700mA, 1 Channel, 115-230V Input Voltage</v>
          </cell>
          <cell r="S138" t="str">
            <v>ZHUHAI LTECH TECHNOLOGY CO., LTD., SE-20-100-700-W1D, Driver, 20W, Dali-2 Dimming, Monochromatic, Linear Form, Constant Current, 100-700mA, 1 Channel, 115-230V Input Voltage</v>
          </cell>
        </row>
        <row r="139">
          <cell r="O139" t="str">
            <v>DR136ERP</v>
          </cell>
          <cell r="P139" t="str">
            <v>VLM100W-24</v>
          </cell>
          <cell r="R139" t="str">
            <v>Driver, 100W, Non-Dimmable, Monochromatic, Linear Form, Constant Voltage, 200-4000mA, 1 Channel, 120-277V Input Voltage</v>
          </cell>
          <cell r="S139" t="str">
            <v>ERP Power,  VLM100W-24, Driver, 100W, Non-Dimmable, Monochromatic, Linear Form, Constant Voltage, 200-4000mA, 1 Channel, 120-277V Input Voltage</v>
          </cell>
        </row>
        <row r="140">
          <cell r="O140" t="str">
            <v>DR137ERP</v>
          </cell>
          <cell r="P140" t="str">
            <v>VLM100W-36</v>
          </cell>
          <cell r="R140" t="str">
            <v>Driver, 100W, Non-Dimmable, Monochromatic, Linear Form, Constant Voltage, 200-2700mA, 1 Channel, 120-277V Input Voltage</v>
          </cell>
          <cell r="S140" t="str">
            <v>ERP Power, VLM100W-36, Driver, 100W, Non-Dimmable, Monochromatic, Linear Form, Constant Voltage, 200-2700mA, 1 Channel, 120-277V Input Voltage</v>
          </cell>
        </row>
        <row r="141">
          <cell r="O141" t="str">
            <v>DR138TRI</v>
          </cell>
          <cell r="P141" t="str">
            <v>LCA 50W 350–1050mA/28000656</v>
          </cell>
          <cell r="R141" t="str">
            <v>Driver, 50W, Dali-2/DT6 Dimming, Monochromatic, Linear Form, Constant Current, 350-1050mA, 1 Channel, 198-264V Input Voltage</v>
          </cell>
          <cell r="S141" t="str">
            <v>Tridonic Inc., LCA 50W 350–1050mA/28000656, Driver, 50W, Dali-2/DT6 Dimming, Monochromatic, Linear Form, Constant Current, 350-1050mA, 1 Channel, 198-264V Input Voltage</v>
          </cell>
        </row>
        <row r="142">
          <cell r="O142" t="str">
            <v>DR139EUC</v>
          </cell>
          <cell r="P142" t="str">
            <v>PUP10A-1WMC-700</v>
          </cell>
          <cell r="R142" t="str">
            <v>Driver, 10W, 1-10V to 0.1% Dimming, Monochromatic, Linear Form, Constant Current, 350-700mA, 1 Channel, 100-240V Input Voltage</v>
          </cell>
          <cell r="S142" t="str">
            <v>Ningbo Euchips Intelligent Technology Co., Ltd., PUP10A-1WMC-700, Driver, 10W, 1-10V to 0.1% Dimming, Monochromatic, Linear Form, Constant Current, 350-700mA, 1 Channel, 100-240V Input Voltage</v>
          </cell>
        </row>
        <row r="143">
          <cell r="O143" t="str">
            <v>DR140LTF</v>
          </cell>
          <cell r="P143" t="str">
            <v>DS25W620C3141SM1D010</v>
          </cell>
          <cell r="R143" t="str">
            <v>Driver, 25W,  0-10V 0.1% Dimming, Monochromatic, Linear Form, Constant Current, 620mA, 1 Channel, 100-277V Input Voltage</v>
          </cell>
          <cell r="S143" t="str">
            <v>LTF Technology, DS25W620C3141SM1D010, Driver, 25W,  0-10V 0.1% Dimming, Monochromatic, Linear Form, Constant Current, 620mA, 1 Channel, 100-277V Input Voltage</v>
          </cell>
        </row>
        <row r="144">
          <cell r="O144" t="str">
            <v>DR141ACB</v>
          </cell>
          <cell r="P144" t="str">
            <v>OTi25W 57350</v>
          </cell>
          <cell r="R144" t="str">
            <v>Driver, 25W, 0-10V to 1% Dimming, Monochromatic, Linear Form, Constant Current, 150-1250mA, 1 Channel, 120-277 Input Voltage</v>
          </cell>
          <cell r="S144" t="str">
            <v>Acuity Brands (EldoLED), OTi25W 57350, Driver, 25W, 0-10V to 1% Dimming, Monochromatic, Linear Form, Constant Current, 150-1250mA, 1 Channel, 120-277 Input Voltage</v>
          </cell>
        </row>
        <row r="145">
          <cell r="O145" t="str">
            <v>DR142ACB</v>
          </cell>
          <cell r="P145" t="str">
            <v>DUALdrive 30B-M2Z0C</v>
          </cell>
          <cell r="R145" t="str">
            <v>Driver, 30W, 0-10V to 0.1% Dimming, Tunable White, Linear Form, Constant Current, 150-1400mA, 2 Channel, 120-277 Input Voltage</v>
          </cell>
          <cell r="S145" t="str">
            <v>Acuity Brands (EldoLED), DUALdrive 30B-M2Z0C, Driver, 30W, 0-10V to 0.1% Dimming, Tunable White, Linear Form, Constant Current, 150-1400mA, 2 Channel, 120-277 Input Voltage</v>
          </cell>
        </row>
        <row r="146">
          <cell r="O146" t="str">
            <v>DR143ZSE</v>
          </cell>
          <cell r="P146" t="str">
            <v>KVG-48150-DW</v>
          </cell>
          <cell r="R146" t="str">
            <v>Driver, 150W, ELV/0-10V to 1% Dimming, Monochromatic, Linear Form, Constant Voltage, 48V, 1 Channel, 100-277V Input Voltage</v>
          </cell>
          <cell r="S146" t="str">
            <v>Zhuhai Shengchang Electronics Co.,Ltd (SC POWER), KVG-48150-DW, Driver, 150W, ELV/0-10V to 1% Dimming, Monochromatic, Linear Form, Constant Voltage, 48V, 1 Channel, 100-277V Input Voltage</v>
          </cell>
        </row>
        <row r="147">
          <cell r="O147" t="str">
            <v>DR144ZSE</v>
          </cell>
          <cell r="P147" t="str">
            <v>KVG-48300-DW</v>
          </cell>
          <cell r="R147" t="str">
            <v>Driver, 300W, ELV/0-10V to 1% Dimming, Monochromatic, Linear Form, Constant Voltage, 48V, 1 Channel, 100-277V Input Voltage</v>
          </cell>
          <cell r="S147" t="str">
            <v>Zhuhai Shengchang Electronics Co.,Ltd (SC POWER), KVG-48300-DW, Driver, 300W, ELV/0-10V to 1% Dimming, Monochromatic, Linear Form, Constant Voltage, 48V, 1 Channel, 100-277V Input Voltage</v>
          </cell>
        </row>
        <row r="148">
          <cell r="O148" t="str">
            <v>DR145ANE</v>
          </cell>
          <cell r="P148" t="str">
            <v>EMLEDS14-1555-12.8</v>
          </cell>
          <cell r="R148" t="str">
            <v>Driver, 14W, Non-Dimmable, Tunable White, Linear Form, Constant Power, 250-935mA, 2 Channel, 120-277V Input Voltage</v>
          </cell>
          <cell r="S148" t="str">
            <v>ANTRON ELECTRONICS CO.,LTD, EMLEDS14-1555-12.8, Driver, 14W, Non-Dimmable, Tunable White, Linear Form, Constant Power, 250-935mA, 2 Channel, 120-277V Input Voltage</v>
          </cell>
        </row>
        <row r="149">
          <cell r="O149" t="str">
            <v>DR146SYT</v>
          </cell>
          <cell r="P149" t="str">
            <v>YSD-24100</v>
          </cell>
          <cell r="R149" t="str">
            <v>Driver, 100W, 1-10V to 0.1% Dimming, Monochromatic, Linear Form, Constant Current, 0-4.2A, 1 Channel, 100-130V Input Voltage</v>
          </cell>
          <cell r="S149" t="str">
            <v>Shenzhen Yanshuoda Technology CO. Ltd, YSD-24100, Driver, 100W, 1-10V to 0.1% Dimming, Monochromatic, Linear Form, Constant Current, 0-4.2A, 1 Channel, 100-130V Input Voltage</v>
          </cell>
        </row>
        <row r="150">
          <cell r="O150" t="str">
            <v>DR147SYT</v>
          </cell>
          <cell r="P150" t="str">
            <v>YSD-24150</v>
          </cell>
          <cell r="R150" t="str">
            <v>Driver, 150W, 1-10V to 0.1% Dimming, Monochromatic, Linear Form, Constant Current, 0-6.25A, 1 Channel, 100-130V Input Voltage</v>
          </cell>
          <cell r="S150" t="str">
            <v>Shenzhen Yanshuoda Technology CO. Ltd, YSD-24150, Driver, 150W, 1-10V to 0.1% Dimming, Monochromatic, Linear Form, Constant Current, 0-6.25A, 1 Channel, 100-130V Input Voltage</v>
          </cell>
        </row>
        <row r="151">
          <cell r="O151" t="str">
            <v>DR148SYT</v>
          </cell>
          <cell r="P151" t="str">
            <v>YSD-24300</v>
          </cell>
          <cell r="R151" t="str">
            <v>Driver, 300W, 1-10V to 0.1% Dimming, Monochromatic, Linear Form, Constant Current, 0-12.5A, 1 Channel, 100-130V Input Voltage</v>
          </cell>
          <cell r="S151" t="str">
            <v>Shenzhen Yanshuoda Technology CO. Ltd, YSD-24300, Driver, 300W, 1-10V to 0.1% Dimming, Monochromatic, Linear Form, Constant Current, 0-12.5A, 1 Channel, 100-130V Input Voltage</v>
          </cell>
        </row>
        <row r="152">
          <cell r="O152" t="str">
            <v>DR149ERP</v>
          </cell>
          <cell r="P152" t="str">
            <v>VZM060W-24</v>
          </cell>
          <cell r="R152" t="str">
            <v>Driver, 60W, 0-10V 1% Dimming, Monochromatic, Linear Form, Constant Voltage, 250-2500mA, 1 Channel, 120-277V Input Voltage</v>
          </cell>
          <cell r="S152" t="str">
            <v>ERP Power, VZM060W-24, Driver, 60W, 0-10V 1% Dimming, Monochromatic, Linear Form, Constant Voltage, 250-2500mA, 1 Channel, 120-277V Input Voltage</v>
          </cell>
        </row>
        <row r="153">
          <cell r="O153" t="str">
            <v>DR150MON</v>
          </cell>
          <cell r="P153" t="str">
            <v>MU050S150BQI201</v>
          </cell>
          <cell r="R153" t="str">
            <v>Driver, 50W, 0-10V to 0.1% Dimming, Tunable White, Linear Form, Constant Current, 200-1500mA, 2 Channel, 90-305V Input Voltage</v>
          </cell>
          <cell r="S153" t="str">
            <v>Moons' Industries, MU050S150BQI201, Driver, 50W, 0-10V to 0.1% Dimming, Tunable White, Linear Form, Constant Current, 200-1500mA, 2 Channel, 90-305V Input Voltage</v>
          </cell>
        </row>
        <row r="154">
          <cell r="O154" t="str">
            <v>DR151SUN</v>
          </cell>
          <cell r="P154" t="str">
            <v>SRP-2108-24-96CVF</v>
          </cell>
          <cell r="R154" t="str">
            <v>Driver, 96W, DMX Dimming, RGBW, Linear Form, Constant Voltage, 24V, 4 Channel, 100-240V Input Voltage</v>
          </cell>
          <cell r="S154" t="str">
            <v>Shenzhen Sunricher Technology Co. Ltd, SRP-2108-24-96CVF, Driver, 96W, DMX Dimming, RGBW, Linear Form, Constant Voltage, 24V, 4 Channel, 100-240V Input Voltage</v>
          </cell>
        </row>
        <row r="155">
          <cell r="O155" t="str">
            <v>DR152ERP</v>
          </cell>
          <cell r="P155" t="str">
            <v>PTB15W-0350-42</v>
          </cell>
          <cell r="R155" t="str">
            <v>Driver, 15W, 0-10V to 1% Dimming, Monochromatic, Linear Form, Constant Current, 210-350mA, 1 Channel, 120-277V Input Voltage</v>
          </cell>
          <cell r="S155" t="str">
            <v>ERP Power, PTB15W-0350-42, Driver, 15W, 0-10V to 1% Dimming, Monochromatic, Linear Form, Constant Current, 210-350mA, 1 Channel, 120-277V Input Voltage</v>
          </cell>
        </row>
        <row r="156">
          <cell r="O156" t="str">
            <v>DR153LTF</v>
          </cell>
          <cell r="P156" t="str">
            <v>DA10W700C1015D010-0000</v>
          </cell>
          <cell r="R156" t="str">
            <v>Driver, 10W, ELV Dimming, Monochromatic, Linear Form, Constant Current, 10-14V, 1 Channel, 120V Input Voltage</v>
          </cell>
          <cell r="S156" t="str">
            <v>LTF Technology, DA10W700C1015D010-0000, Driver, 10W, ELV Dimming, Monochromatic, Linear Form, Constant Current, 10-14V, 1 Channel, 120V Input Voltage</v>
          </cell>
        </row>
        <row r="157">
          <cell r="O157" t="str">
            <v>DR154ACB</v>
          </cell>
          <cell r="P157" t="str">
            <v>POWERdrive 50S - M4Z0X</v>
          </cell>
          <cell r="R157" t="str">
            <v>Driver, 50W, DMX Dimming, RGBW, Linear Form, Constant Current, 150-1400mA, 4 Channel, 120-250V Input Voltage</v>
          </cell>
          <cell r="S157" t="str">
            <v>Acuity Brands (EldoLED), POWERdrive 50S - M4Z0X, Driver, 50W, DMX Dimming, RGBW, Linear Form, Constant Current, 150-1400mA, 4 Channel, 120-250V Input Voltage</v>
          </cell>
        </row>
        <row r="158">
          <cell r="O158" t="str">
            <v>DR155KEY</v>
          </cell>
          <cell r="P158" t="str">
            <v>KT-EMRG-LED-4C-400-EN2</v>
          </cell>
          <cell r="R158" t="str">
            <v>Driver, 3.5W, Non-Dimmable, Monochromatic, Puck Form, Constant Power, 90min Emergency Kit (Driver and Battery), 1 Channel, 120-277V Input Voltage</v>
          </cell>
          <cell r="S158" t="str">
            <v>Keystone, KT-EMRG-LED-4C-400-EN2, Driver, 3.5W, Non-Dimmable, Monochromatic, Puck Form, Constant Power, 90min Emergency Kit (Driver and Battery), 1 Channel, 120-277V Input Voltage</v>
          </cell>
        </row>
        <row r="159">
          <cell r="O159" t="str">
            <v>DR156ERP</v>
          </cell>
          <cell r="P159" t="str">
            <v>VLM60W-36</v>
          </cell>
          <cell r="R159" t="str">
            <v>Driver, 60W, Non-Dimmable, Monochromatic, Linear Form, Constant Voltage, 33-1670mA, 1 Channel, 120-277V Input Voltage</v>
          </cell>
          <cell r="S159" t="str">
            <v>ERP Power, VLM60W-36, Driver, 60W, Non-Dimmable, Monochromatic, Linear Form, Constant Voltage, 33-1670mA, 1 Channel, 120-277V Input Voltage</v>
          </cell>
        </row>
        <row r="160">
          <cell r="O160" t="str">
            <v>DR157ZLT</v>
          </cell>
          <cell r="P160" t="str">
            <v>SE-30-200-800-W2A</v>
          </cell>
          <cell r="R160" t="str">
            <v>Driver, 30W, 0-10 to 0.1% Dimming, Tunable White, Linear Form, Constant Current, 200-800mA, 2 Channel, 100-240V Input Voltage</v>
          </cell>
          <cell r="S160" t="str">
            <v>ZHUHAI LTECH TECHNOLOGY CO., LTD., SE-30-200-800-W2A, Driver, 30W, 0-10 to 0.1% Dimming, Tunable White, Linear Form, Constant Current, 200-800mA, 2 Channel, 100-240V Input Voltage</v>
          </cell>
        </row>
        <row r="161">
          <cell r="O161" t="str">
            <v>DR158ZSE</v>
          </cell>
          <cell r="P161" t="str">
            <v>KVG-24150-DW</v>
          </cell>
          <cell r="R161" t="str">
            <v>Driver, 150W, 0-10V to 1% Dimming, Monochromatic, Brick Form, Constant Voltage, 24V, 1 Channel, 100-277V Input Voltage</v>
          </cell>
          <cell r="S161" t="str">
            <v>Zhuhai Shengchang Electronics Co.,Ltd (SC POWER), KVG-24150-DW, Driver, 150W, 0-10V to 1% Dimming, Monochromatic, Brick Form, Constant Voltage, 24V, 1 Channel, 100-277V Input Voltage</v>
          </cell>
        </row>
        <row r="162">
          <cell r="O162" t="str">
            <v>DR159EUC</v>
          </cell>
          <cell r="P162" t="str">
            <v>PUP40A-1WMC-850</v>
          </cell>
          <cell r="R162" t="str">
            <v>Driver, 40W, 0-10V to 0.1% Dimming, Monochromatic, Linear Form, Constant Current, 500-850mA, 1 Channel, 120-277V Input Voltage</v>
          </cell>
          <cell r="S162" t="str">
            <v>Ningbo Euchips Intelligent Technology Co., Ltd., PUP40A-1WMC-850, Driver, 40W, 0-10V to 0.1% Dimming, Monochromatic, Linear Form, Constant Current, 500-850mA, 1 Channel, 120-277V Input Voltage</v>
          </cell>
        </row>
        <row r="163">
          <cell r="O163" t="str">
            <v>DR160LUT</v>
          </cell>
          <cell r="P163" t="str">
            <v>PEQ01UVN-2A035</v>
          </cell>
          <cell r="R163" t="str">
            <v>Driver, 20W, Lutron Dimming, Monochromatic, Linear Form, Constant Current, 150-1050mA, 1 Channel, 120-277V Input Voltage</v>
          </cell>
          <cell r="S163" t="str">
            <v>Lutron Electronics Co. Inc., PEQ01UVN-2A035, Driver, 20W, Lutron Dimming, Monochromatic, Linear Form, Constant Current, 150-1050mA, 1 Channel, 120-277V Input Voltage</v>
          </cell>
        </row>
        <row r="164">
          <cell r="O164" t="str">
            <v>DR161LTF</v>
          </cell>
          <cell r="P164" t="str">
            <v>DS25W1650C1015UDSM1</v>
          </cell>
          <cell r="R164" t="str">
            <v>Driver, 25W, Non-Dimmable, Monochromatic, Linear Form, Constant Current, 1650mA, 1 Channel, 100-305V Input Voltage</v>
          </cell>
          <cell r="S164" t="str">
            <v>LTF Technology, DS25W1650C1015UDSM1, Driver, 25W, Non-Dimmable, Monochromatic, Linear Form, Constant Current, 1650mA, 1 Channel, 100-305V Input Voltage</v>
          </cell>
        </row>
        <row r="165">
          <cell r="O165" t="str">
            <v>DR162TRI</v>
          </cell>
          <cell r="P165" t="str">
            <v>LC 75/1100-1400/54 flexC lp SNC4/28004144</v>
          </cell>
          <cell r="R165" t="str">
            <v>Driver, 75W, Non-Dimmable, Monochromatic, Linear Form, Constant Current, 1100-1400mA, 1 Channel, 220-240V Input Voltage</v>
          </cell>
          <cell r="S165" t="str">
            <v>Tridonic Inc., LC 75/1100-1400/54 flexC lp SNC4/28004144, Driver, 75W, Non-Dimmable, Monochromatic, Linear Form, Constant Current, 1100-1400mA, 1 Channel, 220-240V Input Voltage</v>
          </cell>
        </row>
        <row r="166">
          <cell r="O166" t="str">
            <v>DR163EUC</v>
          </cell>
          <cell r="P166" t="str">
            <v>PUP10A-1WMC-700-log</v>
          </cell>
          <cell r="R166" t="str">
            <v>Driver, 10W, 0-10V to 0.1% Logarithmic Dimming, Monochromatic, Linear Form, Constant Current, 350-700mA, 1 Channel, 100-240V Input Voltage</v>
          </cell>
          <cell r="S166" t="str">
            <v>Shanghai Euchips Industrial Co.,LTD, PUP10A-1WMC-700-log, Driver, 10W, 0-10V to 0.1% Logarithmic Dimming, Monochromatic, Linear Form, Constant Current, 350-700mA, 1 Channel, 100-240V Input Voltage</v>
          </cell>
        </row>
        <row r="167">
          <cell r="O167" t="str">
            <v>DR164OTT</v>
          </cell>
          <cell r="P167" t="str">
            <v>OTM-TD100-SW36</v>
          </cell>
          <cell r="R167" t="str">
            <v>Driver, 100W, ELV Dimming, Monochromatic, Linear Form, Constant Voltage, 36V, 1 Channel, 100-277VAC Input Voltage</v>
          </cell>
          <cell r="S167" t="str">
            <v>Shenzhen Ottima Technology Co.,Ltd, OTM-TD100-SW36, Driver, 100W, ELV Dimming, Monochromatic, Linear Form, Constant Voltage, 36V, 1 Channel, 100-277VAC Input Voltage</v>
          </cell>
        </row>
        <row r="168">
          <cell r="O168" t="str">
            <v>DR165SME</v>
          </cell>
          <cell r="P168" t="str">
            <v>SMT-DI060W160-DMXP</v>
          </cell>
          <cell r="R168" t="str">
            <v>Driver, 60W, DMX Dimming, Monochromatic, Linear Form, Constant Current, 160-1600mA, 1 Channel, 100-277VAC Input Voltage</v>
          </cell>
          <cell r="S168" t="str">
            <v>Quanzhou Smarts Electronic &amp; Technology Co., Ltd., SMT-DI060W160-DMXP, Driver, 60W, DMX Dimming, Monochromatic, Linear Form, Constant Current, 160-1600mA, 1 Channel, 100-277VAC Input Voltage</v>
          </cell>
        </row>
        <row r="169">
          <cell r="O169" t="str">
            <v>DR166ZLT</v>
          </cell>
          <cell r="P169" t="str">
            <v>SE-20-100-700-W2A</v>
          </cell>
          <cell r="R169" t="str">
            <v>Driver, 20W, 0-10V to 0.01% Dimming, Tunable White, Brick Form, Constant Current, 100-700mA, 2 Channel, 115-230VAC Input Voltage</v>
          </cell>
          <cell r="S169" t="str">
            <v>ZHUHAI LTECH TECHNOLOGY CO., LTD., SE-20-100-700-W2A, Driver, 20W, 0-10V to 0.01% Dimming, Tunable White, Brick Form, Constant Current, 100-700mA, 2 Channel, 115-230VAC Input Voltage</v>
          </cell>
        </row>
        <row r="170">
          <cell r="O170" t="str">
            <v>DR167LLS</v>
          </cell>
          <cell r="P170" t="str">
            <v>PWR106M1</v>
          </cell>
          <cell r="R170" t="str">
            <v>Driver, 100W, DMX/RDM/DALI Dimming, Monochromatic, Linear Form, Constant Current, 200 - 1050mA, 4 Channel, 120 - 275V Input Voltage</v>
          </cell>
          <cell r="S170" t="str">
            <v>LED Lighting Sales LLC, PWR106M1, Driver, 100W, DMX/RDM/DALI Dimming, Monochromatic, Linear Form, Constant Current, 200 - 1050mA, 4 Channel, 120 - 275V Input Voltage</v>
          </cell>
        </row>
        <row r="171">
          <cell r="O171" t="str">
            <v>DR168ADR</v>
          </cell>
          <cell r="P171" t="str">
            <v>ADL2-010-IC350-TS</v>
          </cell>
          <cell r="R171" t="str">
            <v>Driver, 10W, ELV Dimming, Monochromatic, Linear Form, Constant Current, 120-350mA, 1 Channel, 120-277VAC Input Voltage</v>
          </cell>
          <cell r="S171" t="str">
            <v>ADURA, ADL2-010-IC350-TS, Driver, 10W, ELV Dimming, Monochromatic, Linear Form, Constant Current, 120-350mA, 1 Channel, 120-277VAC Input Voltage</v>
          </cell>
        </row>
        <row r="172">
          <cell r="O172" t="str">
            <v>DR169ADR</v>
          </cell>
          <cell r="P172" t="str">
            <v>ADL2-010-IC350-DS</v>
          </cell>
          <cell r="R172" t="str">
            <v>Driver, 10W, Dali Dimming, Monochromatic, Linear Form, Constant Current, 120-350mA, 1 Channel, 120-277VAC Input Voltage</v>
          </cell>
          <cell r="S172" t="str">
            <v>ADURA, ADL2-010-IC350-DS, Driver, 10W, Dali Dimming, Monochromatic, Linear Form, Constant Current, 120-350mA, 1 Channel, 120-277VAC Input Voltage</v>
          </cell>
        </row>
        <row r="173">
          <cell r="O173" t="str">
            <v>DR170MEA</v>
          </cell>
          <cell r="P173" t="str">
            <v>PWM-120-24DA</v>
          </cell>
          <cell r="R173" t="str">
            <v>Driver, 120W, Dali Dimming, Monochromatic, Linear Form, Constant Voltage, 24V, 1 Channel, 110-230VAC Input Voltage</v>
          </cell>
          <cell r="S173" t="str">
            <v>MEAN WELL Enterprises Co., Ltd., PWM-120-24DA , Driver, 120W, Dali Dimming, Monochromatic, Linear Form, Constant Voltage, 24V, 1 Channel, 110-230VAC Input Voltage</v>
          </cell>
        </row>
        <row r="174">
          <cell r="O174" t="str">
            <v>DR171BRI</v>
          </cell>
          <cell r="P174" t="str">
            <v>BXDR-30BT-U214P-01-A</v>
          </cell>
          <cell r="R174" t="str">
            <v>Driver, 30W, 0-10V to 0.1% Dimming, Tunable White, Puck Form, Constant Current, 1-1400mA, 2 Channel, 120-277VAC Input Voltage</v>
          </cell>
          <cell r="S174" t="str">
            <v>BRIDGELUX , BXDR-30BT-U214P-01-A, Driver, 30W, 0-10V to 0.1% Dimming, Tunable White, Puck Form, Constant Current, 1-1400mA, 2 Channel, 120-277VAC Input Voltage</v>
          </cell>
        </row>
        <row r="175">
          <cell r="O175" t="str">
            <v>DR172LUT</v>
          </cell>
          <cell r="P175" t="str">
            <v>LDE11U1UMN-MA035</v>
          </cell>
          <cell r="R175" t="str">
            <v>Driver, 14W, Lutron Dimming, Monochromatic, Linear Form, Constant Current, 250–500mA, 1 Channel, 120-277VAC Input Voltage</v>
          </cell>
          <cell r="S175" t="str">
            <v>Lutron Electronics Co. Inc., LDE11U1UMN-MA035, Driver, 14W, Lutron Dimming, Monochromatic, Linear Form, Constant Current, 250–500mA, 1 Channel, 120-277VAC Input Voltage</v>
          </cell>
        </row>
        <row r="176">
          <cell r="O176" t="str">
            <v>DR173ACB</v>
          </cell>
          <cell r="P176" t="str">
            <v>SL0766L2</v>
          </cell>
          <cell r="R176" t="str">
            <v>Driver, 75W, 0-10V to 0.1% Dimming, Monochromatic, Linear Form, Constant Current, 700 - 2100mA, 1 Channel, 120-277VAC Input Voltage</v>
          </cell>
          <cell r="S176" t="str">
            <v>Acuity Brands (EldoLED), SL0766L2, Driver, 75W, 0-10V to 0.1% Dimming, Monochromatic, Linear Form, Constant Current, 700 - 2100mA, 1 Channel, 120-277VAC Input Voltage</v>
          </cell>
        </row>
        <row r="177">
          <cell r="O177" t="str">
            <v>DR174EUC</v>
          </cell>
          <cell r="P177" t="str">
            <v>CUP25AT-1WMC(o)</v>
          </cell>
          <cell r="R177" t="str">
            <v>Driver, 25W, ELV Dimming, Monochromatic, Puck Form, Constant Current, 450-600mA, 1 Channel, 120-277VAC Input Voltage</v>
          </cell>
          <cell r="S177" t="str">
            <v>Ningbo Euchips Intelligent Technology Co., Ltd., CUP25AT-1WMC(o), Driver, 25W, ELV Dimming, Monochromatic, Puck Form, Constant Current, 450-600mA, 1 Channel, 120-277VAC Input Voltage</v>
          </cell>
        </row>
        <row r="178">
          <cell r="O178" t="str">
            <v>DR175SNF</v>
          </cell>
          <cell r="P178" t="str">
            <v>L2-C</v>
          </cell>
          <cell r="R178" t="str">
            <v>Driver, 36W, Non-Dimmable, Monochromatic, Linear Form, Constant Voltage, 12V, 1 Channel, 120-277VAC Input Voltage</v>
          </cell>
          <cell r="S178" t="str">
            <v>Shenzhen Sonoff Technologies Co., Ltd, L2-C, Driver, 36W, Non-Dimmable, Monochromatic, Linear Form, Constant Voltage, 12V, 1 Channel, 120-277VAC Input Voltage</v>
          </cell>
        </row>
        <row r="179">
          <cell r="O179" t="str">
            <v>DR176ADR</v>
          </cell>
          <cell r="P179" t="str">
            <v>ADL2-040-IC1200-DS</v>
          </cell>
          <cell r="R179" t="str">
            <v>Driver, 40W, Dali Dimming, Monochromatic, Linear Form, Constant Current, 850-1200mA, 1 Channel, 120-277VAC Input Voltage</v>
          </cell>
          <cell r="S179" t="str">
            <v>ADURA, ADL2-040-IC1200-DS, Driver, 40W, Dali Dimming, Monochromatic, Linear Form, Constant Current, 850-1200mA, 1 Channel, 120-277VAC Input Voltage</v>
          </cell>
        </row>
        <row r="180">
          <cell r="O180" t="str">
            <v>DR177EUC</v>
          </cell>
          <cell r="P180" t="str">
            <v>PUP40D-1WMC-850</v>
          </cell>
          <cell r="R180" t="str">
            <v>Driver, 40W, Dali Dimming, Monochromatic, Linear Form, Constant Current, 500-850mA, 1 Channel, 120-277VAC Input Voltage</v>
          </cell>
          <cell r="S180" t="str">
            <v>Ningbo Euchips Intelligent Technology Co., Ltd., PUP40D-1WMC-850, Driver, 40W, Dali Dimming, Monochromatic, Linear Form, Constant Current, 500-850mA, 1 Channel, 120-277VAC Input Voltage</v>
          </cell>
        </row>
        <row r="181">
          <cell r="O181" t="str">
            <v>DR178ADR</v>
          </cell>
          <cell r="P181" t="str">
            <v>ADL2-010-IC350-ZS</v>
          </cell>
          <cell r="R181" t="str">
            <v>Driver, 10W, 0-10V to 0.1% Dimming, Monochromatic, Linear Form, Constant Current, 120-350mA, 1 Channel, 120-277VAC Input Voltage</v>
          </cell>
          <cell r="S181" t="str">
            <v>ADURA, ADL2-010-IC350-ZS, Driver, 10W, 0-10V to 0.1% Dimming, Monochromatic, Linear Form, Constant Current, 120-350mA, 1 Channel, 120-277VAC Input Voltage</v>
          </cell>
        </row>
        <row r="182">
          <cell r="O182" t="str">
            <v>DR179ZLT</v>
          </cell>
          <cell r="P182" t="str">
            <v>SN-150-24-G1N</v>
          </cell>
          <cell r="R182" t="str">
            <v>Driver, 150W, Non-Dimmable, Monochromatic, Linear Form, Constant Voltage, 24V, 1 Channel, 220-240V Input Voltage</v>
          </cell>
          <cell r="S182" t="str">
            <v>ZHUHAI LTECH TECHNOLOGY CO., LTD., SN-150-24-G1N, Driver, 150W, Non-Dimmable, Monochromatic, Linear Form, Constant Voltage, 24V, 1 Channel, 220-240V Input Voltage</v>
          </cell>
        </row>
        <row r="183">
          <cell r="O183" t="str">
            <v>DR180MEA</v>
          </cell>
          <cell r="P183" t="str">
            <v>LRS-200-48</v>
          </cell>
          <cell r="R183" t="str">
            <v>Driver, 100W, Dali Dimming, Monochromatic, Puck Form, Constant Voltage, 48V, 1 Channel, 220-240V Input Voltage</v>
          </cell>
          <cell r="S183" t="str">
            <v>MEAN WELL Enterprises Co., Ltd., LRS-200-48, Driver, 100W, Dali Dimming, Monochromatic, Puck Form, Constant Voltage, 48V, 1 Channel, 220-240V Input Voltage</v>
          </cell>
        </row>
        <row r="184">
          <cell r="O184" t="str">
            <v>DR181MEA</v>
          </cell>
          <cell r="P184" t="str">
            <v>LPV-150-24</v>
          </cell>
          <cell r="R184" t="str">
            <v>Driver, 150W, AC-DC Converter, Monochromatic, Linear Form, Constant Voltage, 24V, 1 Channel, 180-305VAC Input Voltage</v>
          </cell>
          <cell r="S184" t="str">
            <v>MEAN WELL Enterprises Co., Ltd., LPV-150-24, Driver, 150W, AC-DC Converter, Monochromatic, Linear Form, Constant Voltage, 24V, 1 Channel, 180-305VAC Input Voltage</v>
          </cell>
        </row>
        <row r="185">
          <cell r="O185" t="str">
            <v>DR182ZSE</v>
          </cell>
          <cell r="P185" t="str">
            <v>KV-24150-DP2A</v>
          </cell>
          <cell r="R185" t="str">
            <v>Driver, 150W, Dali Dimming, Monochromatic, Brick Form, Constant Voltage, 24V, 1 Channel, 100-277VAC Input Voltage</v>
          </cell>
          <cell r="S185" t="str">
            <v>Zhuhai Shengchang Electronics Co.,Ltd (SC POWER), KV-24150-DP2A, Driver, 150W, Dali Dimming, Monochromatic, Brick Form, Constant Voltage, 24V, 1 Channel, 100-277VAC Input Voltage</v>
          </cell>
        </row>
        <row r="186">
          <cell r="O186" t="str">
            <v>DR183MAL</v>
          </cell>
          <cell r="P186" t="str">
            <v>AFLEX-60W-1650-L-GB</v>
          </cell>
          <cell r="R186" t="str">
            <v>Driver, 60W, 0-10V to 0.1% Logarithmic Dimming, Monochromatic, Linear Form, Constant Current, 100-1650mA, 1 Channel, 120-277V Input Voltage</v>
          </cell>
          <cell r="S186" t="str">
            <v>Magnitude Lighting Inc., AFLEX-60W-1650-L-GB, Driver, 60W, 0-10V to 0.1% Logarithmic Dimming, Monochromatic, Linear Form, Constant Current, 100-1650mA, 1 Channel, 120-277V Input Voltage</v>
          </cell>
        </row>
        <row r="187">
          <cell r="O187" t="str">
            <v>DR184ZSE</v>
          </cell>
          <cell r="P187" t="str">
            <v>KVX-24096-1C-A</v>
          </cell>
          <cell r="R187" t="str">
            <v>Driver, 96W, DMX512 Dimming, Monochromatic, Brick Form, Constant Voltage, 24V, 1 Channel, 100-277VAC Input Voltage</v>
          </cell>
          <cell r="S187" t="str">
            <v>Zhuhai Shengchang Electronics Co.,Ltd (SC POWER), KVX-24096-1C-A, Driver, 96W, DMX512 Dimming, Monochromatic, Brick Form, Constant Voltage, 24V, 1 Channel, 100-277VAC Input Voltage</v>
          </cell>
        </row>
        <row r="188">
          <cell r="O188" t="str">
            <v>DR185SUN</v>
          </cell>
          <cell r="P188" t="str">
            <v>SRPL-2305N-60CC900-1700U</v>
          </cell>
          <cell r="R188" t="str">
            <v>Driver, 60W, Dali Dimming, Tunable White, Linear Form, Constant Current, 900-1700mA, 2 Channel, 100-277VAC Input Voltage</v>
          </cell>
          <cell r="S188" t="str">
            <v>Shenzhen Sunricher Technology Co. Ltd, SRPL-2305N-60CC900-1700U, Driver, 60W, Dali Dimming, Tunable White, Linear Form, Constant Current, 900-1700mA, 2 Channel, 100-277VAC Input Voltage</v>
          </cell>
        </row>
        <row r="189">
          <cell r="O189" t="str">
            <v>DR186SUN</v>
          </cell>
          <cell r="P189" t="str">
            <v>SRPL-2305N-30CC900-1700U</v>
          </cell>
          <cell r="R189" t="str">
            <v>Driver, 30W, Dali Dimming, Tunable White, Linear Form, Constant Current, 250-850mA, 2 Channel, 100-277VAC Input Voltage</v>
          </cell>
          <cell r="S189" t="str">
            <v>Shenzhen Sunricher Technology Co. Ltd, SRPL-2305N-30CC900-1700U, Driver, 30W, Dali Dimming, Tunable White, Linear Form, Constant Current, 250-850mA, 2 Channel, 100-277VAC Input Voltage</v>
          </cell>
        </row>
        <row r="190">
          <cell r="O190" t="str">
            <v>DR187SUN</v>
          </cell>
          <cell r="P190" t="str">
            <v>SRPL-2305N-40CC900-1700U</v>
          </cell>
          <cell r="R190" t="str">
            <v>Driver, 40W, Dali Dimming, Tunable White, Linear Form, Constant Current, 250-850mA, 2 Channel, 100-277VAC Input Voltage</v>
          </cell>
          <cell r="S190" t="str">
            <v>Shenzhen Sunricher Technology Co. Ltd, SRPL-2305N-40CC900-1700U, Driver, 40W, Dali Dimming, Tunable White, Linear Form, Constant Current, 250-850mA, 2 Channel, 100-277VAC Input Voltage</v>
          </cell>
        </row>
        <row r="191">
          <cell r="O191" t="str">
            <v>DR188MEA</v>
          </cell>
          <cell r="P191" t="str">
            <v>LPV-20-12</v>
          </cell>
          <cell r="R191" t="str">
            <v>Driver, 20W, Non-Dimmable, Monochromatic, Linear Form, Constant Voltage, 12V, 1 Channel, 90 - 264VAC Input Voltage</v>
          </cell>
          <cell r="S191" t="str">
            <v>MEAN WELL Enterprises Co., Ltd., LPV-20-12 , Driver, 20W, Non-Dimmable, Monochromatic, Linear Form, Constant Voltage, 12V, 1 Channel, 90 - 264VAC Input Voltage</v>
          </cell>
        </row>
        <row r="192">
          <cell r="O192" t="str">
            <v>DR189OTT</v>
          </cell>
          <cell r="P192" t="str">
            <v>OTM-E150-S36-F</v>
          </cell>
          <cell r="R192" t="str">
            <v>Driver, 150W, non-Dimmable, Monochromatic, Linear Form, Constant Voltage, 36V, 1 Channel, 100-277VAC Input Voltage</v>
          </cell>
          <cell r="S192" t="str">
            <v>Shenzhen Ottima Technology Co.,Ltd, OTM-E150-S36-F, Driver, 150W, non-Dimmable, Monochromatic, Linear Form, Constant Voltage, 36V, 1 Channel, 100-277VAC Input Voltage</v>
          </cell>
        </row>
        <row r="193">
          <cell r="O193" t="str">
            <v>DR190EUC</v>
          </cell>
          <cell r="P193" t="str">
            <v>PUP40D-1WMC-1200</v>
          </cell>
          <cell r="R193" t="str">
            <v>Driver, 40W, Dali Dimming, Monochromatic, Linear Form, Constant Current, 850-1200mA, 1 Channel, 120-277VAC Input Voltage</v>
          </cell>
          <cell r="S193" t="str">
            <v>Ningbo Euchips Intelligent Technology Co., Ltd., PUP40D-1WMC-1200, Driver, 40W, Dali Dimming, Monochromatic, Linear Form, Constant Current, 850-1200mA, 1 Channel, 120-277VAC Input Voltage</v>
          </cell>
        </row>
        <row r="194">
          <cell r="O194"/>
          <cell r="P194"/>
          <cell r="R194"/>
          <cell r="S194"/>
        </row>
        <row r="195">
          <cell r="O195"/>
          <cell r="P195"/>
          <cell r="R195"/>
          <cell r="S195"/>
        </row>
        <row r="196">
          <cell r="O196"/>
          <cell r="P196"/>
          <cell r="R196"/>
          <cell r="S196"/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raft"/>
      <sheetName val="Main"/>
      <sheetName val="Coefficient"/>
      <sheetName val="Billet Nomenclature"/>
      <sheetName val="Result Format"/>
      <sheetName val="Database"/>
      <sheetName val="Detailed BOM"/>
      <sheetName val="BOQ"/>
      <sheetName val="ERP Layout"/>
      <sheetName val="Pricelist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">
          <cell r="C4" t="str">
            <v>AP005ALC</v>
          </cell>
          <cell r="D4" t="str">
            <v>Aluminum Profile</v>
          </cell>
          <cell r="E4" t="str">
            <v>BXO,BXH,BKO,BKH</v>
          </cell>
          <cell r="Q4" t="str">
            <v>linear</v>
          </cell>
          <cell r="R4">
            <v>1</v>
          </cell>
          <cell r="S4">
            <v>300</v>
          </cell>
          <cell r="U4">
            <v>0.97256097560975618</v>
          </cell>
          <cell r="V4" t="str">
            <v>Indoor Main Profile , Linear Meter, Alcomet AD, 22001</v>
          </cell>
          <cell r="W4" t="str">
            <v>Alcomet</v>
          </cell>
          <cell r="Y4">
            <v>2.9</v>
          </cell>
          <cell r="Z4">
            <v>1.7</v>
          </cell>
          <cell r="AA4">
            <v>1</v>
          </cell>
        </row>
        <row r="5">
          <cell r="C5" t="str">
            <v>AP005ALC</v>
          </cell>
          <cell r="D5" t="str">
            <v>Aluminum Profile</v>
          </cell>
          <cell r="E5" t="str">
            <v>BIO,BIS,BIW,BJO,BJS,BJW</v>
          </cell>
          <cell r="Q5" t="str">
            <v>linear</v>
          </cell>
          <cell r="R5">
            <v>1</v>
          </cell>
          <cell r="S5">
            <v>300</v>
          </cell>
          <cell r="U5">
            <v>0.97256097560975618</v>
          </cell>
          <cell r="V5" t="str">
            <v>Indoor Main Profile , Linear Meter, Alcomet AD, 22001</v>
          </cell>
          <cell r="W5" t="str">
            <v>Alcomet</v>
          </cell>
          <cell r="Y5">
            <v>2.9</v>
          </cell>
          <cell r="Z5">
            <v>1.7</v>
          </cell>
          <cell r="AA5">
            <v>1</v>
          </cell>
        </row>
        <row r="6">
          <cell r="C6" t="str">
            <v>AP006ALC</v>
          </cell>
          <cell r="D6" t="str">
            <v>Aluminum Profile</v>
          </cell>
          <cell r="E6" t="str">
            <v>BXO,BXH,BKO,BKH</v>
          </cell>
          <cell r="F6" t="str">
            <v>S,P,M,W</v>
          </cell>
          <cell r="G6" t="str">
            <v>S</v>
          </cell>
          <cell r="K6" t="str">
            <v>A,B,C,D,E,F,G</v>
          </cell>
          <cell r="Q6" t="str">
            <v>linear</v>
          </cell>
          <cell r="R6">
            <v>1</v>
          </cell>
          <cell r="S6">
            <v>300</v>
          </cell>
          <cell r="T6">
            <v>4</v>
          </cell>
          <cell r="U6">
            <v>2.1060975609756101</v>
          </cell>
          <cell r="V6" t="str">
            <v>Indoor Surface Mounted Profile , Linear Meter, Alcomet AD, 22003</v>
          </cell>
          <cell r="W6" t="str">
            <v>Alcomet</v>
          </cell>
          <cell r="Y6">
            <v>6.28</v>
          </cell>
          <cell r="Z6">
            <v>1.7</v>
          </cell>
          <cell r="AA6">
            <v>1</v>
          </cell>
        </row>
        <row r="7">
          <cell r="C7" t="str">
            <v>AP006ALC</v>
          </cell>
          <cell r="D7" t="str">
            <v>Aluminum Profile</v>
          </cell>
          <cell r="E7" t="str">
            <v>BXO,BXH,BKO,BKH</v>
          </cell>
          <cell r="F7" t="str">
            <v>S,P,M,W</v>
          </cell>
          <cell r="G7" t="str">
            <v>B,E</v>
          </cell>
          <cell r="K7" t="str">
            <v>A,B,C,D,E,F,G</v>
          </cell>
          <cell r="Q7" t="str">
            <v>linear</v>
          </cell>
          <cell r="R7">
            <v>1</v>
          </cell>
          <cell r="S7">
            <v>310</v>
          </cell>
          <cell r="T7">
            <v>2.5</v>
          </cell>
          <cell r="U7">
            <v>2.1060975609756101</v>
          </cell>
          <cell r="V7" t="str">
            <v>Indoor Surface Mounted Profile , Linear Meter, Alcomet AD, 22003</v>
          </cell>
          <cell r="W7" t="str">
            <v>Alcomet</v>
          </cell>
          <cell r="Y7">
            <v>6.28</v>
          </cell>
          <cell r="Z7">
            <v>1.7</v>
          </cell>
          <cell r="AA7">
            <v>1</v>
          </cell>
        </row>
        <row r="8">
          <cell r="C8" t="str">
            <v>AP006ALC</v>
          </cell>
          <cell r="D8" t="str">
            <v>Aluminum Profile</v>
          </cell>
          <cell r="E8" t="str">
            <v>BXO,BXH,BKO,BKH</v>
          </cell>
          <cell r="F8" t="str">
            <v>S,P,M,W</v>
          </cell>
          <cell r="G8" t="str">
            <v>M</v>
          </cell>
          <cell r="K8" t="str">
            <v>A,B,C,D,E,F,G</v>
          </cell>
          <cell r="Q8" t="str">
            <v>linear</v>
          </cell>
          <cell r="R8">
            <v>1</v>
          </cell>
          <cell r="S8">
            <v>310</v>
          </cell>
          <cell r="T8">
            <v>0.5</v>
          </cell>
          <cell r="U8">
            <v>2.1060975609756101</v>
          </cell>
          <cell r="V8" t="str">
            <v>Indoor Surface Mounted Profile , Linear Meter, Alcomet AD, 22003</v>
          </cell>
          <cell r="W8" t="str">
            <v>Alcomet</v>
          </cell>
          <cell r="Y8">
            <v>6.28</v>
          </cell>
          <cell r="Z8">
            <v>1.7</v>
          </cell>
          <cell r="AA8">
            <v>1</v>
          </cell>
        </row>
        <row r="9">
          <cell r="C9" t="str">
            <v>AP006ALC</v>
          </cell>
          <cell r="D9" t="str">
            <v>Aluminum Profile</v>
          </cell>
          <cell r="E9" t="str">
            <v>BIO,BIS,BIW,BIK</v>
          </cell>
          <cell r="F9" t="str">
            <v>S,P,M,W</v>
          </cell>
          <cell r="G9" t="str">
            <v>S</v>
          </cell>
          <cell r="K9" t="str">
            <v>A,B,C,D,E,F,G</v>
          </cell>
          <cell r="Q9" t="str">
            <v>linear</v>
          </cell>
          <cell r="R9">
            <v>1</v>
          </cell>
          <cell r="S9">
            <v>310</v>
          </cell>
          <cell r="T9">
            <v>4</v>
          </cell>
          <cell r="U9">
            <v>2.1060975609756101</v>
          </cell>
          <cell r="V9" t="str">
            <v>Indoor Surface Mounted Profile , Linear Meter, Alcomet AD, 22003</v>
          </cell>
          <cell r="W9" t="str">
            <v>Alcomet</v>
          </cell>
          <cell r="Y9">
            <v>6.28</v>
          </cell>
          <cell r="Z9">
            <v>1.7</v>
          </cell>
          <cell r="AA9">
            <v>1</v>
          </cell>
        </row>
        <row r="10">
          <cell r="C10" t="str">
            <v>AP006ALC</v>
          </cell>
          <cell r="D10" t="str">
            <v>Aluminum Profile</v>
          </cell>
          <cell r="E10" t="str">
            <v>BIO,BIS,BIW,BIK</v>
          </cell>
          <cell r="F10" t="str">
            <v>S,P,M,W</v>
          </cell>
          <cell r="G10" t="str">
            <v>B,E</v>
          </cell>
          <cell r="K10" t="str">
            <v>A,B,C,D,E,F,G</v>
          </cell>
          <cell r="Q10" t="str">
            <v>linear</v>
          </cell>
          <cell r="R10">
            <v>1</v>
          </cell>
          <cell r="S10">
            <v>310</v>
          </cell>
          <cell r="T10">
            <v>2.5</v>
          </cell>
          <cell r="U10">
            <v>2.1060975609756101</v>
          </cell>
          <cell r="V10" t="str">
            <v>Indoor Surface Mounted Profile , Linear Meter, Alcomet AD, 22003</v>
          </cell>
          <cell r="W10" t="str">
            <v>Alcomet</v>
          </cell>
          <cell r="Y10">
            <v>6.28</v>
          </cell>
          <cell r="Z10">
            <v>1.7</v>
          </cell>
          <cell r="AA10">
            <v>1</v>
          </cell>
        </row>
        <row r="11">
          <cell r="C11" t="str">
            <v>AP006ALC</v>
          </cell>
          <cell r="D11" t="str">
            <v>Aluminum Profile</v>
          </cell>
          <cell r="E11" t="str">
            <v>BIO,BIS,BIW,BIK</v>
          </cell>
          <cell r="F11" t="str">
            <v>S,P,M,W</v>
          </cell>
          <cell r="G11" t="str">
            <v>M</v>
          </cell>
          <cell r="K11" t="str">
            <v>A,B,C,D,E,F,G</v>
          </cell>
          <cell r="Q11" t="str">
            <v>linear</v>
          </cell>
          <cell r="R11">
            <v>1</v>
          </cell>
          <cell r="S11">
            <v>310</v>
          </cell>
          <cell r="T11">
            <v>0.5</v>
          </cell>
          <cell r="U11">
            <v>2.1060975609756101</v>
          </cell>
          <cell r="V11" t="str">
            <v>Indoor Surface Mounted Profile , Linear Meter, Alcomet AD, 22003</v>
          </cell>
          <cell r="W11" t="str">
            <v>Alcomet</v>
          </cell>
          <cell r="Y11">
            <v>6.28</v>
          </cell>
          <cell r="Z11">
            <v>1.7</v>
          </cell>
          <cell r="AA11">
            <v>1</v>
          </cell>
        </row>
        <row r="12">
          <cell r="C12" t="str">
            <v>AP007ALC</v>
          </cell>
          <cell r="D12" t="str">
            <v>Aluminum Profile</v>
          </cell>
          <cell r="E12" t="str">
            <v>BIO,BIS,BIW,BJO,BJS,BJW,BIK</v>
          </cell>
          <cell r="F12" t="str">
            <v>R</v>
          </cell>
          <cell r="G12" t="str">
            <v>S</v>
          </cell>
          <cell r="Q12" t="str">
            <v>linear</v>
          </cell>
          <cell r="R12">
            <v>1</v>
          </cell>
          <cell r="S12">
            <v>310</v>
          </cell>
          <cell r="T12">
            <v>4</v>
          </cell>
          <cell r="U12">
            <v>2.2134146341463414</v>
          </cell>
          <cell r="V12" t="str">
            <v>Indoor Trim External Profile , Linear Meter, Alcomet AD, 22004</v>
          </cell>
          <cell r="W12" t="str">
            <v>Alcomet</v>
          </cell>
          <cell r="Y12">
            <v>6.6</v>
          </cell>
          <cell r="Z12">
            <v>1.7</v>
          </cell>
          <cell r="AA12">
            <v>1.7</v>
          </cell>
        </row>
        <row r="13">
          <cell r="C13" t="str">
            <v>AP007ALC</v>
          </cell>
          <cell r="D13" t="str">
            <v>Aluminum Profile</v>
          </cell>
          <cell r="E13" t="str">
            <v>BIO,BIS,BIW,BJO,BJS,BJW,BIK</v>
          </cell>
          <cell r="F13" t="str">
            <v>R</v>
          </cell>
          <cell r="G13" t="str">
            <v>B,E</v>
          </cell>
          <cell r="Q13" t="str">
            <v>linear</v>
          </cell>
          <cell r="R13">
            <v>1</v>
          </cell>
          <cell r="S13">
            <v>310</v>
          </cell>
          <cell r="T13">
            <v>2.5</v>
          </cell>
          <cell r="U13">
            <v>2.2134146341463414</v>
          </cell>
          <cell r="V13" t="str">
            <v>Indoor Trim External Profile , Linear Meter, Alcomet AD, 22004</v>
          </cell>
          <cell r="W13" t="str">
            <v>Alcomet</v>
          </cell>
          <cell r="Y13">
            <v>6.6</v>
          </cell>
          <cell r="Z13">
            <v>1.7</v>
          </cell>
          <cell r="AA13">
            <v>1.7</v>
          </cell>
        </row>
        <row r="14">
          <cell r="C14" t="str">
            <v>AP007ALC</v>
          </cell>
          <cell r="D14" t="str">
            <v>Aluminum Profile</v>
          </cell>
          <cell r="E14" t="str">
            <v>BIO,BIS,BIW,BJO,BJS,BJW,BIK</v>
          </cell>
          <cell r="F14" t="str">
            <v>R</v>
          </cell>
          <cell r="G14" t="str">
            <v>M</v>
          </cell>
          <cell r="Q14" t="str">
            <v>linear</v>
          </cell>
          <cell r="R14">
            <v>1</v>
          </cell>
          <cell r="S14">
            <v>310</v>
          </cell>
          <cell r="T14">
            <v>0.5</v>
          </cell>
          <cell r="U14">
            <v>2.2134146341463414</v>
          </cell>
          <cell r="V14" t="str">
            <v>Indoor Trim External Profile , Linear Meter, Alcomet AD, 22004</v>
          </cell>
          <cell r="W14" t="str">
            <v>Alcomet</v>
          </cell>
          <cell r="Y14">
            <v>6.6</v>
          </cell>
          <cell r="Z14">
            <v>1.7</v>
          </cell>
          <cell r="AA14">
            <v>1.7</v>
          </cell>
        </row>
        <row r="15">
          <cell r="C15" t="str">
            <v>AP007ALC</v>
          </cell>
          <cell r="D15" t="str">
            <v>Aluminum Profile</v>
          </cell>
          <cell r="E15" t="str">
            <v>BXO,BXH,BKO,BKH</v>
          </cell>
          <cell r="F15" t="str">
            <v>R</v>
          </cell>
          <cell r="G15" t="str">
            <v>S</v>
          </cell>
          <cell r="Q15" t="str">
            <v>linear</v>
          </cell>
          <cell r="R15">
            <v>1</v>
          </cell>
          <cell r="S15">
            <v>310</v>
          </cell>
          <cell r="T15">
            <v>4</v>
          </cell>
          <cell r="U15">
            <v>2.2134146341463414</v>
          </cell>
          <cell r="V15" t="str">
            <v>Indoor Trim External Profile , Linear Meter, Alcomet AD, 22004</v>
          </cell>
          <cell r="W15" t="str">
            <v>Alcomet</v>
          </cell>
          <cell r="Y15">
            <v>6.6</v>
          </cell>
          <cell r="Z15">
            <v>1.7</v>
          </cell>
          <cell r="AA15">
            <v>1.7</v>
          </cell>
        </row>
        <row r="16">
          <cell r="C16" t="str">
            <v>AP007ALC</v>
          </cell>
          <cell r="D16" t="str">
            <v>Aluminum Profile</v>
          </cell>
          <cell r="E16" t="str">
            <v>BXO,BXH,BKO,BKH</v>
          </cell>
          <cell r="F16" t="str">
            <v>R</v>
          </cell>
          <cell r="G16" t="str">
            <v>B,E</v>
          </cell>
          <cell r="Q16" t="str">
            <v>linear</v>
          </cell>
          <cell r="R16">
            <v>1</v>
          </cell>
          <cell r="S16">
            <v>310</v>
          </cell>
          <cell r="T16">
            <v>0.5</v>
          </cell>
          <cell r="U16">
            <v>2.2134146341463414</v>
          </cell>
          <cell r="V16" t="str">
            <v>Indoor Trim External Profile , Linear Meter, Alcomet AD, 22004</v>
          </cell>
          <cell r="W16" t="str">
            <v>Alcomet</v>
          </cell>
          <cell r="Y16">
            <v>6.6</v>
          </cell>
          <cell r="Z16">
            <v>1.7</v>
          </cell>
          <cell r="AA16">
            <v>1.7</v>
          </cell>
        </row>
        <row r="17">
          <cell r="C17" t="str">
            <v>AP008ALC</v>
          </cell>
          <cell r="D17" t="str">
            <v>Aluminum Profile</v>
          </cell>
          <cell r="E17" t="str">
            <v>BJO,BJS,BJW,BIK</v>
          </cell>
          <cell r="F17" t="str">
            <v>S,P,M</v>
          </cell>
          <cell r="G17" t="str">
            <v>S</v>
          </cell>
          <cell r="K17" t="str">
            <v>H,I,J,K,L,M,N</v>
          </cell>
          <cell r="Q17" t="str">
            <v>linear</v>
          </cell>
          <cell r="R17">
            <v>1</v>
          </cell>
          <cell r="S17">
            <v>310</v>
          </cell>
          <cell r="T17">
            <v>5</v>
          </cell>
          <cell r="U17">
            <v>1.4756097560975614</v>
          </cell>
          <cell r="V17" t="str">
            <v>Indoor Remote Profile , Linear Meter, Alcomet AD, 22006</v>
          </cell>
          <cell r="W17" t="str">
            <v>Alcomet</v>
          </cell>
          <cell r="Y17">
            <v>4.4000000000000004</v>
          </cell>
          <cell r="Z17">
            <v>1.7</v>
          </cell>
          <cell r="AA17">
            <v>1.7</v>
          </cell>
        </row>
        <row r="18">
          <cell r="C18" t="str">
            <v>AP008ALC</v>
          </cell>
          <cell r="D18" t="str">
            <v>Aluminum Profile</v>
          </cell>
          <cell r="E18" t="str">
            <v>BJO,BJS,BJW,BIK</v>
          </cell>
          <cell r="F18" t="str">
            <v>S,P,M</v>
          </cell>
          <cell r="G18" t="str">
            <v>M</v>
          </cell>
          <cell r="K18" t="str">
            <v>H,I,J,K,L,M,N</v>
          </cell>
          <cell r="Q18" t="str">
            <v>linear</v>
          </cell>
          <cell r="R18">
            <v>1</v>
          </cell>
          <cell r="S18">
            <v>310</v>
          </cell>
          <cell r="T18">
            <v>3.5</v>
          </cell>
          <cell r="U18">
            <v>1.4756097560975614</v>
          </cell>
          <cell r="V18" t="str">
            <v>Indoor Remote Profile , Linear Meter, Alcomet AD, 22006</v>
          </cell>
          <cell r="W18" t="str">
            <v>Alcomet</v>
          </cell>
          <cell r="Y18">
            <v>4.4000000000000004</v>
          </cell>
          <cell r="Z18">
            <v>1.7</v>
          </cell>
          <cell r="AA18">
            <v>1.7</v>
          </cell>
        </row>
        <row r="19">
          <cell r="C19" t="str">
            <v>AP008ALC</v>
          </cell>
          <cell r="D19" t="str">
            <v>Aluminum Profile</v>
          </cell>
          <cell r="E19" t="str">
            <v>BJO,BJS,BJW,BIK</v>
          </cell>
          <cell r="F19" t="str">
            <v>S,P,M</v>
          </cell>
          <cell r="G19" t="str">
            <v>B,E</v>
          </cell>
          <cell r="K19" t="str">
            <v>H,I,J,K,L,M,N</v>
          </cell>
          <cell r="Q19" t="str">
            <v>linear</v>
          </cell>
          <cell r="R19">
            <v>1</v>
          </cell>
          <cell r="S19">
            <v>310</v>
          </cell>
          <cell r="T19">
            <v>2.5</v>
          </cell>
          <cell r="U19">
            <v>1.4756097560975614</v>
          </cell>
          <cell r="V19" t="str">
            <v>Indoor Remote Profile , Linear Meter, Alcomet AD, 22006</v>
          </cell>
          <cell r="W19" t="str">
            <v>Alcomet</v>
          </cell>
          <cell r="Y19">
            <v>4.4000000000000004</v>
          </cell>
          <cell r="Z19">
            <v>1.7</v>
          </cell>
          <cell r="AA19">
            <v>1.7</v>
          </cell>
        </row>
        <row r="20">
          <cell r="C20" t="str">
            <v>AP008ALC</v>
          </cell>
          <cell r="D20" t="str">
            <v>Aluminum Profile</v>
          </cell>
          <cell r="E20" t="str">
            <v>BKO,BKH</v>
          </cell>
          <cell r="F20" t="str">
            <v>S,P,M</v>
          </cell>
          <cell r="G20" t="str">
            <v>S</v>
          </cell>
          <cell r="K20" t="str">
            <v>H,I,J,K,L,M,N</v>
          </cell>
          <cell r="Q20" t="str">
            <v>linear</v>
          </cell>
          <cell r="R20">
            <v>1</v>
          </cell>
          <cell r="S20">
            <v>310</v>
          </cell>
          <cell r="T20">
            <v>5</v>
          </cell>
          <cell r="U20">
            <v>1.4756097560975614</v>
          </cell>
          <cell r="V20" t="str">
            <v>Indoor Remote Profile , Linear Meter, Alcomet AD, 22006</v>
          </cell>
          <cell r="W20" t="str">
            <v>Alcomet</v>
          </cell>
          <cell r="Y20">
            <v>4.4000000000000004</v>
          </cell>
          <cell r="Z20">
            <v>1.7</v>
          </cell>
          <cell r="AA20">
            <v>1.7</v>
          </cell>
        </row>
        <row r="21">
          <cell r="C21" t="str">
            <v>AP008ALC</v>
          </cell>
          <cell r="D21" t="str">
            <v>Aluminum Profile</v>
          </cell>
          <cell r="E21" t="str">
            <v>BKO,BKH</v>
          </cell>
          <cell r="F21" t="str">
            <v>S,P,M</v>
          </cell>
          <cell r="G21" t="str">
            <v>M</v>
          </cell>
          <cell r="K21" t="str">
            <v>H,I,J,K,L,M,N</v>
          </cell>
          <cell r="Q21" t="str">
            <v>linear</v>
          </cell>
          <cell r="R21">
            <v>1</v>
          </cell>
          <cell r="S21">
            <v>310</v>
          </cell>
          <cell r="T21">
            <v>3.5</v>
          </cell>
          <cell r="U21">
            <v>1.4756097560975614</v>
          </cell>
          <cell r="V21" t="str">
            <v>Indoor Remote Profile , Linear Meter, Alcomet AD, 22006</v>
          </cell>
          <cell r="W21" t="str">
            <v>Alcomet</v>
          </cell>
          <cell r="Y21">
            <v>4.4000000000000004</v>
          </cell>
          <cell r="Z21">
            <v>1.7</v>
          </cell>
          <cell r="AA21">
            <v>1.7</v>
          </cell>
        </row>
        <row r="22">
          <cell r="C22" t="str">
            <v>AP008ALC</v>
          </cell>
          <cell r="D22" t="str">
            <v>Aluminum Profile</v>
          </cell>
          <cell r="E22" t="str">
            <v>BKO,BKH</v>
          </cell>
          <cell r="F22" t="str">
            <v>S,P,M</v>
          </cell>
          <cell r="G22" t="str">
            <v>B,E</v>
          </cell>
          <cell r="K22" t="str">
            <v>H,I,J,K,L,M,N</v>
          </cell>
          <cell r="Q22" t="str">
            <v>linear</v>
          </cell>
          <cell r="R22">
            <v>1</v>
          </cell>
          <cell r="S22">
            <v>310</v>
          </cell>
          <cell r="T22">
            <v>2.5</v>
          </cell>
          <cell r="U22">
            <v>1.4756097560975614</v>
          </cell>
          <cell r="V22" t="str">
            <v>Indoor Remote Profile , Linear Meter, Alcomet AD, 22006</v>
          </cell>
          <cell r="W22" t="str">
            <v>Alcomet</v>
          </cell>
          <cell r="Y22">
            <v>4.4000000000000004</v>
          </cell>
          <cell r="Z22">
            <v>1.7</v>
          </cell>
          <cell r="AA22">
            <v>1.7</v>
          </cell>
        </row>
        <row r="23">
          <cell r="C23" t="str">
            <v>AP009ALC</v>
          </cell>
          <cell r="D23" t="str">
            <v>Aluminum Profile</v>
          </cell>
          <cell r="E23" t="str">
            <v>BIO,BIS,BIW,BJO,BJS,BJW,BIK</v>
          </cell>
          <cell r="F23" t="str">
            <v>T</v>
          </cell>
          <cell r="G23" t="str">
            <v>S</v>
          </cell>
          <cell r="Q23" t="str">
            <v>linear</v>
          </cell>
          <cell r="R23">
            <v>1</v>
          </cell>
          <cell r="S23">
            <v>310</v>
          </cell>
          <cell r="T23">
            <v>4</v>
          </cell>
          <cell r="U23">
            <v>2.3106707317073174</v>
          </cell>
          <cell r="V23" t="str">
            <v>Indoor Trimless External Profile , Linear Meter, Alcomet AD, 22008</v>
          </cell>
          <cell r="W23" t="str">
            <v>Alcomet</v>
          </cell>
          <cell r="Y23">
            <v>6.89</v>
          </cell>
          <cell r="Z23">
            <v>1.7</v>
          </cell>
          <cell r="AA23">
            <v>1.7</v>
          </cell>
        </row>
        <row r="24">
          <cell r="C24" t="str">
            <v>AP009ALC</v>
          </cell>
          <cell r="D24" t="str">
            <v>Aluminum Profile</v>
          </cell>
          <cell r="E24" t="str">
            <v>BIO,BIS,BIW,BJO,BJS,BJW,BIK</v>
          </cell>
          <cell r="F24" t="str">
            <v>T</v>
          </cell>
          <cell r="G24" t="str">
            <v>M</v>
          </cell>
          <cell r="Q24" t="str">
            <v>linear</v>
          </cell>
          <cell r="R24">
            <v>1</v>
          </cell>
          <cell r="S24">
            <v>310</v>
          </cell>
          <cell r="T24">
            <v>0.5</v>
          </cell>
          <cell r="U24">
            <v>2.3106707317073174</v>
          </cell>
          <cell r="V24" t="str">
            <v>Indoor Trimless External Profile , Linear Meter, Alcomet AD, 22008</v>
          </cell>
          <cell r="W24" t="str">
            <v>Alcomet</v>
          </cell>
          <cell r="Y24">
            <v>6.89</v>
          </cell>
          <cell r="Z24">
            <v>1.7</v>
          </cell>
          <cell r="AA24">
            <v>1.7</v>
          </cell>
        </row>
        <row r="25">
          <cell r="C25" t="str">
            <v>AP009ALC</v>
          </cell>
          <cell r="D25" t="str">
            <v>Aluminum Profile</v>
          </cell>
          <cell r="E25" t="str">
            <v>BIO,BIS,BIW,BJO,BJS,BJW,BIK</v>
          </cell>
          <cell r="F25" t="str">
            <v>T</v>
          </cell>
          <cell r="G25" t="str">
            <v>B,E</v>
          </cell>
          <cell r="Q25" t="str">
            <v>linear</v>
          </cell>
          <cell r="R25">
            <v>1</v>
          </cell>
          <cell r="S25">
            <v>310</v>
          </cell>
          <cell r="T25">
            <v>2.5</v>
          </cell>
          <cell r="U25">
            <v>2.3106707317073174</v>
          </cell>
          <cell r="V25" t="str">
            <v>Indoor Trimless External Profile , Linear Meter, Alcomet AD, 22008</v>
          </cell>
          <cell r="W25" t="str">
            <v>Alcomet</v>
          </cell>
          <cell r="Y25">
            <v>6.89</v>
          </cell>
          <cell r="Z25">
            <v>1.7</v>
          </cell>
          <cell r="AA25">
            <v>1.7</v>
          </cell>
        </row>
        <row r="26">
          <cell r="C26" t="str">
            <v>AP009ALC</v>
          </cell>
          <cell r="D26" t="str">
            <v>Aluminum Profile</v>
          </cell>
          <cell r="E26" t="str">
            <v>BXO,BKO,BXH,BKH</v>
          </cell>
          <cell r="F26" t="str">
            <v>T</v>
          </cell>
          <cell r="G26" t="str">
            <v>S</v>
          </cell>
          <cell r="Q26" t="str">
            <v>linear</v>
          </cell>
          <cell r="R26">
            <v>1</v>
          </cell>
          <cell r="S26">
            <v>310</v>
          </cell>
          <cell r="T26">
            <v>4</v>
          </cell>
          <cell r="U26">
            <v>2.3106707317073174</v>
          </cell>
          <cell r="V26" t="str">
            <v>Indoor Trimless External Profile , Linear Meter, Alcomet AD, 22008</v>
          </cell>
          <cell r="W26" t="str">
            <v>Alcomet</v>
          </cell>
          <cell r="Y26">
            <v>6.89</v>
          </cell>
          <cell r="Z26">
            <v>1.7</v>
          </cell>
          <cell r="AA26">
            <v>1.7</v>
          </cell>
        </row>
        <row r="27">
          <cell r="C27" t="str">
            <v>AP009ALC</v>
          </cell>
          <cell r="D27" t="str">
            <v>Aluminum Profile</v>
          </cell>
          <cell r="E27" t="str">
            <v>BXO,BKO,BXH,BKH</v>
          </cell>
          <cell r="F27" t="str">
            <v>T</v>
          </cell>
          <cell r="G27" t="str">
            <v>B,E</v>
          </cell>
          <cell r="Q27" t="str">
            <v>linear</v>
          </cell>
          <cell r="R27">
            <v>1</v>
          </cell>
          <cell r="S27">
            <v>310</v>
          </cell>
          <cell r="T27">
            <v>2.5</v>
          </cell>
          <cell r="U27">
            <v>2.3106707317073174</v>
          </cell>
          <cell r="V27" t="str">
            <v>Indoor Trimless External Profile , Linear Meter, Alcomet AD, 22008</v>
          </cell>
          <cell r="W27" t="str">
            <v>Alcomet</v>
          </cell>
          <cell r="Y27">
            <v>6.89</v>
          </cell>
          <cell r="Z27">
            <v>1.7</v>
          </cell>
          <cell r="AA27">
            <v>1.7</v>
          </cell>
        </row>
        <row r="28">
          <cell r="C28" t="str">
            <v>AP009ALC</v>
          </cell>
          <cell r="D28" t="str">
            <v>Aluminum Profile</v>
          </cell>
          <cell r="E28" t="str">
            <v>BXO,BKO,BXH,BKH</v>
          </cell>
          <cell r="F28" t="str">
            <v>T</v>
          </cell>
          <cell r="G28" t="str">
            <v>M</v>
          </cell>
          <cell r="Q28" t="str">
            <v>linear</v>
          </cell>
          <cell r="R28">
            <v>1</v>
          </cell>
          <cell r="S28">
            <v>310</v>
          </cell>
          <cell r="T28">
            <v>0.5</v>
          </cell>
          <cell r="U28">
            <v>2.3106707317073174</v>
          </cell>
          <cell r="V28" t="str">
            <v>Indoor Trimless External Profile , Linear Meter, Alcomet AD, 22008</v>
          </cell>
          <cell r="W28" t="str">
            <v>Alcomet</v>
          </cell>
          <cell r="Y28">
            <v>6.89</v>
          </cell>
          <cell r="Z28">
            <v>1.7</v>
          </cell>
          <cell r="AA28">
            <v>1.7</v>
          </cell>
        </row>
        <row r="29">
          <cell r="C29" t="str">
            <v>AP013EMS</v>
          </cell>
          <cell r="D29" t="str">
            <v>Aluminum Profile</v>
          </cell>
          <cell r="E29" t="str">
            <v>BOP</v>
          </cell>
          <cell r="F29" t="str">
            <v>E,F</v>
          </cell>
          <cell r="M29" t="str">
            <v>S,L</v>
          </cell>
          <cell r="Q29" t="str">
            <v>linear</v>
          </cell>
          <cell r="R29">
            <v>1</v>
          </cell>
          <cell r="T29">
            <v>150</v>
          </cell>
          <cell r="U29">
            <v>0.43932926829268304</v>
          </cell>
          <cell r="V29" t="str">
            <v>Indoor/Outdoor Stealth Reflector, Linear Meter, EASTERN METAL SUPPLY OF NC, LLC (EMS), 17090</v>
          </cell>
          <cell r="W29" t="str">
            <v>Alcomet</v>
          </cell>
          <cell r="Y29">
            <v>1.31</v>
          </cell>
          <cell r="Z29">
            <v>1.7</v>
          </cell>
          <cell r="AA29">
            <v>1.7</v>
          </cell>
        </row>
        <row r="30">
          <cell r="C30" t="str">
            <v>AP010EMS</v>
          </cell>
          <cell r="D30" t="str">
            <v>Aluminum Profile</v>
          </cell>
          <cell r="E30" t="str">
            <v>BOP</v>
          </cell>
          <cell r="F30" t="str">
            <v>E,F</v>
          </cell>
          <cell r="M30" t="str">
            <v>S,L</v>
          </cell>
          <cell r="Q30" t="str">
            <v>linear</v>
          </cell>
          <cell r="R30">
            <v>1</v>
          </cell>
          <cell r="T30">
            <v>150</v>
          </cell>
          <cell r="U30">
            <v>0.21128048780487807</v>
          </cell>
          <cell r="V30" t="str">
            <v>Indoor/Outdoor Kick Reflector Profile 1, Linear Meter, EASTERN METAL SUPPLY OF NC, LLC (EMS), 17091</v>
          </cell>
          <cell r="W30" t="str">
            <v>Alcomet</v>
          </cell>
          <cell r="Y30">
            <v>0.63</v>
          </cell>
          <cell r="Z30">
            <v>1.7</v>
          </cell>
          <cell r="AA30">
            <v>1.7</v>
          </cell>
        </row>
        <row r="31">
          <cell r="C31" t="str">
            <v>AP011EMS</v>
          </cell>
          <cell r="D31" t="str">
            <v>Aluminum Profile</v>
          </cell>
          <cell r="E31" t="str">
            <v>BOP</v>
          </cell>
          <cell r="F31" t="str">
            <v>E,F</v>
          </cell>
          <cell r="M31" t="str">
            <v>S,L</v>
          </cell>
          <cell r="Q31" t="str">
            <v>linear</v>
          </cell>
          <cell r="R31">
            <v>1</v>
          </cell>
          <cell r="T31">
            <v>150</v>
          </cell>
          <cell r="U31">
            <v>0.66402439024390247</v>
          </cell>
          <cell r="V31" t="str">
            <v>Indoor/Outdoor Kick Reflector Profile 2, Linear Meter, EASTERN METAL SUPPLY OF NC, LLC (EMS), 17093</v>
          </cell>
          <cell r="W31" t="str">
            <v>Alcomet</v>
          </cell>
          <cell r="Y31">
            <v>1.98</v>
          </cell>
          <cell r="Z31">
            <v>1.7</v>
          </cell>
          <cell r="AA31">
            <v>1.7</v>
          </cell>
        </row>
        <row r="32">
          <cell r="C32" t="str">
            <v>AP013EMS</v>
          </cell>
          <cell r="D32" t="str">
            <v>Aluminum Profile</v>
          </cell>
          <cell r="E32" t="str">
            <v>BIK,BOK</v>
          </cell>
          <cell r="M32" t="str">
            <v>W</v>
          </cell>
          <cell r="Q32" t="str">
            <v>linear</v>
          </cell>
          <cell r="R32">
            <v>1</v>
          </cell>
          <cell r="S32">
            <v>310</v>
          </cell>
          <cell r="U32">
            <v>0.43932926829268304</v>
          </cell>
          <cell r="V32" t="str">
            <v>Indoor/Outdoor Kick Reflector, Linear Meter, EASTERN METAL SUPPLY OF NC, LLC (EMS), 17090</v>
          </cell>
          <cell r="W32" t="str">
            <v>Alcomet</v>
          </cell>
          <cell r="Y32">
            <v>1.31</v>
          </cell>
          <cell r="Z32">
            <v>1.7</v>
          </cell>
          <cell r="AA32">
            <v>1.7</v>
          </cell>
        </row>
        <row r="33">
          <cell r="C33" t="str">
            <v>AP010EMS</v>
          </cell>
          <cell r="D33" t="str">
            <v>Aluminum Profile</v>
          </cell>
          <cell r="E33" t="str">
            <v>BIK,BOK</v>
          </cell>
          <cell r="Q33" t="str">
            <v>linear</v>
          </cell>
          <cell r="R33">
            <v>1</v>
          </cell>
          <cell r="S33">
            <v>310</v>
          </cell>
          <cell r="U33">
            <v>0.21128048780487807</v>
          </cell>
          <cell r="V33" t="str">
            <v>Indoor/Outdoor Kick Reflector Profile 1, Linear Meter, EASTERN METAL SUPPLY OF NC, LLC (EMS), 17091</v>
          </cell>
          <cell r="W33" t="str">
            <v>Alcomet</v>
          </cell>
          <cell r="Y33">
            <v>0.63</v>
          </cell>
          <cell r="Z33">
            <v>1.7</v>
          </cell>
          <cell r="AA33">
            <v>1.7</v>
          </cell>
        </row>
        <row r="34">
          <cell r="C34" t="str">
            <v>AP011EMS</v>
          </cell>
          <cell r="D34" t="str">
            <v>Aluminum Profile</v>
          </cell>
          <cell r="E34" t="str">
            <v>BIK,BOK</v>
          </cell>
          <cell r="Q34" t="str">
            <v>linear</v>
          </cell>
          <cell r="R34">
            <v>1</v>
          </cell>
          <cell r="S34">
            <v>310</v>
          </cell>
          <cell r="U34">
            <v>0.66402439024390247</v>
          </cell>
          <cell r="V34" t="str">
            <v>Indoor/Outdoor Kick Reflector Profile 2, Linear Meter, EASTERN METAL SUPPLY OF NC, LLC (EMS), 17093</v>
          </cell>
          <cell r="W34" t="str">
            <v>Alcomet</v>
          </cell>
          <cell r="Y34">
            <v>1.98</v>
          </cell>
          <cell r="Z34">
            <v>1.7</v>
          </cell>
          <cell r="AA34">
            <v>1.7</v>
          </cell>
        </row>
        <row r="35">
          <cell r="C35" t="str">
            <v>AP000ALC</v>
          </cell>
          <cell r="D35" t="str">
            <v>Aluminum Profile</v>
          </cell>
          <cell r="E35" t="str">
            <v>BOP</v>
          </cell>
          <cell r="F35" t="str">
            <v>E,F</v>
          </cell>
          <cell r="Q35" t="str">
            <v>linear</v>
          </cell>
          <cell r="R35">
            <v>1</v>
          </cell>
          <cell r="T35">
            <v>162.5</v>
          </cell>
          <cell r="U35">
            <v>1.5259146341463414</v>
          </cell>
          <cell r="V35" t="str">
            <v>Outdoor Main Profile, Linear Meter, Alcomet AD, 17011</v>
          </cell>
          <cell r="W35" t="str">
            <v>Alcomet</v>
          </cell>
          <cell r="Y35">
            <v>4.55</v>
          </cell>
          <cell r="Z35">
            <v>1.7</v>
          </cell>
          <cell r="AA35">
            <v>1</v>
          </cell>
        </row>
        <row r="36">
          <cell r="C36" t="str">
            <v>AP000ALC</v>
          </cell>
          <cell r="D36" t="str">
            <v>Aluminum Profile</v>
          </cell>
          <cell r="E36" t="str">
            <v>BOO,BOS,BOW,BOK</v>
          </cell>
          <cell r="Q36" t="str">
            <v>linear</v>
          </cell>
          <cell r="R36">
            <v>1</v>
          </cell>
          <cell r="S36">
            <v>310</v>
          </cell>
          <cell r="T36">
            <v>12.5</v>
          </cell>
          <cell r="U36">
            <v>1.5259146341463414</v>
          </cell>
          <cell r="V36" t="str">
            <v>Outdoor Main Profile, Linear Meter, Alcomet AD, 17011</v>
          </cell>
          <cell r="W36" t="str">
            <v>Alcomet</v>
          </cell>
          <cell r="Y36">
            <v>4.55</v>
          </cell>
          <cell r="Z36">
            <v>1.7</v>
          </cell>
          <cell r="AA36">
            <v>1</v>
          </cell>
        </row>
        <row r="37">
          <cell r="C37" t="str">
            <v>AP000ALC</v>
          </cell>
          <cell r="D37" t="str">
            <v>Aluminum Profile</v>
          </cell>
          <cell r="E37" t="str">
            <v>BHO, BHS</v>
          </cell>
          <cell r="Q37" t="str">
            <v>linear</v>
          </cell>
          <cell r="R37">
            <v>1</v>
          </cell>
          <cell r="S37">
            <v>310</v>
          </cell>
          <cell r="T37">
            <v>12.5</v>
          </cell>
          <cell r="U37">
            <v>1.5259146341463414</v>
          </cell>
          <cell r="V37" t="str">
            <v>Outdoor Main Profile, Linear Meter, Alcomet AD, 17011</v>
          </cell>
          <cell r="W37" t="str">
            <v>Alcomet</v>
          </cell>
          <cell r="Y37">
            <v>4.55</v>
          </cell>
          <cell r="Z37">
            <v>1.7</v>
          </cell>
          <cell r="AA37">
            <v>1</v>
          </cell>
        </row>
        <row r="38">
          <cell r="C38" t="str">
            <v>AP004ALC</v>
          </cell>
          <cell r="D38" t="str">
            <v>Aluminum Profile</v>
          </cell>
          <cell r="E38" t="str">
            <v>BOO, BOS, BOW,BOK</v>
          </cell>
          <cell r="F38" t="str">
            <v>I</v>
          </cell>
          <cell r="Q38" t="str">
            <v>linear</v>
          </cell>
          <cell r="R38">
            <v>1</v>
          </cell>
          <cell r="S38">
            <v>310</v>
          </cell>
          <cell r="T38">
            <v>21</v>
          </cell>
          <cell r="U38">
            <v>2.4649390243902443</v>
          </cell>
          <cell r="V38" t="str">
            <v>Outdoor Housing Profile , Linear Meter, Alcomet AD, 17041</v>
          </cell>
          <cell r="W38" t="str">
            <v>Alcomet</v>
          </cell>
          <cell r="Y38">
            <v>7.35</v>
          </cell>
          <cell r="Z38">
            <v>1.7</v>
          </cell>
          <cell r="AA38">
            <v>1</v>
          </cell>
        </row>
        <row r="39">
          <cell r="C39" t="str">
            <v>AP004ALC</v>
          </cell>
          <cell r="D39" t="str">
            <v>Aluminum Profile</v>
          </cell>
          <cell r="E39" t="str">
            <v>BHO, BHS</v>
          </cell>
          <cell r="F39" t="str">
            <v>I</v>
          </cell>
          <cell r="Q39" t="str">
            <v>linear</v>
          </cell>
          <cell r="R39">
            <v>1</v>
          </cell>
          <cell r="S39">
            <v>310</v>
          </cell>
          <cell r="T39">
            <v>21</v>
          </cell>
          <cell r="U39">
            <v>2.4649390243902443</v>
          </cell>
          <cell r="V39" t="str">
            <v>Outdoor Housing Profile , Linear Meter, Alcomet AD, 17041</v>
          </cell>
          <cell r="W39" t="str">
            <v>Alcomet</v>
          </cell>
          <cell r="Y39">
            <v>7.35</v>
          </cell>
          <cell r="Z39">
            <v>1.7</v>
          </cell>
          <cell r="AA39">
            <v>1</v>
          </cell>
        </row>
        <row r="40">
          <cell r="C40" t="str">
            <v>AP001ALC</v>
          </cell>
          <cell r="D40" t="str">
            <v>Aluminum Profile</v>
          </cell>
          <cell r="E40" t="str">
            <v>BOP</v>
          </cell>
          <cell r="F40" t="str">
            <v>F</v>
          </cell>
          <cell r="Q40" t="str">
            <v>linear</v>
          </cell>
          <cell r="R40">
            <v>2</v>
          </cell>
          <cell r="T40">
            <v>168.8</v>
          </cell>
          <cell r="U40">
            <v>0.22469512195121955</v>
          </cell>
          <cell r="V40" t="str">
            <v>Outdoor Side Clamps , Linear Meter, Alcomet AD, 17012</v>
          </cell>
          <cell r="W40" t="str">
            <v>Alcomet</v>
          </cell>
          <cell r="Y40">
            <v>0.67</v>
          </cell>
          <cell r="Z40">
            <v>1.7</v>
          </cell>
          <cell r="AA40">
            <v>1.7</v>
          </cell>
        </row>
        <row r="41">
          <cell r="C41" t="str">
            <v>AP001ALC</v>
          </cell>
          <cell r="D41" t="str">
            <v>Aluminum Profile</v>
          </cell>
          <cell r="E41" t="str">
            <v>BOO,BOS,BOW,BOK</v>
          </cell>
          <cell r="F41" t="str">
            <v>T,S,P,M,W,I</v>
          </cell>
          <cell r="Q41" t="str">
            <v>linear</v>
          </cell>
          <cell r="R41">
            <v>2</v>
          </cell>
          <cell r="S41">
            <v>310</v>
          </cell>
          <cell r="T41">
            <v>18.8</v>
          </cell>
          <cell r="U41">
            <v>0.22469512195121955</v>
          </cell>
          <cell r="V41" t="str">
            <v>Outdoor Side Clamps , Linear Meter, Alcomet AD, 17012</v>
          </cell>
          <cell r="W41" t="str">
            <v>Alcomet</v>
          </cell>
          <cell r="Y41">
            <v>0.67</v>
          </cell>
          <cell r="Z41">
            <v>1.7</v>
          </cell>
          <cell r="AA41">
            <v>1.7</v>
          </cell>
        </row>
        <row r="42">
          <cell r="C42" t="str">
            <v>AP001ALC</v>
          </cell>
          <cell r="D42" t="str">
            <v>Aluminum Profile</v>
          </cell>
          <cell r="E42" t="str">
            <v>BHO,BHS</v>
          </cell>
          <cell r="F42" t="str">
            <v>T,S,P,M,W,I</v>
          </cell>
          <cell r="Q42" t="str">
            <v>linear</v>
          </cell>
          <cell r="R42">
            <v>2</v>
          </cell>
          <cell r="S42">
            <v>310</v>
          </cell>
          <cell r="T42">
            <v>18.8</v>
          </cell>
          <cell r="U42">
            <v>0.22469512195121955</v>
          </cell>
          <cell r="V42" t="str">
            <v>Outdoor Side Clamps , Linear Meter, Alcomet AD, 17012</v>
          </cell>
          <cell r="W42" t="str">
            <v>Alcomet</v>
          </cell>
          <cell r="Y42">
            <v>0.67</v>
          </cell>
          <cell r="Z42">
            <v>1.7</v>
          </cell>
          <cell r="AA42">
            <v>1.7</v>
          </cell>
        </row>
        <row r="43">
          <cell r="C43" t="str">
            <v>AP003ALC</v>
          </cell>
          <cell r="D43" t="str">
            <v>Aluminum Profile</v>
          </cell>
          <cell r="E43" t="str">
            <v>BHO,BHS,BOO,BOS,BOW,BOK</v>
          </cell>
          <cell r="F43" t="str">
            <v>S,P,W</v>
          </cell>
          <cell r="H43" t="str">
            <v>12,18</v>
          </cell>
          <cell r="Q43" t="str">
            <v>linear</v>
          </cell>
          <cell r="R43">
            <v>1</v>
          </cell>
          <cell r="T43">
            <v>120</v>
          </cell>
          <cell r="U43">
            <v>0.44087999999999999</v>
          </cell>
          <cell r="V43" t="str">
            <v>Outdoor Driver Profile, Linear Meter, Alcomet AD, 17021</v>
          </cell>
          <cell r="W43" t="str">
            <v>Alcomet</v>
          </cell>
          <cell r="Y43">
            <v>3.34</v>
          </cell>
          <cell r="Z43">
            <v>1.7</v>
          </cell>
          <cell r="AA43">
            <v>1</v>
          </cell>
        </row>
        <row r="44">
          <cell r="C44" t="str">
            <v>AP003ALC</v>
          </cell>
          <cell r="D44" t="str">
            <v>Aluminum Profile</v>
          </cell>
          <cell r="E44" t="str">
            <v>BHO,BHS,BOO,BOS,BOW,BOK</v>
          </cell>
          <cell r="F44" t="str">
            <v>R,T,M,I</v>
          </cell>
          <cell r="H44" t="str">
            <v>12,18</v>
          </cell>
          <cell r="Q44" t="str">
            <v>linear</v>
          </cell>
          <cell r="R44">
            <v>1</v>
          </cell>
          <cell r="T44">
            <v>220</v>
          </cell>
          <cell r="U44">
            <v>0.80828</v>
          </cell>
          <cell r="V44" t="str">
            <v>Outdoor Driver Profile, Linear Meter, Alcomet AD, 17021</v>
          </cell>
          <cell r="W44" t="str">
            <v>Alcomet</v>
          </cell>
          <cell r="Y44">
            <v>3.34</v>
          </cell>
          <cell r="Z44">
            <v>1.7</v>
          </cell>
          <cell r="AA44">
            <v>1</v>
          </cell>
        </row>
        <row r="45">
          <cell r="C45" t="str">
            <v>AP003ALC</v>
          </cell>
          <cell r="D45" t="str">
            <v>Aluminum Profile</v>
          </cell>
          <cell r="E45" t="str">
            <v>BHO,BHS,BOO,BOS,BOW,BOK</v>
          </cell>
          <cell r="F45" t="str">
            <v>R,T,S,P,M,W,I</v>
          </cell>
          <cell r="H45" t="str">
            <v>24,30</v>
          </cell>
          <cell r="Q45" t="str">
            <v>linear</v>
          </cell>
          <cell r="R45">
            <v>1</v>
          </cell>
          <cell r="T45">
            <v>380</v>
          </cell>
          <cell r="U45">
            <v>1.39612</v>
          </cell>
          <cell r="V45" t="str">
            <v>Outdoor Driver Profile, Linear Meter, Alcomet AD, 17021</v>
          </cell>
          <cell r="W45" t="str">
            <v>Alcomet</v>
          </cell>
          <cell r="Y45">
            <v>3.34</v>
          </cell>
          <cell r="Z45">
            <v>1.7</v>
          </cell>
          <cell r="AA45">
            <v>1</v>
          </cell>
        </row>
        <row r="46">
          <cell r="C46" t="str">
            <v>AP003ALC</v>
          </cell>
          <cell r="D46" t="str">
            <v>Aluminum Profile</v>
          </cell>
          <cell r="E46" t="str">
            <v>BHO,BHS,BOO,BOS,BOW,BOK</v>
          </cell>
          <cell r="F46" t="str">
            <v>R,T,S,P,M,W,I</v>
          </cell>
          <cell r="H46" t="str">
            <v>36,42,48</v>
          </cell>
          <cell r="Q46" t="str">
            <v>linear</v>
          </cell>
          <cell r="R46">
            <v>1</v>
          </cell>
          <cell r="T46">
            <v>660</v>
          </cell>
          <cell r="U46">
            <v>2.4248400000000001</v>
          </cell>
          <cell r="V46" t="str">
            <v>Outdoor Driver Profile, Linear Meter, Alcomet AD, 17021</v>
          </cell>
          <cell r="W46" t="str">
            <v>Alcomet</v>
          </cell>
          <cell r="Y46">
            <v>3.34</v>
          </cell>
          <cell r="Z46">
            <v>1.7</v>
          </cell>
          <cell r="AA46">
            <v>1</v>
          </cell>
        </row>
        <row r="47">
          <cell r="C47" t="str">
            <v>AP003ALC</v>
          </cell>
          <cell r="D47" t="str">
            <v>Aluminum Profile</v>
          </cell>
          <cell r="E47" t="str">
            <v>BHO,BHS,BOO,BOS,BOW,BOK</v>
          </cell>
          <cell r="F47" t="str">
            <v>R,T,S,P,M,W,I</v>
          </cell>
          <cell r="H47" t="str">
            <v>54,60</v>
          </cell>
          <cell r="Q47" t="str">
            <v>linear</v>
          </cell>
          <cell r="R47">
            <v>1</v>
          </cell>
          <cell r="T47">
            <v>1000</v>
          </cell>
          <cell r="U47">
            <v>3.6740000000000004</v>
          </cell>
          <cell r="V47" t="str">
            <v>Outdoor Driver Profile, Linear Meter, Alcomet AD, 17021</v>
          </cell>
          <cell r="W47" t="str">
            <v>Alcomet</v>
          </cell>
          <cell r="Y47">
            <v>3.34</v>
          </cell>
          <cell r="Z47">
            <v>1.7</v>
          </cell>
          <cell r="AA47">
            <v>1</v>
          </cell>
        </row>
        <row r="48">
          <cell r="C48" t="str">
            <v>AP003ALC</v>
          </cell>
          <cell r="D48" t="str">
            <v>Aluminum Profile</v>
          </cell>
          <cell r="E48" t="str">
            <v>BOP</v>
          </cell>
          <cell r="F48" t="str">
            <v>E,F</v>
          </cell>
          <cell r="Q48" t="str">
            <v>linear</v>
          </cell>
          <cell r="R48">
            <v>1</v>
          </cell>
          <cell r="T48">
            <v>50</v>
          </cell>
          <cell r="U48">
            <v>0.18370000000000003</v>
          </cell>
          <cell r="V48" t="str">
            <v>Outdoor Driver Profile, Linear Meter, Alcomet AD, 17021</v>
          </cell>
          <cell r="W48" t="str">
            <v>Alcomet</v>
          </cell>
          <cell r="Y48">
            <v>3.34</v>
          </cell>
          <cell r="Z48">
            <v>1.7</v>
          </cell>
          <cell r="AA48">
            <v>1</v>
          </cell>
        </row>
        <row r="49">
          <cell r="C49" t="str">
            <v>AP002ALC</v>
          </cell>
          <cell r="D49" t="str">
            <v>Aluminum Profile</v>
          </cell>
          <cell r="E49" t="str">
            <v>BOP</v>
          </cell>
          <cell r="F49" t="str">
            <v>E</v>
          </cell>
          <cell r="Q49" t="str">
            <v>linear</v>
          </cell>
          <cell r="R49">
            <v>2</v>
          </cell>
          <cell r="T49">
            <v>150</v>
          </cell>
          <cell r="U49">
            <v>0.26493902439024397</v>
          </cell>
          <cell r="V49" t="str">
            <v>Outdoor Trim Side Clamps , Linear Meter, Alcomet AD, 17017</v>
          </cell>
          <cell r="W49" t="str">
            <v>Alcomet</v>
          </cell>
          <cell r="Y49">
            <v>0.79</v>
          </cell>
          <cell r="Z49">
            <v>1.7</v>
          </cell>
          <cell r="AA49">
            <v>1.7</v>
          </cell>
        </row>
        <row r="50">
          <cell r="C50" t="str">
            <v>AP002ALC</v>
          </cell>
          <cell r="D50" t="str">
            <v>Aluminum Profile</v>
          </cell>
          <cell r="E50" t="str">
            <v>BOO,BOS,BOW,BOK</v>
          </cell>
          <cell r="F50" t="str">
            <v>R</v>
          </cell>
          <cell r="Q50" t="str">
            <v>linear</v>
          </cell>
          <cell r="R50">
            <v>2</v>
          </cell>
          <cell r="S50">
            <v>310</v>
          </cell>
          <cell r="T50">
            <v>18.8</v>
          </cell>
          <cell r="U50">
            <v>0.26493902439024397</v>
          </cell>
          <cell r="V50" t="str">
            <v>Outdoor Trim Side Clamps , Linear Meter, Alcomet AD, 17017</v>
          </cell>
          <cell r="W50" t="str">
            <v>Alcomet</v>
          </cell>
          <cell r="Y50">
            <v>0.79</v>
          </cell>
          <cell r="Z50">
            <v>1.7</v>
          </cell>
          <cell r="AA50">
            <v>1.7</v>
          </cell>
        </row>
        <row r="51">
          <cell r="C51" t="str">
            <v>AP002ALC</v>
          </cell>
          <cell r="D51" t="str">
            <v>Aluminum Profile</v>
          </cell>
          <cell r="E51" t="str">
            <v>BHO,BHS</v>
          </cell>
          <cell r="F51" t="str">
            <v>R</v>
          </cell>
          <cell r="Q51" t="str">
            <v>linear</v>
          </cell>
          <cell r="R51">
            <v>2</v>
          </cell>
          <cell r="S51">
            <v>310</v>
          </cell>
          <cell r="T51">
            <v>18.8</v>
          </cell>
          <cell r="U51">
            <v>0.26493902439024397</v>
          </cell>
          <cell r="V51" t="str">
            <v>Outdoor Trim Side Clamps , Linear Meter, Alcomet AD, 17017</v>
          </cell>
          <cell r="W51" t="str">
            <v>Alcomet</v>
          </cell>
          <cell r="Y51">
            <v>0.79</v>
          </cell>
          <cell r="Z51">
            <v>1.7</v>
          </cell>
          <cell r="AA51">
            <v>1.7</v>
          </cell>
        </row>
        <row r="53">
          <cell r="D53" t="str">
            <v>PCB</v>
          </cell>
          <cell r="E53" t="str">
            <v>BIS,BIW,BOS,BOW,BJS,BJW</v>
          </cell>
          <cell r="H53" t="str">
            <v>12,18</v>
          </cell>
          <cell r="I53" t="str">
            <v>L,M,H,V</v>
          </cell>
          <cell r="N53">
            <v>8</v>
          </cell>
          <cell r="O53">
            <v>27</v>
          </cell>
          <cell r="Q53" t="str">
            <v>pc</v>
          </cell>
          <cell r="T53">
            <v>1</v>
          </cell>
          <cell r="U53">
            <v>0</v>
          </cell>
          <cell r="V53" t="str">
            <v>12V, High Power PCB, 1 ft, CRI80, 6 LED, 2700k CC</v>
          </cell>
          <cell r="Y53">
            <v>0</v>
          </cell>
          <cell r="Z53">
            <v>1.3</v>
          </cell>
          <cell r="AA53">
            <v>1.41</v>
          </cell>
        </row>
        <row r="54">
          <cell r="D54" t="str">
            <v>PCB</v>
          </cell>
          <cell r="E54" t="str">
            <v>BIS,BIW,BOS,BOW,BJS,BJW</v>
          </cell>
          <cell r="H54" t="str">
            <v>24,30</v>
          </cell>
          <cell r="I54" t="str">
            <v>L,M,H,V</v>
          </cell>
          <cell r="N54">
            <v>8</v>
          </cell>
          <cell r="O54">
            <v>27</v>
          </cell>
          <cell r="Q54" t="str">
            <v>pc</v>
          </cell>
          <cell r="T54">
            <v>2</v>
          </cell>
          <cell r="U54">
            <v>0</v>
          </cell>
          <cell r="V54" t="str">
            <v>12V, High Power PCB, 1 ft, CRI80, 6 LED, 2700k CC</v>
          </cell>
          <cell r="Y54">
            <v>0</v>
          </cell>
          <cell r="Z54">
            <v>1.3</v>
          </cell>
          <cell r="AA54">
            <v>1.41</v>
          </cell>
        </row>
        <row r="55">
          <cell r="D55" t="str">
            <v>PCB</v>
          </cell>
          <cell r="E55" t="str">
            <v>BIS,BIW,BOS,BOW,BJS,BJW</v>
          </cell>
          <cell r="H55" t="str">
            <v>36,42</v>
          </cell>
          <cell r="I55" t="str">
            <v>L,M,H,V</v>
          </cell>
          <cell r="N55">
            <v>8</v>
          </cell>
          <cell r="O55">
            <v>27</v>
          </cell>
          <cell r="Q55" t="str">
            <v>pc</v>
          </cell>
          <cell r="T55">
            <v>3</v>
          </cell>
          <cell r="U55">
            <v>0</v>
          </cell>
          <cell r="V55" t="str">
            <v>12V, High Power PCB, 1 ft, CRI80, 6 LED, 2700k CC</v>
          </cell>
          <cell r="Y55">
            <v>0</v>
          </cell>
          <cell r="Z55">
            <v>1.3</v>
          </cell>
          <cell r="AA55">
            <v>1.41</v>
          </cell>
        </row>
        <row r="56">
          <cell r="D56" t="str">
            <v>PCB</v>
          </cell>
          <cell r="E56" t="str">
            <v>BIS,BIW,BOS,BOW,BJS,BJW</v>
          </cell>
          <cell r="H56" t="str">
            <v>48,54</v>
          </cell>
          <cell r="I56" t="str">
            <v>L,M,H,V</v>
          </cell>
          <cell r="N56">
            <v>8</v>
          </cell>
          <cell r="O56">
            <v>27</v>
          </cell>
          <cell r="Q56" t="str">
            <v>pc</v>
          </cell>
          <cell r="T56">
            <v>4</v>
          </cell>
          <cell r="U56">
            <v>0</v>
          </cell>
          <cell r="V56" t="str">
            <v>12V, High Power PCB, 1 ft, CRI80, 6 LED, 2700k CC</v>
          </cell>
          <cell r="Y56">
            <v>0</v>
          </cell>
          <cell r="Z56">
            <v>1.3</v>
          </cell>
          <cell r="AA56">
            <v>1.41</v>
          </cell>
        </row>
        <row r="57">
          <cell r="D57" t="str">
            <v>PCB</v>
          </cell>
          <cell r="E57" t="str">
            <v>BIS,BIW,BOS,BOW,BJS,BJW</v>
          </cell>
          <cell r="H57">
            <v>60</v>
          </cell>
          <cell r="I57" t="str">
            <v>L,M,H,V</v>
          </cell>
          <cell r="N57">
            <v>8</v>
          </cell>
          <cell r="O57">
            <v>27</v>
          </cell>
          <cell r="Q57" t="str">
            <v>pc</v>
          </cell>
          <cell r="T57">
            <v>5</v>
          </cell>
          <cell r="U57">
            <v>0</v>
          </cell>
          <cell r="V57" t="str">
            <v>12V, High Power PCB, 1 ft, CRI80, 6 LED, 2700k CC</v>
          </cell>
          <cell r="Y57">
            <v>0</v>
          </cell>
          <cell r="Z57">
            <v>1.3</v>
          </cell>
          <cell r="AA57">
            <v>1.41</v>
          </cell>
        </row>
        <row r="58">
          <cell r="D58" t="str">
            <v>PCB</v>
          </cell>
          <cell r="E58" t="str">
            <v>BIS,BIW,BOS,BOW,BJS,BJW</v>
          </cell>
          <cell r="H58" t="str">
            <v>12,18</v>
          </cell>
          <cell r="I58" t="str">
            <v>L,M,H,V</v>
          </cell>
          <cell r="N58">
            <v>8</v>
          </cell>
          <cell r="O58">
            <v>30</v>
          </cell>
          <cell r="Q58" t="str">
            <v>pc</v>
          </cell>
          <cell r="T58">
            <v>1</v>
          </cell>
          <cell r="U58">
            <v>0</v>
          </cell>
          <cell r="V58" t="str">
            <v>12V, High Power PCB, 1 ft, CRI80, 6 LED, 3000k CC</v>
          </cell>
          <cell r="Y58">
            <v>0</v>
          </cell>
          <cell r="Z58">
            <v>1.3</v>
          </cell>
          <cell r="AA58">
            <v>1.41</v>
          </cell>
        </row>
        <row r="59">
          <cell r="D59" t="str">
            <v>PCB</v>
          </cell>
          <cell r="E59" t="str">
            <v>BIS,BIW,BOS,BOW,BJS,BJW</v>
          </cell>
          <cell r="H59" t="str">
            <v>24,30</v>
          </cell>
          <cell r="I59" t="str">
            <v>L,M,H,V</v>
          </cell>
          <cell r="N59">
            <v>8</v>
          </cell>
          <cell r="O59">
            <v>30</v>
          </cell>
          <cell r="Q59" t="str">
            <v>pc</v>
          </cell>
          <cell r="T59">
            <v>2</v>
          </cell>
          <cell r="U59">
            <v>0</v>
          </cell>
          <cell r="V59" t="str">
            <v>12V, High Power PCB, 1 ft, CRI80, 6 LED, 3000k CC</v>
          </cell>
          <cell r="Y59">
            <v>0</v>
          </cell>
          <cell r="Z59">
            <v>1.3</v>
          </cell>
          <cell r="AA59">
            <v>1.41</v>
          </cell>
        </row>
        <row r="60">
          <cell r="D60" t="str">
            <v>PCB</v>
          </cell>
          <cell r="E60" t="str">
            <v>BIS,BIW,BOS,BOW,BJS,BJW</v>
          </cell>
          <cell r="H60" t="str">
            <v>36,42</v>
          </cell>
          <cell r="I60" t="str">
            <v>L,M,H,V</v>
          </cell>
          <cell r="N60">
            <v>8</v>
          </cell>
          <cell r="O60">
            <v>30</v>
          </cell>
          <cell r="Q60" t="str">
            <v>pc</v>
          </cell>
          <cell r="T60">
            <v>3</v>
          </cell>
          <cell r="U60">
            <v>0</v>
          </cell>
          <cell r="V60" t="str">
            <v>12V, High Power PCB, 1 ft, CRI80, 6 LED, 3000k CC</v>
          </cell>
          <cell r="Y60">
            <v>0</v>
          </cell>
          <cell r="Z60">
            <v>1.3</v>
          </cell>
          <cell r="AA60">
            <v>1.41</v>
          </cell>
        </row>
        <row r="61">
          <cell r="D61" t="str">
            <v>PCB</v>
          </cell>
          <cell r="E61" t="str">
            <v>BIS,BIW,BOS,BOW,BJS,BJW</v>
          </cell>
          <cell r="H61" t="str">
            <v>48,54</v>
          </cell>
          <cell r="I61" t="str">
            <v>L,M,H,V</v>
          </cell>
          <cell r="N61">
            <v>8</v>
          </cell>
          <cell r="O61">
            <v>30</v>
          </cell>
          <cell r="Q61" t="str">
            <v>pc</v>
          </cell>
          <cell r="T61">
            <v>4</v>
          </cell>
          <cell r="U61">
            <v>0</v>
          </cell>
          <cell r="V61" t="str">
            <v>12V, High Power PCB, 1 ft, CRI80, 6 LED, 3000k CC</v>
          </cell>
          <cell r="Y61">
            <v>0</v>
          </cell>
          <cell r="Z61">
            <v>1.3</v>
          </cell>
          <cell r="AA61">
            <v>1.41</v>
          </cell>
        </row>
        <row r="62">
          <cell r="D62" t="str">
            <v>PCB</v>
          </cell>
          <cell r="E62" t="str">
            <v>BIS,BIW,BOS,BOW,BJS,BJW</v>
          </cell>
          <cell r="H62">
            <v>60</v>
          </cell>
          <cell r="I62" t="str">
            <v>L,M,H,V</v>
          </cell>
          <cell r="N62">
            <v>8</v>
          </cell>
          <cell r="O62">
            <v>30</v>
          </cell>
          <cell r="Q62" t="str">
            <v>pc</v>
          </cell>
          <cell r="T62">
            <v>5</v>
          </cell>
          <cell r="U62">
            <v>0</v>
          </cell>
          <cell r="V62" t="str">
            <v>12V, High Power PCB, 1 ft, CRI80, 6 LED, 3000k CC</v>
          </cell>
          <cell r="Y62">
            <v>0</v>
          </cell>
          <cell r="Z62">
            <v>1.3</v>
          </cell>
          <cell r="AA62">
            <v>1.41</v>
          </cell>
        </row>
        <row r="63">
          <cell r="D63" t="str">
            <v>PCB</v>
          </cell>
          <cell r="E63" t="str">
            <v>BIS,BIW,BOS,BOW,BJS,BJW</v>
          </cell>
          <cell r="H63" t="str">
            <v>12,18</v>
          </cell>
          <cell r="I63" t="str">
            <v>L,M,H,V</v>
          </cell>
          <cell r="N63">
            <v>8</v>
          </cell>
          <cell r="O63">
            <v>35</v>
          </cell>
          <cell r="Q63" t="str">
            <v>pc</v>
          </cell>
          <cell r="T63">
            <v>1</v>
          </cell>
          <cell r="U63">
            <v>0</v>
          </cell>
          <cell r="V63" t="str">
            <v>12V, High Power PCB, 1 ft, CRI80, 6 LED, 3500k CC</v>
          </cell>
          <cell r="Y63">
            <v>0</v>
          </cell>
          <cell r="Z63">
            <v>1.3</v>
          </cell>
          <cell r="AA63">
            <v>1.41</v>
          </cell>
        </row>
        <row r="64">
          <cell r="D64" t="str">
            <v>PCB</v>
          </cell>
          <cell r="E64" t="str">
            <v>BIS,BIW,BOS,BOW,BJS,BJW</v>
          </cell>
          <cell r="H64" t="str">
            <v>24,30</v>
          </cell>
          <cell r="I64" t="str">
            <v>L,M,H,V</v>
          </cell>
          <cell r="N64">
            <v>8</v>
          </cell>
          <cell r="O64">
            <v>35</v>
          </cell>
          <cell r="Q64" t="str">
            <v>pc</v>
          </cell>
          <cell r="T64">
            <v>2</v>
          </cell>
          <cell r="U64">
            <v>0</v>
          </cell>
          <cell r="V64" t="str">
            <v>12V, High Power PCB, 1 ft, CRI80, 6 LED, 3500k CC</v>
          </cell>
          <cell r="Y64">
            <v>0</v>
          </cell>
          <cell r="Z64">
            <v>1.3</v>
          </cell>
          <cell r="AA64">
            <v>1.41</v>
          </cell>
        </row>
        <row r="65">
          <cell r="D65" t="str">
            <v>PCB</v>
          </cell>
          <cell r="E65" t="str">
            <v>BIS,BIW,BOS,BOW,BJS,BJW</v>
          </cell>
          <cell r="H65" t="str">
            <v>36,42</v>
          </cell>
          <cell r="I65" t="str">
            <v>L,M,H,V</v>
          </cell>
          <cell r="N65">
            <v>8</v>
          </cell>
          <cell r="O65">
            <v>35</v>
          </cell>
          <cell r="Q65" t="str">
            <v>pc</v>
          </cell>
          <cell r="T65">
            <v>3</v>
          </cell>
          <cell r="U65">
            <v>0</v>
          </cell>
          <cell r="V65" t="str">
            <v>12V, High Power PCB, 1 ft, CRI80, 6 LED, 3500k CC</v>
          </cell>
          <cell r="Y65">
            <v>0</v>
          </cell>
          <cell r="Z65">
            <v>1.3</v>
          </cell>
          <cell r="AA65">
            <v>1.41</v>
          </cell>
        </row>
        <row r="66">
          <cell r="D66" t="str">
            <v>PCB</v>
          </cell>
          <cell r="E66" t="str">
            <v>BIS,BIW,BOS,BOW,BJS,BJW</v>
          </cell>
          <cell r="H66" t="str">
            <v>48,54</v>
          </cell>
          <cell r="I66" t="str">
            <v>L,M,H,V</v>
          </cell>
          <cell r="N66">
            <v>8</v>
          </cell>
          <cell r="O66">
            <v>35</v>
          </cell>
          <cell r="Q66" t="str">
            <v>pc</v>
          </cell>
          <cell r="T66">
            <v>4</v>
          </cell>
          <cell r="U66">
            <v>0</v>
          </cell>
          <cell r="V66" t="str">
            <v>12V, High Power PCB, 1 ft, CRI80, 6 LED, 3500k CC</v>
          </cell>
          <cell r="Y66">
            <v>0</v>
          </cell>
          <cell r="Z66">
            <v>1.3</v>
          </cell>
          <cell r="AA66">
            <v>1.41</v>
          </cell>
        </row>
        <row r="67">
          <cell r="D67" t="str">
            <v>PCB</v>
          </cell>
          <cell r="E67" t="str">
            <v>BIS,BIW,BOS,BOW,BJS,BJW</v>
          </cell>
          <cell r="H67">
            <v>60</v>
          </cell>
          <cell r="I67" t="str">
            <v>L,M,H,V</v>
          </cell>
          <cell r="N67">
            <v>8</v>
          </cell>
          <cell r="O67">
            <v>35</v>
          </cell>
          <cell r="Q67" t="str">
            <v>pc</v>
          </cell>
          <cell r="T67">
            <v>5</v>
          </cell>
          <cell r="U67">
            <v>0</v>
          </cell>
          <cell r="V67" t="str">
            <v>12V, High Power PCB, 1 ft, CRI80, 6 LED, 3500k CC</v>
          </cell>
          <cell r="Y67">
            <v>0</v>
          </cell>
          <cell r="Z67">
            <v>1.3</v>
          </cell>
          <cell r="AA67">
            <v>1.41</v>
          </cell>
        </row>
        <row r="68">
          <cell r="D68" t="str">
            <v>PCB</v>
          </cell>
          <cell r="E68" t="str">
            <v>BIS,BIW,BOS,BOW,BJS,BJW</v>
          </cell>
          <cell r="H68" t="str">
            <v>12,18</v>
          </cell>
          <cell r="I68" t="str">
            <v>L,M,H,V</v>
          </cell>
          <cell r="N68">
            <v>8</v>
          </cell>
          <cell r="O68">
            <v>40</v>
          </cell>
          <cell r="Q68" t="str">
            <v>pc</v>
          </cell>
          <cell r="T68">
            <v>1</v>
          </cell>
          <cell r="U68">
            <v>0</v>
          </cell>
          <cell r="V68" t="str">
            <v>12V, High Power PCB, 1 ft, CRI80, 6 LED, 4000k CC</v>
          </cell>
          <cell r="Y68">
            <v>0</v>
          </cell>
          <cell r="Z68">
            <v>1.3</v>
          </cell>
          <cell r="AA68">
            <v>1.41</v>
          </cell>
        </row>
        <row r="69">
          <cell r="D69" t="str">
            <v>PCB</v>
          </cell>
          <cell r="E69" t="str">
            <v>BIS,BIW,BOS,BOW,BJS,BJW</v>
          </cell>
          <cell r="H69" t="str">
            <v>24,30</v>
          </cell>
          <cell r="I69" t="str">
            <v>L,M,H,V</v>
          </cell>
          <cell r="N69">
            <v>8</v>
          </cell>
          <cell r="O69">
            <v>40</v>
          </cell>
          <cell r="Q69" t="str">
            <v>pc</v>
          </cell>
          <cell r="T69">
            <v>2</v>
          </cell>
          <cell r="U69">
            <v>0</v>
          </cell>
          <cell r="V69" t="str">
            <v>12V, High Power PCB, 1 ft, CRI80, 6 LED, 4000k CC</v>
          </cell>
          <cell r="Y69">
            <v>0</v>
          </cell>
          <cell r="Z69">
            <v>1.3</v>
          </cell>
          <cell r="AA69">
            <v>1.41</v>
          </cell>
        </row>
        <row r="70">
          <cell r="D70" t="str">
            <v>PCB</v>
          </cell>
          <cell r="E70" t="str">
            <v>BIS,BIW,BOS,BOW,BJS,BJW</v>
          </cell>
          <cell r="H70" t="str">
            <v>36,42</v>
          </cell>
          <cell r="I70" t="str">
            <v>L,M,H,V</v>
          </cell>
          <cell r="N70">
            <v>8</v>
          </cell>
          <cell r="O70">
            <v>40</v>
          </cell>
          <cell r="Q70" t="str">
            <v>pc</v>
          </cell>
          <cell r="T70">
            <v>3</v>
          </cell>
          <cell r="U70">
            <v>0</v>
          </cell>
          <cell r="V70" t="str">
            <v>12V, High Power PCB, 1 ft, CRI80, 6 LED, 4000k CC</v>
          </cell>
          <cell r="Y70">
            <v>0</v>
          </cell>
          <cell r="Z70">
            <v>1.3</v>
          </cell>
          <cell r="AA70">
            <v>1.41</v>
          </cell>
        </row>
        <row r="71">
          <cell r="D71" t="str">
            <v>PCB</v>
          </cell>
          <cell r="E71" t="str">
            <v>BIS,BIW,BOS,BOW,BJS,BJW</v>
          </cell>
          <cell r="H71" t="str">
            <v>48,54</v>
          </cell>
          <cell r="I71" t="str">
            <v>L,M,H,V</v>
          </cell>
          <cell r="N71">
            <v>8</v>
          </cell>
          <cell r="O71">
            <v>40</v>
          </cell>
          <cell r="Q71" t="str">
            <v>pc</v>
          </cell>
          <cell r="T71">
            <v>4</v>
          </cell>
          <cell r="U71">
            <v>0</v>
          </cell>
          <cell r="V71" t="str">
            <v>12V, High Power PCB, 1 ft, CRI80, 6 LED, 4000k CC</v>
          </cell>
          <cell r="Y71">
            <v>0</v>
          </cell>
          <cell r="Z71">
            <v>1.3</v>
          </cell>
          <cell r="AA71">
            <v>1.41</v>
          </cell>
        </row>
        <row r="72">
          <cell r="D72" t="str">
            <v>PCB</v>
          </cell>
          <cell r="E72" t="str">
            <v>BIS,BIW,BOS,BOW,BJS,BJW</v>
          </cell>
          <cell r="H72">
            <v>60</v>
          </cell>
          <cell r="I72" t="str">
            <v>L,M,H,V</v>
          </cell>
          <cell r="N72">
            <v>8</v>
          </cell>
          <cell r="O72">
            <v>40</v>
          </cell>
          <cell r="Q72" t="str">
            <v>pc</v>
          </cell>
          <cell r="T72">
            <v>5</v>
          </cell>
          <cell r="U72">
            <v>0</v>
          </cell>
          <cell r="V72" t="str">
            <v>12V, High Power PCB, 1 ft, CRI80, 6 LED, 4000k CC</v>
          </cell>
          <cell r="Y72">
            <v>0</v>
          </cell>
          <cell r="Z72">
            <v>1.3</v>
          </cell>
          <cell r="AA72">
            <v>1.41</v>
          </cell>
        </row>
        <row r="73">
          <cell r="C73" t="str">
            <v>PB17000BLD927</v>
          </cell>
          <cell r="D73" t="str">
            <v>PCB</v>
          </cell>
          <cell r="E73" t="str">
            <v>BIS,BIW,BOS,BOW,BJS,BJW</v>
          </cell>
          <cell r="H73" t="str">
            <v>12,18</v>
          </cell>
          <cell r="I73" t="str">
            <v>L,M,H,V</v>
          </cell>
          <cell r="N73">
            <v>9</v>
          </cell>
          <cell r="O73">
            <v>27</v>
          </cell>
          <cell r="Q73" t="str">
            <v>pc</v>
          </cell>
          <cell r="T73">
            <v>1</v>
          </cell>
          <cell r="U73">
            <v>3.6850000000000005</v>
          </cell>
          <cell r="V73" t="str">
            <v>LED Board, High Power, 12V, CRI90, 2700K, 300mm, Aluminium, 6 LED from Lumileds, 5050 Form Factor, Binning: x, Bold Lighting LLC, E17000</v>
          </cell>
          <cell r="Y73">
            <v>3.35</v>
          </cell>
          <cell r="Z73">
            <v>1.3</v>
          </cell>
          <cell r="AA73">
            <v>1.41</v>
          </cell>
        </row>
        <row r="74">
          <cell r="C74" t="str">
            <v>PB17000BLD927</v>
          </cell>
          <cell r="D74" t="str">
            <v>PCB</v>
          </cell>
          <cell r="E74" t="str">
            <v>BIS,BIW,BOS,BOW,BJS,BJW</v>
          </cell>
          <cell r="H74" t="str">
            <v>24,30</v>
          </cell>
          <cell r="I74" t="str">
            <v>L,M,H,V</v>
          </cell>
          <cell r="N74">
            <v>9</v>
          </cell>
          <cell r="O74">
            <v>27</v>
          </cell>
          <cell r="Q74" t="str">
            <v>pc</v>
          </cell>
          <cell r="T74">
            <v>2</v>
          </cell>
          <cell r="U74">
            <v>3.6850000000000005</v>
          </cell>
          <cell r="V74" t="str">
            <v>LED Board, High Power, 12V, CRI90, 2700K, 300mm, Aluminium, 6 LED from Lumileds, 5050 Form Factor, Binning: x, Bold Lighting LLC, E17000</v>
          </cell>
          <cell r="Y74">
            <v>3.35</v>
          </cell>
          <cell r="Z74">
            <v>1.3</v>
          </cell>
          <cell r="AA74">
            <v>1.41</v>
          </cell>
        </row>
        <row r="75">
          <cell r="C75" t="str">
            <v>PB17000BLD927</v>
          </cell>
          <cell r="D75" t="str">
            <v>PCB</v>
          </cell>
          <cell r="E75" t="str">
            <v>BIS,BIW,BOS,BOW,BJS,BJW</v>
          </cell>
          <cell r="H75" t="str">
            <v>36,42</v>
          </cell>
          <cell r="I75" t="str">
            <v>L,M,H,V</v>
          </cell>
          <cell r="N75">
            <v>9</v>
          </cell>
          <cell r="O75">
            <v>27</v>
          </cell>
          <cell r="Q75" t="str">
            <v>pc</v>
          </cell>
          <cell r="T75">
            <v>3</v>
          </cell>
          <cell r="U75">
            <v>3.6850000000000005</v>
          </cell>
          <cell r="V75" t="str">
            <v>LED Board, High Power, 12V, CRI90, 2700K, 300mm, Aluminium, 6 LED from Lumileds, 5050 Form Factor, Binning: x, Bold Lighting LLC, E17000</v>
          </cell>
          <cell r="Y75">
            <v>3.35</v>
          </cell>
          <cell r="Z75">
            <v>1.3</v>
          </cell>
          <cell r="AA75">
            <v>1.41</v>
          </cell>
        </row>
        <row r="76">
          <cell r="C76" t="str">
            <v>PB17000BLD927</v>
          </cell>
          <cell r="D76" t="str">
            <v>PCB</v>
          </cell>
          <cell r="E76" t="str">
            <v>BIS,BIW,BOS,BOW,BJS,BJW</v>
          </cell>
          <cell r="H76" t="str">
            <v>48,54</v>
          </cell>
          <cell r="I76" t="str">
            <v>L,M,H,V</v>
          </cell>
          <cell r="N76">
            <v>9</v>
          </cell>
          <cell r="O76">
            <v>27</v>
          </cell>
          <cell r="Q76" t="str">
            <v>pc</v>
          </cell>
          <cell r="T76">
            <v>4</v>
          </cell>
          <cell r="U76">
            <v>3.6850000000000005</v>
          </cell>
          <cell r="V76" t="str">
            <v>LED Board, High Power, 12V, CRI90, 2700K, 300mm, Aluminium, 6 LED from Lumileds, 5050 Form Factor, Binning: x, Bold Lighting LLC, E17000</v>
          </cell>
          <cell r="Y76">
            <v>3.35</v>
          </cell>
          <cell r="Z76">
            <v>1.3</v>
          </cell>
          <cell r="AA76">
            <v>1.41</v>
          </cell>
        </row>
        <row r="77">
          <cell r="C77" t="str">
            <v>PB17000BLD927</v>
          </cell>
          <cell r="D77" t="str">
            <v>PCB</v>
          </cell>
          <cell r="E77" t="str">
            <v>BIS,BIW,BOS,BOW,BJS,BJW</v>
          </cell>
          <cell r="H77">
            <v>60</v>
          </cell>
          <cell r="I77" t="str">
            <v>L,M,H,V</v>
          </cell>
          <cell r="N77">
            <v>9</v>
          </cell>
          <cell r="O77">
            <v>27</v>
          </cell>
          <cell r="Q77" t="str">
            <v>pc</v>
          </cell>
          <cell r="T77">
            <v>4</v>
          </cell>
          <cell r="U77">
            <v>3.6850000000000005</v>
          </cell>
          <cell r="V77" t="str">
            <v>LED Board, High Power, 12V, CRI90, 2700K, 300mm, Aluminium, 6 LED from Lumileds, 5050 Form Factor, Binning: x, Bold Lighting LLC, E17000</v>
          </cell>
          <cell r="Y77">
            <v>3.35</v>
          </cell>
          <cell r="Z77">
            <v>1.3</v>
          </cell>
          <cell r="AA77">
            <v>1.41</v>
          </cell>
        </row>
        <row r="78">
          <cell r="C78" t="str">
            <v>PB17000BLD930</v>
          </cell>
          <cell r="D78" t="str">
            <v>PCB</v>
          </cell>
          <cell r="E78" t="str">
            <v>BIS,BIW,BOS,BOW,BJS,BJW</v>
          </cell>
          <cell r="H78" t="str">
            <v>12,18</v>
          </cell>
          <cell r="I78" t="str">
            <v>L,M,H,V</v>
          </cell>
          <cell r="N78">
            <v>9</v>
          </cell>
          <cell r="O78">
            <v>30</v>
          </cell>
          <cell r="Q78" t="str">
            <v>pc</v>
          </cell>
          <cell r="T78">
            <v>1</v>
          </cell>
          <cell r="U78">
            <v>3.6850000000000005</v>
          </cell>
          <cell r="V78" t="str">
            <v>LED Board, High Power, 12V, CRI90, 3000K, 300mm, Aluminium, 6 LED from Lumileds, 5050 Form Factor, Binning: x, Bold Lighting LLC, E17000</v>
          </cell>
          <cell r="Y78">
            <v>3.35</v>
          </cell>
          <cell r="Z78">
            <v>1.3</v>
          </cell>
          <cell r="AA78">
            <v>1.41</v>
          </cell>
        </row>
        <row r="79">
          <cell r="C79" t="str">
            <v>PB17000BLD930</v>
          </cell>
          <cell r="D79" t="str">
            <v>PCB</v>
          </cell>
          <cell r="E79" t="str">
            <v>BIS,BIW,BOS,BOW,BJS,BJW</v>
          </cell>
          <cell r="H79" t="str">
            <v>24,30</v>
          </cell>
          <cell r="I79" t="str">
            <v>L,M,H,V</v>
          </cell>
          <cell r="N79">
            <v>9</v>
          </cell>
          <cell r="O79">
            <v>30</v>
          </cell>
          <cell r="Q79" t="str">
            <v>pc</v>
          </cell>
          <cell r="T79">
            <v>2</v>
          </cell>
          <cell r="U79">
            <v>3.6850000000000005</v>
          </cell>
          <cell r="V79" t="str">
            <v>LED Board, High Power, 12V, CRI90, 3000K, 300mm, Aluminium, 6 LED from Lumileds, 5050 Form Factor, Binning: x, Bold Lighting LLC, E17000</v>
          </cell>
          <cell r="Y79">
            <v>3.35</v>
          </cell>
          <cell r="Z79">
            <v>1.3</v>
          </cell>
          <cell r="AA79">
            <v>1.41</v>
          </cell>
        </row>
        <row r="80">
          <cell r="C80" t="str">
            <v>PB17000BLD930</v>
          </cell>
          <cell r="D80" t="str">
            <v>PCB</v>
          </cell>
          <cell r="E80" t="str">
            <v>BIS,BIW,BOS,BOW,BJS,BJW</v>
          </cell>
          <cell r="H80" t="str">
            <v>36,42</v>
          </cell>
          <cell r="I80" t="str">
            <v>L,M,H,V</v>
          </cell>
          <cell r="N80">
            <v>9</v>
          </cell>
          <cell r="O80">
            <v>30</v>
          </cell>
          <cell r="Q80" t="str">
            <v>pc</v>
          </cell>
          <cell r="T80">
            <v>3</v>
          </cell>
          <cell r="U80">
            <v>3.6850000000000005</v>
          </cell>
          <cell r="V80" t="str">
            <v>LED Board, High Power, 12V, CRI90, 3000K, 300mm, Aluminium, 6 LED from Lumileds, 5050 Form Factor, Binning: x, Bold Lighting LLC, E17000</v>
          </cell>
          <cell r="Y80">
            <v>3.35</v>
          </cell>
          <cell r="Z80">
            <v>1.3</v>
          </cell>
          <cell r="AA80">
            <v>1.41</v>
          </cell>
        </row>
        <row r="81">
          <cell r="C81" t="str">
            <v>PB17000BLD930</v>
          </cell>
          <cell r="D81" t="str">
            <v>PCB</v>
          </cell>
          <cell r="E81" t="str">
            <v>BIS,BIW,BOS,BOW,BJS,BJW</v>
          </cell>
          <cell r="H81" t="str">
            <v>48,54</v>
          </cell>
          <cell r="I81" t="str">
            <v>L,M,H,V</v>
          </cell>
          <cell r="N81">
            <v>9</v>
          </cell>
          <cell r="O81">
            <v>30</v>
          </cell>
          <cell r="Q81" t="str">
            <v>pc</v>
          </cell>
          <cell r="T81">
            <v>4</v>
          </cell>
          <cell r="U81">
            <v>3.6850000000000005</v>
          </cell>
          <cell r="V81" t="str">
            <v>LED Board, High Power, 12V, CRI90, 3000K, 300mm, Aluminium, 6 LED from Lumileds, 5050 Form Factor, Binning: x, Bold Lighting LLC, E17000</v>
          </cell>
          <cell r="Y81">
            <v>3.35</v>
          </cell>
          <cell r="Z81">
            <v>1.3</v>
          </cell>
          <cell r="AA81">
            <v>1.41</v>
          </cell>
        </row>
        <row r="82">
          <cell r="C82" t="str">
            <v>PB17000BLD930</v>
          </cell>
          <cell r="D82" t="str">
            <v>PCB</v>
          </cell>
          <cell r="E82" t="str">
            <v>BIS,BIW,BOS,BOW,BJS,BJW</v>
          </cell>
          <cell r="H82">
            <v>60</v>
          </cell>
          <cell r="I82" t="str">
            <v>L,M,H,V</v>
          </cell>
          <cell r="N82">
            <v>9</v>
          </cell>
          <cell r="O82">
            <v>30</v>
          </cell>
          <cell r="Q82" t="str">
            <v>pc</v>
          </cell>
          <cell r="T82">
            <v>4</v>
          </cell>
          <cell r="U82">
            <v>3.6850000000000005</v>
          </cell>
          <cell r="V82" t="str">
            <v>LED Board, High Power, 12V, CRI90, 3000K, 300mm, Aluminium, 6 LED from Lumileds, 5050 Form Factor, Binning: x, Bold Lighting LLC, E17000</v>
          </cell>
          <cell r="Y82">
            <v>3.35</v>
          </cell>
          <cell r="Z82">
            <v>1.3</v>
          </cell>
          <cell r="AA82">
            <v>1.41</v>
          </cell>
        </row>
        <row r="83">
          <cell r="C83" t="str">
            <v>PB17000BLD935</v>
          </cell>
          <cell r="D83" t="str">
            <v>PCB</v>
          </cell>
          <cell r="E83" t="str">
            <v>BIS,BIW,BOS,BOW,BJS,BJW</v>
          </cell>
          <cell r="H83" t="str">
            <v>12,18</v>
          </cell>
          <cell r="I83" t="str">
            <v>L,M,H,V</v>
          </cell>
          <cell r="N83">
            <v>9</v>
          </cell>
          <cell r="O83">
            <v>35</v>
          </cell>
          <cell r="Q83" t="str">
            <v>pc</v>
          </cell>
          <cell r="T83">
            <v>1</v>
          </cell>
          <cell r="U83">
            <v>3.6850000000000005</v>
          </cell>
          <cell r="V83" t="str">
            <v>LED Board, High Power, 12V, CRI90, 3500K, 300mm, Aluminium, 6 LED from Lumileds, 5050 Form Factor, Binning: x, Bold Lighting LLC, E17000</v>
          </cell>
          <cell r="Y83">
            <v>3.35</v>
          </cell>
          <cell r="Z83">
            <v>1.3</v>
          </cell>
          <cell r="AA83">
            <v>1.41</v>
          </cell>
        </row>
        <row r="84">
          <cell r="C84" t="str">
            <v>PB17000BLD935</v>
          </cell>
          <cell r="D84" t="str">
            <v>PCB</v>
          </cell>
          <cell r="E84" t="str">
            <v>BIS,BIW,BOS,BOW,BJS,BJW</v>
          </cell>
          <cell r="H84" t="str">
            <v>24,30</v>
          </cell>
          <cell r="I84" t="str">
            <v>L,M,H,V</v>
          </cell>
          <cell r="N84">
            <v>9</v>
          </cell>
          <cell r="O84">
            <v>35</v>
          </cell>
          <cell r="Q84" t="str">
            <v>pc</v>
          </cell>
          <cell r="T84">
            <v>2</v>
          </cell>
          <cell r="U84">
            <v>3.6850000000000005</v>
          </cell>
          <cell r="V84" t="str">
            <v>LED Board, High Power, 12V, CRI90, 3500K, 300mm, Aluminium, 6 LED from Lumileds, 5050 Form Factor, Binning: x, Bold Lighting LLC, E17000</v>
          </cell>
          <cell r="Y84">
            <v>3.35</v>
          </cell>
          <cell r="Z84">
            <v>1.3</v>
          </cell>
          <cell r="AA84">
            <v>1.41</v>
          </cell>
        </row>
        <row r="85">
          <cell r="C85" t="str">
            <v>PB17000BLD935</v>
          </cell>
          <cell r="D85" t="str">
            <v>PCB</v>
          </cell>
          <cell r="E85" t="str">
            <v>BIS,BIW,BOS,BOW,BJS,BJW</v>
          </cell>
          <cell r="H85" t="str">
            <v>36,42</v>
          </cell>
          <cell r="I85" t="str">
            <v>L,M,H,V</v>
          </cell>
          <cell r="N85">
            <v>9</v>
          </cell>
          <cell r="O85">
            <v>35</v>
          </cell>
          <cell r="Q85" t="str">
            <v>pc</v>
          </cell>
          <cell r="T85">
            <v>3</v>
          </cell>
          <cell r="U85">
            <v>3.6850000000000005</v>
          </cell>
          <cell r="V85" t="str">
            <v>LED Board, High Power, 12V, CRI90, 3500K, 300mm, Aluminium, 6 LED from Lumileds, 5050 Form Factor, Binning: x, Bold Lighting LLC, E17000</v>
          </cell>
          <cell r="Y85">
            <v>3.35</v>
          </cell>
          <cell r="Z85">
            <v>1.3</v>
          </cell>
          <cell r="AA85">
            <v>1.41</v>
          </cell>
        </row>
        <row r="86">
          <cell r="C86" t="str">
            <v>PB17000BLD935</v>
          </cell>
          <cell r="D86" t="str">
            <v>PCB</v>
          </cell>
          <cell r="E86" t="str">
            <v>BIS,BIW,BOS,BOW,BJS,BJW</v>
          </cell>
          <cell r="H86" t="str">
            <v>48,54</v>
          </cell>
          <cell r="I86" t="str">
            <v>L,M,H,V</v>
          </cell>
          <cell r="N86">
            <v>9</v>
          </cell>
          <cell r="O86">
            <v>35</v>
          </cell>
          <cell r="Q86" t="str">
            <v>pc</v>
          </cell>
          <cell r="T86">
            <v>4</v>
          </cell>
          <cell r="U86">
            <v>3.6850000000000005</v>
          </cell>
          <cell r="V86" t="str">
            <v>LED Board, High Power, 12V, CRI90, 3500K, 300mm, Aluminium, 6 LED from Lumileds, 5050 Form Factor, Binning: x, Bold Lighting LLC, E17000</v>
          </cell>
          <cell r="Y86">
            <v>3.35</v>
          </cell>
          <cell r="Z86">
            <v>1.3</v>
          </cell>
          <cell r="AA86">
            <v>1.41</v>
          </cell>
        </row>
        <row r="87">
          <cell r="C87" t="str">
            <v>PB17000BLD935</v>
          </cell>
          <cell r="D87" t="str">
            <v>PCB</v>
          </cell>
          <cell r="E87" t="str">
            <v>BIS,BIW,BOS,BOW,BJS,BJW</v>
          </cell>
          <cell r="H87">
            <v>60</v>
          </cell>
          <cell r="I87" t="str">
            <v>L,M,H,V</v>
          </cell>
          <cell r="N87">
            <v>9</v>
          </cell>
          <cell r="O87">
            <v>35</v>
          </cell>
          <cell r="Q87" t="str">
            <v>pc</v>
          </cell>
          <cell r="T87">
            <v>4</v>
          </cell>
          <cell r="U87">
            <v>3.6850000000000005</v>
          </cell>
          <cell r="V87" t="str">
            <v>LED Board, High Power, 12V, CRI90, 3500K, 300mm, Aluminium, 6 LED from Lumileds, 5050 Form Factor, Binning: x, Bold Lighting LLC, E17000</v>
          </cell>
          <cell r="Y87">
            <v>3.35</v>
          </cell>
          <cell r="Z87">
            <v>1.3</v>
          </cell>
          <cell r="AA87">
            <v>1.41</v>
          </cell>
        </row>
        <row r="88">
          <cell r="C88" t="str">
            <v>PB17000BLD940</v>
          </cell>
          <cell r="D88" t="str">
            <v>PCB</v>
          </cell>
          <cell r="E88" t="str">
            <v>BIS,BIW,BOS,BOW,BJS,BJW</v>
          </cell>
          <cell r="H88" t="str">
            <v>12,18</v>
          </cell>
          <cell r="I88" t="str">
            <v>L,M,H,V</v>
          </cell>
          <cell r="N88">
            <v>9</v>
          </cell>
          <cell r="O88">
            <v>40</v>
          </cell>
          <cell r="Q88" t="str">
            <v>pc</v>
          </cell>
          <cell r="T88">
            <v>1</v>
          </cell>
          <cell r="U88">
            <v>3.6850000000000005</v>
          </cell>
          <cell r="V88" t="str">
            <v>LED Board, High Power, 12V, CRI90, 4000K, 300mm, Aluminium, 6 LED from Lumileds, 5050 Form Factor, Binning: x, Bold Lighting LLC, E17000</v>
          </cell>
          <cell r="Y88">
            <v>3.35</v>
          </cell>
          <cell r="Z88">
            <v>1.3</v>
          </cell>
          <cell r="AA88">
            <v>1.41</v>
          </cell>
        </row>
        <row r="89">
          <cell r="C89" t="str">
            <v>PB17000BLD940</v>
          </cell>
          <cell r="D89" t="str">
            <v>PCB</v>
          </cell>
          <cell r="E89" t="str">
            <v>BIS,BIW,BOS,BOW,BJS,BJW</v>
          </cell>
          <cell r="H89" t="str">
            <v>24,30</v>
          </cell>
          <cell r="I89" t="str">
            <v>L,M,H,V</v>
          </cell>
          <cell r="N89">
            <v>9</v>
          </cell>
          <cell r="O89">
            <v>40</v>
          </cell>
          <cell r="Q89" t="str">
            <v>pc</v>
          </cell>
          <cell r="T89">
            <v>2</v>
          </cell>
          <cell r="U89">
            <v>3.6850000000000005</v>
          </cell>
          <cell r="V89" t="str">
            <v>LED Board, High Power, 12V, CRI90, 4000K, 300mm, Aluminium, 6 LED from Lumileds, 5050 Form Factor, Binning: x, Bold Lighting LLC, E17000</v>
          </cell>
          <cell r="Y89">
            <v>3.35</v>
          </cell>
          <cell r="Z89">
            <v>1.3</v>
          </cell>
          <cell r="AA89">
            <v>1.41</v>
          </cell>
        </row>
        <row r="90">
          <cell r="C90" t="str">
            <v>PB17000BLD940</v>
          </cell>
          <cell r="D90" t="str">
            <v>PCB</v>
          </cell>
          <cell r="E90" t="str">
            <v>BIS,BIW,BOS,BOW,BJS,BJW</v>
          </cell>
          <cell r="H90" t="str">
            <v>36,42</v>
          </cell>
          <cell r="I90" t="str">
            <v>L,M,H,V</v>
          </cell>
          <cell r="N90">
            <v>9</v>
          </cell>
          <cell r="O90">
            <v>40</v>
          </cell>
          <cell r="Q90" t="str">
            <v>pc</v>
          </cell>
          <cell r="T90">
            <v>3</v>
          </cell>
          <cell r="U90">
            <v>3.6850000000000005</v>
          </cell>
          <cell r="V90" t="str">
            <v>LED Board, High Power, 12V, CRI90, 4000K, 300mm, Aluminium, 6 LED from Lumileds, 5050 Form Factor, Binning: x, Bold Lighting LLC, E17000</v>
          </cell>
          <cell r="Y90">
            <v>3.35</v>
          </cell>
          <cell r="Z90">
            <v>1.3</v>
          </cell>
          <cell r="AA90">
            <v>1.41</v>
          </cell>
        </row>
        <row r="91">
          <cell r="C91" t="str">
            <v>PB17000BLD940</v>
          </cell>
          <cell r="D91" t="str">
            <v>PCB</v>
          </cell>
          <cell r="E91" t="str">
            <v>BIS,BIW,BOS,BOW,BJS,BJW</v>
          </cell>
          <cell r="H91" t="str">
            <v>48,54</v>
          </cell>
          <cell r="I91" t="str">
            <v>L,M,H,V</v>
          </cell>
          <cell r="N91">
            <v>9</v>
          </cell>
          <cell r="O91">
            <v>40</v>
          </cell>
          <cell r="Q91" t="str">
            <v>pc</v>
          </cell>
          <cell r="T91">
            <v>4</v>
          </cell>
          <cell r="U91">
            <v>3.6850000000000005</v>
          </cell>
          <cell r="V91" t="str">
            <v>LED Board, High Power, 12V, CRI90, 4000K, 300mm, Aluminium, 6 LED from Lumileds, 5050 Form Factor, Binning: x, Bold Lighting LLC, E17000</v>
          </cell>
          <cell r="Y91">
            <v>3.35</v>
          </cell>
          <cell r="Z91">
            <v>1.3</v>
          </cell>
          <cell r="AA91">
            <v>1.41</v>
          </cell>
        </row>
        <row r="92">
          <cell r="C92" t="str">
            <v>PB17000BLD940</v>
          </cell>
          <cell r="D92" t="str">
            <v>PCB</v>
          </cell>
          <cell r="E92" t="str">
            <v>BIS,BIW,BOS,BOW,BJS,BJW</v>
          </cell>
          <cell r="H92">
            <v>60</v>
          </cell>
          <cell r="I92" t="str">
            <v>L,M,H,V</v>
          </cell>
          <cell r="N92">
            <v>9</v>
          </cell>
          <cell r="O92">
            <v>40</v>
          </cell>
          <cell r="Q92" t="str">
            <v>pc</v>
          </cell>
          <cell r="T92">
            <v>4</v>
          </cell>
          <cell r="U92">
            <v>3.6850000000000005</v>
          </cell>
          <cell r="V92" t="str">
            <v>LED Board, High Power, 12V, CRI90, 4000K, 300mm, Aluminium, 6 LED from Lumileds, 5050 Form Factor, Binning: x, Bold Lighting LLC, E17000</v>
          </cell>
          <cell r="Y92">
            <v>3.35</v>
          </cell>
          <cell r="Z92">
            <v>1.3</v>
          </cell>
          <cell r="AA92">
            <v>1.41</v>
          </cell>
        </row>
        <row r="94">
          <cell r="D94" t="str">
            <v>PCB</v>
          </cell>
          <cell r="E94" t="str">
            <v>BIK,BOK</v>
          </cell>
          <cell r="H94" t="str">
            <v>12,18</v>
          </cell>
          <cell r="I94" t="str">
            <v>L,M,H,V</v>
          </cell>
          <cell r="N94">
            <v>8</v>
          </cell>
          <cell r="O94">
            <v>27</v>
          </cell>
          <cell r="Q94" t="str">
            <v>pc</v>
          </cell>
          <cell r="T94">
            <v>1</v>
          </cell>
          <cell r="U94">
            <v>0</v>
          </cell>
          <cell r="V94" t="str">
            <v>12V, High Power PCB, 1 ft, CRI80, 32 LED, 2700k CC</v>
          </cell>
          <cell r="Y94">
            <v>0</v>
          </cell>
          <cell r="Z94">
            <v>1.3</v>
          </cell>
          <cell r="AA94">
            <v>1.41</v>
          </cell>
        </row>
        <row r="95">
          <cell r="D95" t="str">
            <v>PCB</v>
          </cell>
          <cell r="E95" t="str">
            <v>BIK,BOK</v>
          </cell>
          <cell r="H95" t="str">
            <v>24,30</v>
          </cell>
          <cell r="I95" t="str">
            <v>L,M,H,V</v>
          </cell>
          <cell r="N95">
            <v>8</v>
          </cell>
          <cell r="O95">
            <v>27</v>
          </cell>
          <cell r="Q95" t="str">
            <v>pc</v>
          </cell>
          <cell r="T95">
            <v>2</v>
          </cell>
          <cell r="U95">
            <v>0</v>
          </cell>
          <cell r="V95" t="str">
            <v>12V, High Power PCB, 1 ft, CRI80, 32 LED, 2700k CC</v>
          </cell>
          <cell r="Y95">
            <v>0</v>
          </cell>
          <cell r="Z95">
            <v>1.3</v>
          </cell>
          <cell r="AA95">
            <v>1.41</v>
          </cell>
        </row>
        <row r="96">
          <cell r="D96" t="str">
            <v>PCB</v>
          </cell>
          <cell r="E96" t="str">
            <v>BIK,BOK</v>
          </cell>
          <cell r="H96" t="str">
            <v>36,42</v>
          </cell>
          <cell r="I96" t="str">
            <v>L,M,H,V</v>
          </cell>
          <cell r="N96">
            <v>8</v>
          </cell>
          <cell r="O96">
            <v>27</v>
          </cell>
          <cell r="Q96" t="str">
            <v>pc</v>
          </cell>
          <cell r="T96">
            <v>3</v>
          </cell>
          <cell r="U96">
            <v>0</v>
          </cell>
          <cell r="V96" t="str">
            <v>12V, High Power PCB, 1 ft, CRI80, 32 LED, 2700k CC</v>
          </cell>
          <cell r="Y96">
            <v>0</v>
          </cell>
          <cell r="Z96">
            <v>1.3</v>
          </cell>
          <cell r="AA96">
            <v>1.41</v>
          </cell>
        </row>
        <row r="97">
          <cell r="D97" t="str">
            <v>PCB</v>
          </cell>
          <cell r="E97" t="str">
            <v>BIK,BOK</v>
          </cell>
          <cell r="H97" t="str">
            <v>48,54</v>
          </cell>
          <cell r="I97" t="str">
            <v>L,M,H,V</v>
          </cell>
          <cell r="N97">
            <v>8</v>
          </cell>
          <cell r="O97">
            <v>27</v>
          </cell>
          <cell r="Q97" t="str">
            <v>pc</v>
          </cell>
          <cell r="T97">
            <v>4</v>
          </cell>
          <cell r="U97">
            <v>0</v>
          </cell>
          <cell r="V97" t="str">
            <v>12V, High Power PCB, 1 ft, CRI80, 32 LED, 2700k CC</v>
          </cell>
          <cell r="Y97">
            <v>0</v>
          </cell>
          <cell r="Z97">
            <v>1.3</v>
          </cell>
          <cell r="AA97">
            <v>1.41</v>
          </cell>
        </row>
        <row r="98">
          <cell r="D98" t="str">
            <v>PCB</v>
          </cell>
          <cell r="E98" t="str">
            <v>BIK,BOK</v>
          </cell>
          <cell r="H98">
            <v>60</v>
          </cell>
          <cell r="I98" t="str">
            <v>L,M,H,V</v>
          </cell>
          <cell r="N98">
            <v>8</v>
          </cell>
          <cell r="O98">
            <v>27</v>
          </cell>
          <cell r="Q98" t="str">
            <v>pc</v>
          </cell>
          <cell r="T98">
            <v>5</v>
          </cell>
          <cell r="U98">
            <v>0</v>
          </cell>
          <cell r="V98" t="str">
            <v>12V, High Power PCB, 1 ft, CRI80, 32 LED, 2700k CC</v>
          </cell>
          <cell r="Y98">
            <v>0</v>
          </cell>
          <cell r="Z98">
            <v>1.3</v>
          </cell>
          <cell r="AA98">
            <v>1.41</v>
          </cell>
        </row>
        <row r="99">
          <cell r="D99" t="str">
            <v>PCB</v>
          </cell>
          <cell r="E99" t="str">
            <v>BIK,BOK</v>
          </cell>
          <cell r="H99" t="str">
            <v>12,18</v>
          </cell>
          <cell r="I99" t="str">
            <v>L,M,H,V</v>
          </cell>
          <cell r="N99">
            <v>8</v>
          </cell>
          <cell r="O99">
            <v>30</v>
          </cell>
          <cell r="Q99" t="str">
            <v>pc</v>
          </cell>
          <cell r="T99">
            <v>1</v>
          </cell>
          <cell r="U99">
            <v>0</v>
          </cell>
          <cell r="V99" t="str">
            <v>12V, High Power PCB, 1 ft, CRI80, 32 LED, 3000k CC</v>
          </cell>
          <cell r="Y99">
            <v>0</v>
          </cell>
          <cell r="Z99">
            <v>1.3</v>
          </cell>
          <cell r="AA99">
            <v>1.41</v>
          </cell>
        </row>
        <row r="100">
          <cell r="D100" t="str">
            <v>PCB</v>
          </cell>
          <cell r="E100" t="str">
            <v>BIK,BOK</v>
          </cell>
          <cell r="H100" t="str">
            <v>24,30</v>
          </cell>
          <cell r="I100" t="str">
            <v>L,M,H,V</v>
          </cell>
          <cell r="N100">
            <v>8</v>
          </cell>
          <cell r="O100">
            <v>30</v>
          </cell>
          <cell r="Q100" t="str">
            <v>pc</v>
          </cell>
          <cell r="T100">
            <v>2</v>
          </cell>
          <cell r="U100">
            <v>0</v>
          </cell>
          <cell r="V100" t="str">
            <v>12V, High Power PCB, 1 ft, CRI80, 32 LED, 3000k CC</v>
          </cell>
          <cell r="Y100">
            <v>0</v>
          </cell>
          <cell r="Z100">
            <v>1.3</v>
          </cell>
          <cell r="AA100">
            <v>1.41</v>
          </cell>
        </row>
        <row r="101">
          <cell r="D101" t="str">
            <v>PCB</v>
          </cell>
          <cell r="E101" t="str">
            <v>BIK,BOK</v>
          </cell>
          <cell r="H101" t="str">
            <v>36,42</v>
          </cell>
          <cell r="I101" t="str">
            <v>L,M,H,V</v>
          </cell>
          <cell r="N101">
            <v>8</v>
          </cell>
          <cell r="O101">
            <v>30</v>
          </cell>
          <cell r="Q101" t="str">
            <v>pc</v>
          </cell>
          <cell r="T101">
            <v>3</v>
          </cell>
          <cell r="U101">
            <v>0</v>
          </cell>
          <cell r="V101" t="str">
            <v>12V, High Power PCB, 1 ft, CRI80, 32 LED, 3000k CC</v>
          </cell>
          <cell r="Y101">
            <v>0</v>
          </cell>
          <cell r="Z101">
            <v>1.3</v>
          </cell>
          <cell r="AA101">
            <v>1.41</v>
          </cell>
        </row>
        <row r="102">
          <cell r="D102" t="str">
            <v>PCB</v>
          </cell>
          <cell r="E102" t="str">
            <v>BIK,BOK</v>
          </cell>
          <cell r="H102" t="str">
            <v>48,54</v>
          </cell>
          <cell r="I102" t="str">
            <v>L,M,H,V</v>
          </cell>
          <cell r="N102">
            <v>8</v>
          </cell>
          <cell r="O102">
            <v>30</v>
          </cell>
          <cell r="Q102" t="str">
            <v>pc</v>
          </cell>
          <cell r="T102">
            <v>4</v>
          </cell>
          <cell r="U102">
            <v>0</v>
          </cell>
          <cell r="V102" t="str">
            <v>12V, High Power PCB, 1 ft, CRI80, 32 LED, 3000k CC</v>
          </cell>
          <cell r="Y102">
            <v>0</v>
          </cell>
          <cell r="Z102">
            <v>1.3</v>
          </cell>
          <cell r="AA102">
            <v>1.41</v>
          </cell>
        </row>
        <row r="103">
          <cell r="D103" t="str">
            <v>PCB</v>
          </cell>
          <cell r="E103" t="str">
            <v>BIK,BOK</v>
          </cell>
          <cell r="H103">
            <v>60</v>
          </cell>
          <cell r="I103" t="str">
            <v>L,M,H,V</v>
          </cell>
          <cell r="N103">
            <v>8</v>
          </cell>
          <cell r="O103">
            <v>30</v>
          </cell>
          <cell r="Q103" t="str">
            <v>pc</v>
          </cell>
          <cell r="T103">
            <v>5</v>
          </cell>
          <cell r="U103">
            <v>0</v>
          </cell>
          <cell r="V103" t="str">
            <v>12V, High Power PCB, 1 ft, CRI80, 32 LED, 3000k CC</v>
          </cell>
          <cell r="Y103">
            <v>0</v>
          </cell>
          <cell r="Z103">
            <v>1.3</v>
          </cell>
          <cell r="AA103">
            <v>1.41</v>
          </cell>
        </row>
        <row r="104">
          <cell r="D104" t="str">
            <v>PCB</v>
          </cell>
          <cell r="E104" t="str">
            <v>BIK,BOK</v>
          </cell>
          <cell r="H104" t="str">
            <v>12,18</v>
          </cell>
          <cell r="I104" t="str">
            <v>L,M,H,V</v>
          </cell>
          <cell r="N104">
            <v>8</v>
          </cell>
          <cell r="O104">
            <v>35</v>
          </cell>
          <cell r="Q104" t="str">
            <v>pc</v>
          </cell>
          <cell r="T104">
            <v>1</v>
          </cell>
          <cell r="U104">
            <v>0</v>
          </cell>
          <cell r="V104" t="str">
            <v>12V, High Power PCB, 1 ft, CRI80, 32 LED, 3500k CC</v>
          </cell>
          <cell r="Y104">
            <v>0</v>
          </cell>
          <cell r="Z104">
            <v>1.3</v>
          </cell>
          <cell r="AA104">
            <v>1.41</v>
          </cell>
        </row>
        <row r="105">
          <cell r="D105" t="str">
            <v>PCB</v>
          </cell>
          <cell r="E105" t="str">
            <v>BIK,BOK</v>
          </cell>
          <cell r="H105" t="str">
            <v>24,30</v>
          </cell>
          <cell r="I105" t="str">
            <v>L,M,H,V</v>
          </cell>
          <cell r="N105">
            <v>8</v>
          </cell>
          <cell r="O105">
            <v>35</v>
          </cell>
          <cell r="Q105" t="str">
            <v>pc</v>
          </cell>
          <cell r="T105">
            <v>2</v>
          </cell>
          <cell r="U105">
            <v>0</v>
          </cell>
          <cell r="V105" t="str">
            <v>12V, High Power PCB, 1 ft, CRI80, 32 LED, 3500k CC</v>
          </cell>
          <cell r="Y105">
            <v>0</v>
          </cell>
          <cell r="Z105">
            <v>1.3</v>
          </cell>
          <cell r="AA105">
            <v>1.41</v>
          </cell>
        </row>
        <row r="106">
          <cell r="D106" t="str">
            <v>PCB</v>
          </cell>
          <cell r="E106" t="str">
            <v>BIK,BOK</v>
          </cell>
          <cell r="H106" t="str">
            <v>36,42</v>
          </cell>
          <cell r="I106" t="str">
            <v>L,M,H,V</v>
          </cell>
          <cell r="N106">
            <v>8</v>
          </cell>
          <cell r="O106">
            <v>35</v>
          </cell>
          <cell r="Q106" t="str">
            <v>pc</v>
          </cell>
          <cell r="T106">
            <v>3</v>
          </cell>
          <cell r="U106">
            <v>0</v>
          </cell>
          <cell r="V106" t="str">
            <v>12V, High Power PCB, 1 ft, CRI80, 32 LED, 3500k CC</v>
          </cell>
          <cell r="Y106">
            <v>0</v>
          </cell>
          <cell r="Z106">
            <v>1.3</v>
          </cell>
          <cell r="AA106">
            <v>1.41</v>
          </cell>
        </row>
        <row r="107">
          <cell r="D107" t="str">
            <v>PCB</v>
          </cell>
          <cell r="E107" t="str">
            <v>BIK,BOK</v>
          </cell>
          <cell r="H107" t="str">
            <v>48,54</v>
          </cell>
          <cell r="I107" t="str">
            <v>L,M,H,V</v>
          </cell>
          <cell r="N107">
            <v>8</v>
          </cell>
          <cell r="O107">
            <v>35</v>
          </cell>
          <cell r="Q107" t="str">
            <v>pc</v>
          </cell>
          <cell r="T107">
            <v>4</v>
          </cell>
          <cell r="U107">
            <v>0</v>
          </cell>
          <cell r="V107" t="str">
            <v>12V, High Power PCB, 1 ft, CRI80, 32 LED, 3500k CC</v>
          </cell>
          <cell r="Y107">
            <v>0</v>
          </cell>
          <cell r="Z107">
            <v>1.3</v>
          </cell>
          <cell r="AA107">
            <v>1.41</v>
          </cell>
        </row>
        <row r="108">
          <cell r="D108" t="str">
            <v>PCB</v>
          </cell>
          <cell r="E108" t="str">
            <v>BIK,BOK</v>
          </cell>
          <cell r="H108">
            <v>60</v>
          </cell>
          <cell r="I108" t="str">
            <v>L,M,H,V</v>
          </cell>
          <cell r="N108">
            <v>8</v>
          </cell>
          <cell r="O108">
            <v>35</v>
          </cell>
          <cell r="Q108" t="str">
            <v>pc</v>
          </cell>
          <cell r="T108">
            <v>5</v>
          </cell>
          <cell r="U108">
            <v>0</v>
          </cell>
          <cell r="V108" t="str">
            <v>12V, High Power PCB, 1 ft, CRI80, 32 LED, 3500k CC</v>
          </cell>
          <cell r="Y108">
            <v>0</v>
          </cell>
          <cell r="Z108">
            <v>1.3</v>
          </cell>
          <cell r="AA108">
            <v>1.41</v>
          </cell>
        </row>
        <row r="109">
          <cell r="D109" t="str">
            <v>PCB</v>
          </cell>
          <cell r="E109" t="str">
            <v>BIK,BOK</v>
          </cell>
          <cell r="H109" t="str">
            <v>12,18</v>
          </cell>
          <cell r="I109" t="str">
            <v>L,M,H,V</v>
          </cell>
          <cell r="N109">
            <v>8</v>
          </cell>
          <cell r="O109">
            <v>40</v>
          </cell>
          <cell r="Q109" t="str">
            <v>pc</v>
          </cell>
          <cell r="T109">
            <v>1</v>
          </cell>
          <cell r="U109">
            <v>0</v>
          </cell>
          <cell r="V109" t="str">
            <v>12V, High Power PCB, 1 ft, CRI80, 32 LED, 4000k CC</v>
          </cell>
          <cell r="Y109">
            <v>0</v>
          </cell>
          <cell r="Z109">
            <v>1.3</v>
          </cell>
          <cell r="AA109">
            <v>1.41</v>
          </cell>
        </row>
        <row r="110">
          <cell r="D110" t="str">
            <v>PCB</v>
          </cell>
          <cell r="E110" t="str">
            <v>BIK,BOK</v>
          </cell>
          <cell r="H110" t="str">
            <v>24,30</v>
          </cell>
          <cell r="I110" t="str">
            <v>L,M,H,V</v>
          </cell>
          <cell r="N110">
            <v>8</v>
          </cell>
          <cell r="O110">
            <v>40</v>
          </cell>
          <cell r="Q110" t="str">
            <v>pc</v>
          </cell>
          <cell r="T110">
            <v>2</v>
          </cell>
          <cell r="U110">
            <v>0</v>
          </cell>
          <cell r="V110" t="str">
            <v>12V, High Power PCB, 1 ft, CRI80, 32 LED, 4000k CC</v>
          </cell>
          <cell r="Y110">
            <v>0</v>
          </cell>
          <cell r="Z110">
            <v>1.3</v>
          </cell>
          <cell r="AA110">
            <v>1.41</v>
          </cell>
        </row>
        <row r="111">
          <cell r="D111" t="str">
            <v>PCB</v>
          </cell>
          <cell r="E111" t="str">
            <v>BIK,BOK</v>
          </cell>
          <cell r="H111" t="str">
            <v>36,42</v>
          </cell>
          <cell r="I111" t="str">
            <v>L,M,H,V</v>
          </cell>
          <cell r="N111">
            <v>8</v>
          </cell>
          <cell r="O111">
            <v>40</v>
          </cell>
          <cell r="Q111" t="str">
            <v>pc</v>
          </cell>
          <cell r="T111">
            <v>3</v>
          </cell>
          <cell r="U111">
            <v>0</v>
          </cell>
          <cell r="V111" t="str">
            <v>12V, High Power PCB, 1 ft, CRI80, 32 LED, 4000k CC</v>
          </cell>
          <cell r="Y111">
            <v>0</v>
          </cell>
          <cell r="Z111">
            <v>1.3</v>
          </cell>
          <cell r="AA111">
            <v>1.41</v>
          </cell>
        </row>
        <row r="112">
          <cell r="D112" t="str">
            <v>PCB</v>
          </cell>
          <cell r="E112" t="str">
            <v>BIK,BOK</v>
          </cell>
          <cell r="H112" t="str">
            <v>48,54</v>
          </cell>
          <cell r="I112" t="str">
            <v>L,M,H,V</v>
          </cell>
          <cell r="N112">
            <v>8</v>
          </cell>
          <cell r="O112">
            <v>40</v>
          </cell>
          <cell r="Q112" t="str">
            <v>pc</v>
          </cell>
          <cell r="T112">
            <v>4</v>
          </cell>
          <cell r="U112">
            <v>0</v>
          </cell>
          <cell r="V112" t="str">
            <v>12V, High Power PCB, 1 ft, CRI80, 32 LED, 4000k CC</v>
          </cell>
          <cell r="Y112">
            <v>0</v>
          </cell>
          <cell r="Z112">
            <v>1.3</v>
          </cell>
          <cell r="AA112">
            <v>1.41</v>
          </cell>
        </row>
        <row r="113">
          <cell r="D113" t="str">
            <v>PCB</v>
          </cell>
          <cell r="E113" t="str">
            <v>BIK,BOK</v>
          </cell>
          <cell r="H113">
            <v>60</v>
          </cell>
          <cell r="I113" t="str">
            <v>L,M,H,V</v>
          </cell>
          <cell r="N113">
            <v>8</v>
          </cell>
          <cell r="O113">
            <v>40</v>
          </cell>
          <cell r="Q113" t="str">
            <v>pc</v>
          </cell>
          <cell r="T113">
            <v>5</v>
          </cell>
          <cell r="U113">
            <v>0</v>
          </cell>
          <cell r="V113" t="str">
            <v>12V, High Power PCB, 1 ft, CRI80, 32 LED, 4000k CC</v>
          </cell>
          <cell r="Y113">
            <v>0</v>
          </cell>
          <cell r="Z113">
            <v>1.3</v>
          </cell>
          <cell r="AA113">
            <v>1.41</v>
          </cell>
        </row>
        <row r="114">
          <cell r="C114" t="str">
            <v>PB17210BLD927</v>
          </cell>
          <cell r="D114" t="str">
            <v>PCB</v>
          </cell>
          <cell r="E114" t="str">
            <v>BIK,BOK</v>
          </cell>
          <cell r="H114" t="str">
            <v>12,18</v>
          </cell>
          <cell r="I114" t="str">
            <v>L,M,H,V</v>
          </cell>
          <cell r="N114">
            <v>9</v>
          </cell>
          <cell r="O114">
            <v>27</v>
          </cell>
          <cell r="Q114" t="str">
            <v>pc</v>
          </cell>
          <cell r="T114">
            <v>1</v>
          </cell>
          <cell r="U114">
            <v>2.9700000000000006</v>
          </cell>
          <cell r="V114" t="str">
            <v>LED Board, High Power, 12V, CRI90, 2700K, 300mm, Aluminium, 32 LED from Cree, 2835 Form Factor, Binning: x, Bold Lighting LLC, E17210</v>
          </cell>
          <cell r="Y114">
            <v>2.7</v>
          </cell>
          <cell r="Z114">
            <v>1.3</v>
          </cell>
          <cell r="AA114">
            <v>1.41</v>
          </cell>
        </row>
        <row r="115">
          <cell r="C115" t="str">
            <v>PB17210BLD927</v>
          </cell>
          <cell r="D115" t="str">
            <v>PCB</v>
          </cell>
          <cell r="E115" t="str">
            <v>BIK,BOK</v>
          </cell>
          <cell r="H115" t="str">
            <v>24,30</v>
          </cell>
          <cell r="I115" t="str">
            <v>L,M,H,V</v>
          </cell>
          <cell r="N115">
            <v>9</v>
          </cell>
          <cell r="O115">
            <v>27</v>
          </cell>
          <cell r="Q115" t="str">
            <v>pc</v>
          </cell>
          <cell r="T115">
            <v>2</v>
          </cell>
          <cell r="U115">
            <v>2.9700000000000006</v>
          </cell>
          <cell r="V115" t="str">
            <v>LED Board, High Power, 12V, CRI90, 2700K, 300mm, Aluminium, 32 LED from Cree, 2835 Form Factor, Binning: x, Bold Lighting LLC, E17210</v>
          </cell>
          <cell r="Y115">
            <v>2.7</v>
          </cell>
          <cell r="Z115">
            <v>1.3</v>
          </cell>
          <cell r="AA115">
            <v>1.41</v>
          </cell>
        </row>
        <row r="116">
          <cell r="C116" t="str">
            <v>PB17210BLD927</v>
          </cell>
          <cell r="D116" t="str">
            <v>PCB</v>
          </cell>
          <cell r="E116" t="str">
            <v>BIK,BOK</v>
          </cell>
          <cell r="H116" t="str">
            <v>36,42</v>
          </cell>
          <cell r="I116" t="str">
            <v>L,M,H,V</v>
          </cell>
          <cell r="N116">
            <v>9</v>
          </cell>
          <cell r="O116">
            <v>27</v>
          </cell>
          <cell r="Q116" t="str">
            <v>pc</v>
          </cell>
          <cell r="T116">
            <v>3</v>
          </cell>
          <cell r="U116">
            <v>2.9700000000000006</v>
          </cell>
          <cell r="V116" t="str">
            <v>LED Board, High Power, 12V, CRI90, 2700K, 300mm, Aluminium, 32 LED from Cree, 2835 Form Factor, Binning: x, Bold Lighting LLC, E17210</v>
          </cell>
          <cell r="Y116">
            <v>2.7</v>
          </cell>
          <cell r="Z116">
            <v>1.3</v>
          </cell>
          <cell r="AA116">
            <v>1.41</v>
          </cell>
        </row>
        <row r="117">
          <cell r="C117" t="str">
            <v>PB17210BLD927</v>
          </cell>
          <cell r="D117" t="str">
            <v>PCB</v>
          </cell>
          <cell r="E117" t="str">
            <v>BIK,BOK</v>
          </cell>
          <cell r="H117" t="str">
            <v>48,54</v>
          </cell>
          <cell r="I117" t="str">
            <v>L,M,H,V</v>
          </cell>
          <cell r="N117">
            <v>9</v>
          </cell>
          <cell r="O117">
            <v>27</v>
          </cell>
          <cell r="Q117" t="str">
            <v>pc</v>
          </cell>
          <cell r="T117">
            <v>4</v>
          </cell>
          <cell r="U117">
            <v>2.9700000000000006</v>
          </cell>
          <cell r="V117" t="str">
            <v>LED Board, High Power, 12V, CRI90, 2700K, 300mm, Aluminium, 32 LED from Cree, 2835 Form Factor, Binning: x, Bold Lighting LLC, E17210</v>
          </cell>
          <cell r="Y117">
            <v>2.7</v>
          </cell>
          <cell r="Z117">
            <v>1.3</v>
          </cell>
          <cell r="AA117">
            <v>1.41</v>
          </cell>
        </row>
        <row r="118">
          <cell r="C118" t="str">
            <v>PB17210BLD927</v>
          </cell>
          <cell r="D118" t="str">
            <v>PCB</v>
          </cell>
          <cell r="E118" t="str">
            <v>BIK,BOK</v>
          </cell>
          <cell r="H118">
            <v>60</v>
          </cell>
          <cell r="I118" t="str">
            <v>L,M,H,V</v>
          </cell>
          <cell r="N118">
            <v>9</v>
          </cell>
          <cell r="O118">
            <v>27</v>
          </cell>
          <cell r="Q118" t="str">
            <v>pc</v>
          </cell>
          <cell r="T118">
            <v>4</v>
          </cell>
          <cell r="U118">
            <v>2.9700000000000006</v>
          </cell>
          <cell r="V118" t="str">
            <v>LED Board, High Power, 12V, CRI90, 2700K, 300mm, Aluminium, 32 LED from Cree, 2835 Form Factor, Binning: x, Bold Lighting LLC, E17210</v>
          </cell>
          <cell r="Y118">
            <v>2.7</v>
          </cell>
          <cell r="Z118">
            <v>1.3</v>
          </cell>
          <cell r="AA118">
            <v>1.41</v>
          </cell>
        </row>
        <row r="119">
          <cell r="C119" t="str">
            <v>PB17210BLD930</v>
          </cell>
          <cell r="D119" t="str">
            <v>PCB</v>
          </cell>
          <cell r="E119" t="str">
            <v>BIK,BOK</v>
          </cell>
          <cell r="H119" t="str">
            <v>12,18</v>
          </cell>
          <cell r="I119" t="str">
            <v>L,M,H,V</v>
          </cell>
          <cell r="N119">
            <v>9</v>
          </cell>
          <cell r="O119">
            <v>30</v>
          </cell>
          <cell r="Q119" t="str">
            <v>pc</v>
          </cell>
          <cell r="T119">
            <v>1</v>
          </cell>
          <cell r="U119">
            <v>2.9700000000000006</v>
          </cell>
          <cell r="V119" t="str">
            <v>LED Board, High Power, 12V, CRI90, 3000K, 300mm, Aluminium, 32 LED from Cree, 2835 Form Factor, Binning: x, Bold Lighting LLC, E17210</v>
          </cell>
          <cell r="Y119">
            <v>2.7</v>
          </cell>
          <cell r="Z119">
            <v>1.3</v>
          </cell>
          <cell r="AA119">
            <v>1.41</v>
          </cell>
        </row>
        <row r="120">
          <cell r="C120" t="str">
            <v>PB17210BLD930</v>
          </cell>
          <cell r="D120" t="str">
            <v>PCB</v>
          </cell>
          <cell r="E120" t="str">
            <v>BIK,BOK</v>
          </cell>
          <cell r="H120" t="str">
            <v>24,30</v>
          </cell>
          <cell r="I120" t="str">
            <v>L,M,H,V</v>
          </cell>
          <cell r="N120">
            <v>9</v>
          </cell>
          <cell r="O120">
            <v>30</v>
          </cell>
          <cell r="Q120" t="str">
            <v>pc</v>
          </cell>
          <cell r="T120">
            <v>2</v>
          </cell>
          <cell r="U120">
            <v>2.9700000000000006</v>
          </cell>
          <cell r="V120" t="str">
            <v>LED Board, High Power, 12V, CRI90, 3000K, 300mm, Aluminium, 32 LED from Cree, 2835 Form Factor, Binning: x, Bold Lighting LLC, E17210</v>
          </cell>
          <cell r="Y120">
            <v>2.7</v>
          </cell>
          <cell r="Z120">
            <v>1.3</v>
          </cell>
          <cell r="AA120">
            <v>1.41</v>
          </cell>
        </row>
        <row r="121">
          <cell r="C121" t="str">
            <v>PB17210BLD930</v>
          </cell>
          <cell r="D121" t="str">
            <v>PCB</v>
          </cell>
          <cell r="E121" t="str">
            <v>BIK,BOK</v>
          </cell>
          <cell r="H121" t="str">
            <v>36,42</v>
          </cell>
          <cell r="I121" t="str">
            <v>L,M,H,V</v>
          </cell>
          <cell r="N121">
            <v>9</v>
          </cell>
          <cell r="O121">
            <v>30</v>
          </cell>
          <cell r="Q121" t="str">
            <v>pc</v>
          </cell>
          <cell r="T121">
            <v>3</v>
          </cell>
          <cell r="U121">
            <v>2.9700000000000006</v>
          </cell>
          <cell r="V121" t="str">
            <v>LED Board, High Power, 12V, CRI90, 3000K, 300mm, Aluminium, 32 LED from Cree, 2835 Form Factor, Binning: x, Bold Lighting LLC, E17210</v>
          </cell>
          <cell r="Y121">
            <v>2.7</v>
          </cell>
          <cell r="Z121">
            <v>1.3</v>
          </cell>
          <cell r="AA121">
            <v>1.41</v>
          </cell>
        </row>
        <row r="122">
          <cell r="C122" t="str">
            <v>PB17210BLD930</v>
          </cell>
          <cell r="D122" t="str">
            <v>PCB</v>
          </cell>
          <cell r="E122" t="str">
            <v>BIK,BOK</v>
          </cell>
          <cell r="H122" t="str">
            <v>48,54</v>
          </cell>
          <cell r="I122" t="str">
            <v>L,M,H,V</v>
          </cell>
          <cell r="N122">
            <v>9</v>
          </cell>
          <cell r="O122">
            <v>30</v>
          </cell>
          <cell r="Q122" t="str">
            <v>pc</v>
          </cell>
          <cell r="T122">
            <v>4</v>
          </cell>
          <cell r="U122">
            <v>2.9700000000000006</v>
          </cell>
          <cell r="V122" t="str">
            <v>LED Board, High Power, 12V, CRI90, 3000K, 300mm, Aluminium, 32 LED from Cree, 2835 Form Factor, Binning: x, Bold Lighting LLC, E17210</v>
          </cell>
          <cell r="Y122">
            <v>2.7</v>
          </cell>
          <cell r="Z122">
            <v>1.3</v>
          </cell>
          <cell r="AA122">
            <v>1.41</v>
          </cell>
        </row>
        <row r="123">
          <cell r="C123" t="str">
            <v>PB17210BLD930</v>
          </cell>
          <cell r="D123" t="str">
            <v>PCB</v>
          </cell>
          <cell r="E123" t="str">
            <v>BIK,BOK</v>
          </cell>
          <cell r="H123">
            <v>60</v>
          </cell>
          <cell r="I123" t="str">
            <v>L,M,H,V</v>
          </cell>
          <cell r="N123">
            <v>9</v>
          </cell>
          <cell r="O123">
            <v>30</v>
          </cell>
          <cell r="Q123" t="str">
            <v>pc</v>
          </cell>
          <cell r="T123">
            <v>4</v>
          </cell>
          <cell r="U123">
            <v>2.9700000000000006</v>
          </cell>
          <cell r="V123" t="str">
            <v>LED Board, High Power, 12V, CRI90, 3000K, 300mm, Aluminium, 32 LED from Cree, 2835 Form Factor, Binning: x, Bold Lighting LLC, E17210</v>
          </cell>
          <cell r="Y123">
            <v>2.7</v>
          </cell>
          <cell r="Z123">
            <v>1.3</v>
          </cell>
          <cell r="AA123">
            <v>1.41</v>
          </cell>
        </row>
        <row r="124">
          <cell r="C124" t="str">
            <v>PB17210BLD935</v>
          </cell>
          <cell r="D124" t="str">
            <v>PCB</v>
          </cell>
          <cell r="E124" t="str">
            <v>BIK,BOK</v>
          </cell>
          <cell r="H124" t="str">
            <v>12,18</v>
          </cell>
          <cell r="I124" t="str">
            <v>L,M,H,V</v>
          </cell>
          <cell r="N124">
            <v>9</v>
          </cell>
          <cell r="O124">
            <v>35</v>
          </cell>
          <cell r="Q124" t="str">
            <v>pc</v>
          </cell>
          <cell r="T124">
            <v>1</v>
          </cell>
          <cell r="U124">
            <v>2.9700000000000006</v>
          </cell>
          <cell r="V124" t="str">
            <v>LED Board, High Power, 12V, CRI90, 3500K, 300mm, Aluminium, 32 LED from Cree, 2835 Form Factor, Binning: x, Bold Lighting LLC, E17210</v>
          </cell>
          <cell r="Y124">
            <v>2.7</v>
          </cell>
          <cell r="Z124">
            <v>1.3</v>
          </cell>
          <cell r="AA124">
            <v>1.41</v>
          </cell>
        </row>
        <row r="125">
          <cell r="C125" t="str">
            <v>PB17210BLD935</v>
          </cell>
          <cell r="D125" t="str">
            <v>PCB</v>
          </cell>
          <cell r="E125" t="str">
            <v>BIK,BOK</v>
          </cell>
          <cell r="H125" t="str">
            <v>24,30</v>
          </cell>
          <cell r="I125" t="str">
            <v>L,M,H,V</v>
          </cell>
          <cell r="N125">
            <v>9</v>
          </cell>
          <cell r="O125">
            <v>35</v>
          </cell>
          <cell r="Q125" t="str">
            <v>pc</v>
          </cell>
          <cell r="T125">
            <v>2</v>
          </cell>
          <cell r="U125">
            <v>2.9700000000000006</v>
          </cell>
          <cell r="V125" t="str">
            <v>LED Board, High Power, 12V, CRI90, 3500K, 300mm, Aluminium, 32 LED from Cree, 2835 Form Factor, Binning: x, Bold Lighting LLC, E17210</v>
          </cell>
          <cell r="Y125">
            <v>2.7</v>
          </cell>
          <cell r="Z125">
            <v>1.3</v>
          </cell>
          <cell r="AA125">
            <v>1.41</v>
          </cell>
        </row>
        <row r="126">
          <cell r="C126" t="str">
            <v>PB17210BLD935</v>
          </cell>
          <cell r="D126" t="str">
            <v>PCB</v>
          </cell>
          <cell r="E126" t="str">
            <v>BIK,BOK</v>
          </cell>
          <cell r="H126" t="str">
            <v>36,42</v>
          </cell>
          <cell r="I126" t="str">
            <v>L,M,H,V</v>
          </cell>
          <cell r="N126">
            <v>9</v>
          </cell>
          <cell r="O126">
            <v>35</v>
          </cell>
          <cell r="Q126" t="str">
            <v>pc</v>
          </cell>
          <cell r="T126">
            <v>3</v>
          </cell>
          <cell r="U126">
            <v>2.9700000000000006</v>
          </cell>
          <cell r="V126" t="str">
            <v>LED Board, High Power, 12V, CRI90, 3500K, 300mm, Aluminium, 32 LED from Cree, 2835 Form Factor, Binning: x, Bold Lighting LLC, E17210</v>
          </cell>
          <cell r="Y126">
            <v>2.7</v>
          </cell>
          <cell r="Z126">
            <v>1.3</v>
          </cell>
          <cell r="AA126">
            <v>1.41</v>
          </cell>
        </row>
        <row r="127">
          <cell r="C127" t="str">
            <v>PB17210BLD935</v>
          </cell>
          <cell r="D127" t="str">
            <v>PCB</v>
          </cell>
          <cell r="E127" t="str">
            <v>BIK,BOK</v>
          </cell>
          <cell r="H127" t="str">
            <v>48,54</v>
          </cell>
          <cell r="I127" t="str">
            <v>L,M,H,V</v>
          </cell>
          <cell r="N127">
            <v>9</v>
          </cell>
          <cell r="O127">
            <v>35</v>
          </cell>
          <cell r="Q127" t="str">
            <v>pc</v>
          </cell>
          <cell r="T127">
            <v>4</v>
          </cell>
          <cell r="U127">
            <v>2.9700000000000006</v>
          </cell>
          <cell r="V127" t="str">
            <v>LED Board, High Power, 12V, CRI90, 3500K, 300mm, Aluminium, 32 LED from Cree, 2835 Form Factor, Binning: x, Bold Lighting LLC, E17210</v>
          </cell>
          <cell r="Y127">
            <v>2.7</v>
          </cell>
          <cell r="Z127">
            <v>1.3</v>
          </cell>
          <cell r="AA127">
            <v>1.41</v>
          </cell>
        </row>
        <row r="128">
          <cell r="C128" t="str">
            <v>PB17210BLD935</v>
          </cell>
          <cell r="D128" t="str">
            <v>PCB</v>
          </cell>
          <cell r="E128" t="str">
            <v>BIK,BOK</v>
          </cell>
          <cell r="H128">
            <v>60</v>
          </cell>
          <cell r="I128" t="str">
            <v>L,M,H,V</v>
          </cell>
          <cell r="N128">
            <v>9</v>
          </cell>
          <cell r="O128">
            <v>35</v>
          </cell>
          <cell r="Q128" t="str">
            <v>pc</v>
          </cell>
          <cell r="T128">
            <v>4</v>
          </cell>
          <cell r="U128">
            <v>2.9700000000000006</v>
          </cell>
          <cell r="V128" t="str">
            <v>LED Board, High Power, 12V, CRI90, 3500K, 300mm, Aluminium, 32 LED from Cree, 2835 Form Factor, Binning: x, Bold Lighting LLC, E17210</v>
          </cell>
          <cell r="Y128">
            <v>2.7</v>
          </cell>
          <cell r="Z128">
            <v>1.3</v>
          </cell>
          <cell r="AA128">
            <v>1.41</v>
          </cell>
        </row>
        <row r="129">
          <cell r="C129" t="str">
            <v>PB17210BLD940</v>
          </cell>
          <cell r="D129" t="str">
            <v>PCB</v>
          </cell>
          <cell r="E129" t="str">
            <v>BIK,BOK</v>
          </cell>
          <cell r="H129" t="str">
            <v>12,18</v>
          </cell>
          <cell r="I129" t="str">
            <v>L,M,H,V</v>
          </cell>
          <cell r="N129">
            <v>9</v>
          </cell>
          <cell r="O129">
            <v>40</v>
          </cell>
          <cell r="Q129" t="str">
            <v>pc</v>
          </cell>
          <cell r="T129">
            <v>1</v>
          </cell>
          <cell r="U129">
            <v>2.9700000000000006</v>
          </cell>
          <cell r="V129" t="str">
            <v>LED Board, High Power, 12V, CRI90, 4000K, 300mm, Aluminium, 32 LED from Cree, 2835 Form Factor, Binning: x, Bold Lighting LLC, E17210</v>
          </cell>
          <cell r="Y129">
            <v>2.7</v>
          </cell>
          <cell r="Z129">
            <v>1.3</v>
          </cell>
          <cell r="AA129">
            <v>1.41</v>
          </cell>
        </row>
        <row r="130">
          <cell r="C130" t="str">
            <v>PB17210BLD940</v>
          </cell>
          <cell r="D130" t="str">
            <v>PCB</v>
          </cell>
          <cell r="E130" t="str">
            <v>BIK,BOK</v>
          </cell>
          <cell r="H130" t="str">
            <v>24,30</v>
          </cell>
          <cell r="I130" t="str">
            <v>L,M,H,V</v>
          </cell>
          <cell r="N130">
            <v>9</v>
          </cell>
          <cell r="O130">
            <v>40</v>
          </cell>
          <cell r="Q130" t="str">
            <v>pc</v>
          </cell>
          <cell r="T130">
            <v>2</v>
          </cell>
          <cell r="U130">
            <v>2.9700000000000006</v>
          </cell>
          <cell r="V130" t="str">
            <v>LED Board, High Power, 12V, CRI90, 4000K, 300mm, Aluminium, 32 LED from Cree, 2835 Form Factor, Binning: x, Bold Lighting LLC, E17210</v>
          </cell>
          <cell r="Y130">
            <v>2.7</v>
          </cell>
          <cell r="Z130">
            <v>1.3</v>
          </cell>
          <cell r="AA130">
            <v>1.41</v>
          </cell>
        </row>
        <row r="131">
          <cell r="C131" t="str">
            <v>PB17210BLD940</v>
          </cell>
          <cell r="D131" t="str">
            <v>PCB</v>
          </cell>
          <cell r="E131" t="str">
            <v>BIK,BOK</v>
          </cell>
          <cell r="H131" t="str">
            <v>36,42</v>
          </cell>
          <cell r="I131" t="str">
            <v>L,M,H,V</v>
          </cell>
          <cell r="N131">
            <v>9</v>
          </cell>
          <cell r="O131">
            <v>40</v>
          </cell>
          <cell r="Q131" t="str">
            <v>pc</v>
          </cell>
          <cell r="T131">
            <v>3</v>
          </cell>
          <cell r="U131">
            <v>2.9700000000000006</v>
          </cell>
          <cell r="V131" t="str">
            <v>LED Board, High Power, 12V, CRI90, 4000K, 300mm, Aluminium, 32 LED from Cree, 2835 Form Factor, Binning: x, Bold Lighting LLC, E17210</v>
          </cell>
          <cell r="Y131">
            <v>2.7</v>
          </cell>
          <cell r="Z131">
            <v>1.3</v>
          </cell>
          <cell r="AA131">
            <v>1.41</v>
          </cell>
        </row>
        <row r="132">
          <cell r="C132" t="str">
            <v>PB17210BLD940</v>
          </cell>
          <cell r="D132" t="str">
            <v>PCB</v>
          </cell>
          <cell r="E132" t="str">
            <v>BIK,BOK</v>
          </cell>
          <cell r="H132" t="str">
            <v>48,54</v>
          </cell>
          <cell r="I132" t="str">
            <v>L,M,H,V</v>
          </cell>
          <cell r="N132">
            <v>9</v>
          </cell>
          <cell r="O132">
            <v>40</v>
          </cell>
          <cell r="Q132" t="str">
            <v>pc</v>
          </cell>
          <cell r="T132">
            <v>4</v>
          </cell>
          <cell r="U132">
            <v>2.9700000000000006</v>
          </cell>
          <cell r="V132" t="str">
            <v>LED Board, High Power, 12V, CRI90, 4000K, 300mm, Aluminium, 32 LED from Cree, 2835 Form Factor, Binning: x, Bold Lighting LLC, E17210</v>
          </cell>
          <cell r="Y132">
            <v>2.7</v>
          </cell>
          <cell r="Z132">
            <v>1.3</v>
          </cell>
          <cell r="AA132">
            <v>1.41</v>
          </cell>
        </row>
        <row r="133">
          <cell r="C133" t="str">
            <v>PB17210BLD940</v>
          </cell>
          <cell r="D133" t="str">
            <v>PCB</v>
          </cell>
          <cell r="E133" t="str">
            <v>BIK,BOK</v>
          </cell>
          <cell r="H133">
            <v>60</v>
          </cell>
          <cell r="I133" t="str">
            <v>L,M,H,V</v>
          </cell>
          <cell r="N133">
            <v>9</v>
          </cell>
          <cell r="O133">
            <v>40</v>
          </cell>
          <cell r="Q133" t="str">
            <v>pc</v>
          </cell>
          <cell r="T133">
            <v>4</v>
          </cell>
          <cell r="U133">
            <v>2.9700000000000006</v>
          </cell>
          <cell r="V133" t="str">
            <v>LED Board, High Power, 12V, CRI90, 4000K, 300mm, Aluminium, 32 LED from Cree, 2835 Form Factor, Binning: x, Bold Lighting LLC, E17210</v>
          </cell>
          <cell r="Y133">
            <v>2.7</v>
          </cell>
          <cell r="Z133">
            <v>1.3</v>
          </cell>
          <cell r="AA133">
            <v>1.41</v>
          </cell>
        </row>
        <row r="135">
          <cell r="C135" t="str">
            <v>PB17310BLD9CC</v>
          </cell>
          <cell r="D135" t="str">
            <v>PCB</v>
          </cell>
          <cell r="E135" t="str">
            <v>BIS,BIW,BOS,BOW,BJS,BJW,BXO,BIO,BHO,BOO,BKO,BJO,BKH,BHS,BXH</v>
          </cell>
          <cell r="H135" t="str">
            <v>12,18</v>
          </cell>
          <cell r="I135" t="str">
            <v>C</v>
          </cell>
          <cell r="N135">
            <v>8</v>
          </cell>
          <cell r="O135" t="str">
            <v>CC</v>
          </cell>
          <cell r="Q135" t="str">
            <v>pc</v>
          </cell>
          <cell r="T135">
            <v>1</v>
          </cell>
          <cell r="U135">
            <v>27.588000000000001</v>
          </cell>
          <cell r="V135" t="str">
            <v>18V, Rotation 180' , High Power PCB, 1 ft, CRI80, 6 LED, RGBW CC</v>
          </cell>
          <cell r="Y135">
            <v>25.08</v>
          </cell>
          <cell r="Z135">
            <v>1.3</v>
          </cell>
          <cell r="AA135">
            <v>1.41</v>
          </cell>
        </row>
        <row r="136">
          <cell r="C136" t="str">
            <v>PB17310BLD9CC</v>
          </cell>
          <cell r="D136" t="str">
            <v>PCB</v>
          </cell>
          <cell r="E136" t="str">
            <v>BIS,BIW,BOS,BOW,BJS,BJW,BXO,BIO,BHO,BOO,BKO,BJO,BKH,BHS,BXH</v>
          </cell>
          <cell r="H136" t="str">
            <v>24,30</v>
          </cell>
          <cell r="I136" t="str">
            <v>C</v>
          </cell>
          <cell r="N136">
            <v>8</v>
          </cell>
          <cell r="O136" t="str">
            <v>CC</v>
          </cell>
          <cell r="Q136" t="str">
            <v>pc</v>
          </cell>
          <cell r="T136">
            <v>2</v>
          </cell>
          <cell r="U136">
            <v>0</v>
          </cell>
          <cell r="V136" t="str">
            <v>18V, Rotation 180' , High Power PCB, 1 ft, CRI80, 6 LED, RGBW CC</v>
          </cell>
          <cell r="Y136">
            <v>0</v>
          </cell>
          <cell r="Z136">
            <v>1.3</v>
          </cell>
          <cell r="AA136">
            <v>1.41</v>
          </cell>
        </row>
        <row r="137">
          <cell r="C137" t="str">
            <v>PB17310BLD9CC</v>
          </cell>
          <cell r="D137" t="str">
            <v>PCB</v>
          </cell>
          <cell r="E137" t="str">
            <v>BIS,BIW,BOS,BOW,BJS,BJW,BXO,BIO,BHO,BOO,BKO,BJO,BKH,BHS,BXH</v>
          </cell>
          <cell r="H137" t="str">
            <v>36,42</v>
          </cell>
          <cell r="I137" t="str">
            <v>C</v>
          </cell>
          <cell r="N137">
            <v>8</v>
          </cell>
          <cell r="O137" t="str">
            <v>CC</v>
          </cell>
          <cell r="Q137" t="str">
            <v>pc</v>
          </cell>
          <cell r="T137">
            <v>3</v>
          </cell>
          <cell r="U137">
            <v>0</v>
          </cell>
          <cell r="V137" t="str">
            <v>18V, Rotation 180' , High Power PCB, 1 ft, CRI80, 6 LED, RGBW CC</v>
          </cell>
          <cell r="Y137">
            <v>0</v>
          </cell>
          <cell r="Z137">
            <v>1.3</v>
          </cell>
          <cell r="AA137">
            <v>1.41</v>
          </cell>
        </row>
        <row r="138">
          <cell r="C138" t="str">
            <v>PB17310BLD9CC</v>
          </cell>
          <cell r="D138" t="str">
            <v>PCB</v>
          </cell>
          <cell r="E138" t="str">
            <v>BIS,BIW,BOS,BOW,BJS,BJW,BXO,BIO,BHO,BOO,BKO,BJO,BKH,BHS,BXH</v>
          </cell>
          <cell r="H138" t="str">
            <v>48,54</v>
          </cell>
          <cell r="I138" t="str">
            <v>C</v>
          </cell>
          <cell r="N138">
            <v>8</v>
          </cell>
          <cell r="O138" t="str">
            <v>CC</v>
          </cell>
          <cell r="Q138" t="str">
            <v>pc</v>
          </cell>
          <cell r="T138">
            <v>4</v>
          </cell>
          <cell r="U138">
            <v>0</v>
          </cell>
          <cell r="V138" t="str">
            <v>18V, Rotation 180' , High Power PCB, 1 ft, CRI80, 6 LED, RGBW CC</v>
          </cell>
          <cell r="Y138">
            <v>0</v>
          </cell>
          <cell r="Z138">
            <v>1.3</v>
          </cell>
          <cell r="AA138">
            <v>1.41</v>
          </cell>
        </row>
        <row r="139">
          <cell r="C139" t="str">
            <v>PB17310BLD9CC</v>
          </cell>
          <cell r="D139" t="str">
            <v>PCB</v>
          </cell>
          <cell r="E139" t="str">
            <v>BIS,BIW,BOS,BOW,BJS,BJW,BXO,BIO,BHO,BOO,BKO,BJO,BKH,BHS,BXH</v>
          </cell>
          <cell r="H139">
            <v>60</v>
          </cell>
          <cell r="I139" t="str">
            <v>C</v>
          </cell>
          <cell r="N139">
            <v>8</v>
          </cell>
          <cell r="O139" t="str">
            <v>CC</v>
          </cell>
          <cell r="Q139" t="str">
            <v>pc</v>
          </cell>
          <cell r="T139">
            <v>5</v>
          </cell>
          <cell r="U139">
            <v>0</v>
          </cell>
          <cell r="V139" t="str">
            <v>18V, Rotation 180' , High Power PCB, 1 ft, CRI80, 6 LED, RGBW CC</v>
          </cell>
          <cell r="Y139">
            <v>0</v>
          </cell>
          <cell r="Z139">
            <v>1.3</v>
          </cell>
          <cell r="AA139">
            <v>1.41</v>
          </cell>
        </row>
        <row r="140">
          <cell r="C140" t="str">
            <v>PB17310BLD9CC</v>
          </cell>
          <cell r="D140" t="str">
            <v>PCB</v>
          </cell>
          <cell r="E140" t="str">
            <v>BIS,BIW,BOS,BOW,BJS,BJW,BXO,BIO,BHO,BOO,BKO,BJO,BKH,BHS,BXH</v>
          </cell>
          <cell r="H140" t="str">
            <v>12,18</v>
          </cell>
          <cell r="I140" t="str">
            <v>C</v>
          </cell>
          <cell r="N140">
            <v>9</v>
          </cell>
          <cell r="O140" t="str">
            <v>CC</v>
          </cell>
          <cell r="Q140" t="str">
            <v>pc</v>
          </cell>
          <cell r="T140">
            <v>1</v>
          </cell>
          <cell r="U140">
            <v>12.100000000000001</v>
          </cell>
          <cell r="V140" t="str">
            <v>18V, Rotation 180', High Power PCB, 1 ft, CRI90, 6 LED, RGBW CC</v>
          </cell>
          <cell r="Y140">
            <v>11</v>
          </cell>
          <cell r="Z140">
            <v>1.3</v>
          </cell>
          <cell r="AA140">
            <v>1.41</v>
          </cell>
        </row>
        <row r="141">
          <cell r="C141" t="str">
            <v>PB17310BLD9CC</v>
          </cell>
          <cell r="D141" t="str">
            <v>PCB</v>
          </cell>
          <cell r="E141" t="str">
            <v>BIS,BIW,BOS,BOW,BJS,BJW,BXO,BIO,BHO,BOO,BKO,BJO,BKH,BHS,BXH</v>
          </cell>
          <cell r="H141" t="str">
            <v>24,30</v>
          </cell>
          <cell r="I141" t="str">
            <v>C</v>
          </cell>
          <cell r="N141">
            <v>9</v>
          </cell>
          <cell r="O141" t="str">
            <v>CC</v>
          </cell>
          <cell r="Q141" t="str">
            <v>pc</v>
          </cell>
          <cell r="T141">
            <v>2</v>
          </cell>
          <cell r="U141">
            <v>12.100000000000001</v>
          </cell>
          <cell r="V141" t="str">
            <v>18V, Rotation 180', High Power PCB, 1 ft, CRI90, 6 LED, RGBW CC</v>
          </cell>
          <cell r="Y141">
            <v>11</v>
          </cell>
          <cell r="Z141">
            <v>1.3</v>
          </cell>
          <cell r="AA141">
            <v>1.41</v>
          </cell>
        </row>
        <row r="142">
          <cell r="C142" t="str">
            <v>PB17310BLD9CC</v>
          </cell>
          <cell r="D142" t="str">
            <v>PCB</v>
          </cell>
          <cell r="E142" t="str">
            <v>BIS,BIW,BOS,BOW,BJS,BJW,BXO,BIO,BHO,BOO,BKO,BJO,BKH,BHS,BXH</v>
          </cell>
          <cell r="H142" t="str">
            <v>36,42</v>
          </cell>
          <cell r="I142" t="str">
            <v>C</v>
          </cell>
          <cell r="N142">
            <v>9</v>
          </cell>
          <cell r="O142" t="str">
            <v>CC</v>
          </cell>
          <cell r="Q142" t="str">
            <v>pc</v>
          </cell>
          <cell r="T142">
            <v>3</v>
          </cell>
          <cell r="U142">
            <v>12.100000000000001</v>
          </cell>
          <cell r="V142" t="str">
            <v>18V, Rotation 180', High Power PCB, 1 ft, CRI90, 6 LED, RGBW CC</v>
          </cell>
          <cell r="Y142">
            <v>11</v>
          </cell>
          <cell r="Z142">
            <v>1.3</v>
          </cell>
          <cell r="AA142">
            <v>1.41</v>
          </cell>
        </row>
        <row r="143">
          <cell r="C143" t="str">
            <v>PB17310BLD9CC</v>
          </cell>
          <cell r="D143" t="str">
            <v>PCB</v>
          </cell>
          <cell r="E143" t="str">
            <v>BIS,BIW,BOS,BOW,BJS,BJW,BXO,BIO,BHO,BOO,BKO,BJO,BKH,BHS,BXH</v>
          </cell>
          <cell r="H143" t="str">
            <v>48,54</v>
          </cell>
          <cell r="I143" t="str">
            <v>C</v>
          </cell>
          <cell r="N143">
            <v>9</v>
          </cell>
          <cell r="O143" t="str">
            <v>CC</v>
          </cell>
          <cell r="Q143" t="str">
            <v>pc</v>
          </cell>
          <cell r="T143">
            <v>4</v>
          </cell>
          <cell r="U143">
            <v>12.100000000000001</v>
          </cell>
          <cell r="V143" t="str">
            <v>18V, Rotation 180', High Power PCB, 1 ft, CRI90, 6 LED, RGBW CC</v>
          </cell>
          <cell r="Y143">
            <v>11</v>
          </cell>
          <cell r="Z143">
            <v>1.3</v>
          </cell>
          <cell r="AA143">
            <v>1.41</v>
          </cell>
        </row>
        <row r="144">
          <cell r="C144" t="str">
            <v>PB17310BLD9CC</v>
          </cell>
          <cell r="D144" t="str">
            <v>PCB</v>
          </cell>
          <cell r="E144" t="str">
            <v>BIS,BIW,BOS,BOW,BJS,BJW,BXO,BIO,BHO,BOO,BKO,BJO,BKH,BHS,BXH</v>
          </cell>
          <cell r="H144">
            <v>60</v>
          </cell>
          <cell r="I144" t="str">
            <v>C</v>
          </cell>
          <cell r="N144">
            <v>9</v>
          </cell>
          <cell r="O144" t="str">
            <v>CC</v>
          </cell>
          <cell r="Q144" t="str">
            <v>pc</v>
          </cell>
          <cell r="T144">
            <v>5</v>
          </cell>
          <cell r="U144">
            <v>12.100000000000001</v>
          </cell>
          <cell r="V144" t="str">
            <v>18V, Rotation 180', High Power PCB, 1 ft, CRI90, 6 LED, RGBW CC</v>
          </cell>
          <cell r="Y144">
            <v>11</v>
          </cell>
          <cell r="Z144">
            <v>1.3</v>
          </cell>
          <cell r="AA144">
            <v>1.41</v>
          </cell>
        </row>
        <row r="146">
          <cell r="D146" t="str">
            <v>PCB</v>
          </cell>
          <cell r="E146" t="str">
            <v>BOP</v>
          </cell>
          <cell r="H146">
            <v>6</v>
          </cell>
          <cell r="I146" t="str">
            <v>L,M,H,V</v>
          </cell>
          <cell r="M146" t="str">
            <v>S,L</v>
          </cell>
          <cell r="N146">
            <v>8</v>
          </cell>
          <cell r="O146">
            <v>27</v>
          </cell>
          <cell r="Q146" t="str">
            <v>pc</v>
          </cell>
          <cell r="T146">
            <v>1</v>
          </cell>
          <cell r="U146">
            <v>0</v>
          </cell>
          <cell r="V146" t="str">
            <v>6V, High Power PCB, 1/2 ft, CRI80, 16 LED, 2700K, CC</v>
          </cell>
          <cell r="Y146">
            <v>0</v>
          </cell>
          <cell r="Z146">
            <v>1.3</v>
          </cell>
          <cell r="AA146">
            <v>1.41</v>
          </cell>
        </row>
        <row r="147">
          <cell r="D147" t="str">
            <v>PCB</v>
          </cell>
          <cell r="E147" t="str">
            <v>BOP</v>
          </cell>
          <cell r="H147">
            <v>6</v>
          </cell>
          <cell r="I147" t="str">
            <v>L,M,H,V</v>
          </cell>
          <cell r="M147" t="str">
            <v>S,L</v>
          </cell>
          <cell r="N147">
            <v>8</v>
          </cell>
          <cell r="O147">
            <v>30</v>
          </cell>
          <cell r="Q147" t="str">
            <v>pc</v>
          </cell>
          <cell r="T147">
            <v>1</v>
          </cell>
          <cell r="U147">
            <v>0</v>
          </cell>
          <cell r="V147" t="str">
            <v>6V, High Power PCB, 1/2 ft, CRI80, 16 LED, 3000K, CC</v>
          </cell>
          <cell r="Y147">
            <v>0</v>
          </cell>
          <cell r="Z147">
            <v>1.3</v>
          </cell>
          <cell r="AA147">
            <v>1.41</v>
          </cell>
        </row>
        <row r="148">
          <cell r="D148" t="str">
            <v>PCB</v>
          </cell>
          <cell r="E148" t="str">
            <v>BOP</v>
          </cell>
          <cell r="H148">
            <v>6</v>
          </cell>
          <cell r="I148" t="str">
            <v>L,M,H,V</v>
          </cell>
          <cell r="M148" t="str">
            <v>S,L</v>
          </cell>
          <cell r="N148">
            <v>8</v>
          </cell>
          <cell r="O148">
            <v>35</v>
          </cell>
          <cell r="Q148" t="str">
            <v>pc</v>
          </cell>
          <cell r="T148">
            <v>1</v>
          </cell>
          <cell r="U148">
            <v>0</v>
          </cell>
          <cell r="V148" t="str">
            <v>6V, High Power PCB, 1/2 ft, CRI80, 16 LED, 3500K, CC</v>
          </cell>
          <cell r="Y148">
            <v>0</v>
          </cell>
          <cell r="Z148">
            <v>1.3</v>
          </cell>
          <cell r="AA148">
            <v>1.41</v>
          </cell>
        </row>
        <row r="149">
          <cell r="D149" t="str">
            <v>PCB</v>
          </cell>
          <cell r="E149" t="str">
            <v>BOP</v>
          </cell>
          <cell r="H149">
            <v>6</v>
          </cell>
          <cell r="I149" t="str">
            <v>L,M,H,V</v>
          </cell>
          <cell r="M149" t="str">
            <v>S,L</v>
          </cell>
          <cell r="N149">
            <v>8</v>
          </cell>
          <cell r="O149">
            <v>40</v>
          </cell>
          <cell r="Q149" t="str">
            <v>pc</v>
          </cell>
          <cell r="T149">
            <v>1</v>
          </cell>
          <cell r="U149">
            <v>0</v>
          </cell>
          <cell r="V149" t="str">
            <v>6V, High Power PCB, 1/2 ft, CRI80, 16 LED, 4000K, CC</v>
          </cell>
          <cell r="Y149">
            <v>0</v>
          </cell>
          <cell r="Z149">
            <v>1.3</v>
          </cell>
          <cell r="AA149">
            <v>1.41</v>
          </cell>
        </row>
        <row r="150">
          <cell r="C150" t="str">
            <v>PB17220BLD927</v>
          </cell>
          <cell r="D150" t="str">
            <v>PCB</v>
          </cell>
          <cell r="E150" t="str">
            <v>BOP</v>
          </cell>
          <cell r="H150">
            <v>6</v>
          </cell>
          <cell r="I150" t="str">
            <v>L,M,H,V</v>
          </cell>
          <cell r="M150" t="str">
            <v>S,L</v>
          </cell>
          <cell r="N150">
            <v>9</v>
          </cell>
          <cell r="O150">
            <v>27</v>
          </cell>
          <cell r="Q150" t="str">
            <v>pc</v>
          </cell>
          <cell r="T150">
            <v>1</v>
          </cell>
          <cell r="U150">
            <v>2.7829999999999999</v>
          </cell>
          <cell r="V150" t="str">
            <v>LED Board, High Power, 6V, CRI90, 2700K, 150mm, Aluminium, 16 LED from Cree, 2835 Form Factor, Binning: x, Bold Lighting LLC, E17220</v>
          </cell>
          <cell r="Y150">
            <v>2.5299999999999998</v>
          </cell>
          <cell r="Z150">
            <v>1.3</v>
          </cell>
          <cell r="AA150">
            <v>1.41</v>
          </cell>
        </row>
        <row r="151">
          <cell r="C151" t="str">
            <v>PB17220BLD930</v>
          </cell>
          <cell r="D151" t="str">
            <v>PCB</v>
          </cell>
          <cell r="E151" t="str">
            <v>BOP</v>
          </cell>
          <cell r="H151">
            <v>6</v>
          </cell>
          <cell r="I151" t="str">
            <v>L,M,H,V</v>
          </cell>
          <cell r="M151" t="str">
            <v>S,L</v>
          </cell>
          <cell r="N151">
            <v>9</v>
          </cell>
          <cell r="O151">
            <v>30</v>
          </cell>
          <cell r="Q151" t="str">
            <v>pc</v>
          </cell>
          <cell r="T151">
            <v>1</v>
          </cell>
          <cell r="U151">
            <v>2.7829999999999999</v>
          </cell>
          <cell r="V151" t="str">
            <v>LED Board, High Power, 6V, CRI90, 3000K, 150mm, Aluminium, 16 LED from Cree, 2835 Form Factor, Binning: x, Bold Lighting LLC, E17220</v>
          </cell>
          <cell r="Y151">
            <v>2.5299999999999998</v>
          </cell>
          <cell r="Z151">
            <v>1.3</v>
          </cell>
          <cell r="AA151">
            <v>1.41</v>
          </cell>
        </row>
        <row r="152">
          <cell r="C152" t="str">
            <v>PB17220BLD935</v>
          </cell>
          <cell r="D152" t="str">
            <v>PCB</v>
          </cell>
          <cell r="E152" t="str">
            <v>BOP</v>
          </cell>
          <cell r="H152">
            <v>6</v>
          </cell>
          <cell r="I152" t="str">
            <v>L,M,H,V</v>
          </cell>
          <cell r="M152" t="str">
            <v>S,L</v>
          </cell>
          <cell r="N152">
            <v>9</v>
          </cell>
          <cell r="O152">
            <v>35</v>
          </cell>
          <cell r="Q152" t="str">
            <v>pc</v>
          </cell>
          <cell r="T152">
            <v>1</v>
          </cell>
          <cell r="U152">
            <v>2.7829999999999999</v>
          </cell>
          <cell r="V152" t="str">
            <v>LED Board, High Power, 6V, CRI90, 3500K, 150mm, Aluminium, 16 LED from Cree, 2835 Form Factor, Binning: x, Bold Lighting LLC, E17220</v>
          </cell>
          <cell r="Y152">
            <v>2.5299999999999998</v>
          </cell>
          <cell r="Z152">
            <v>1.3</v>
          </cell>
          <cell r="AA152">
            <v>1.41</v>
          </cell>
        </row>
        <row r="153">
          <cell r="C153" t="str">
            <v>PB17220BLD940</v>
          </cell>
          <cell r="D153" t="str">
            <v>PCB</v>
          </cell>
          <cell r="E153" t="str">
            <v>BOP</v>
          </cell>
          <cell r="H153">
            <v>6</v>
          </cell>
          <cell r="I153" t="str">
            <v>L,M,H,V</v>
          </cell>
          <cell r="M153" t="str">
            <v>S,L</v>
          </cell>
          <cell r="N153">
            <v>9</v>
          </cell>
          <cell r="O153">
            <v>40</v>
          </cell>
          <cell r="Q153" t="str">
            <v>pc</v>
          </cell>
          <cell r="T153">
            <v>1</v>
          </cell>
          <cell r="U153">
            <v>2.7829999999999999</v>
          </cell>
          <cell r="V153" t="str">
            <v>LED Board, High Power, 6V, CRI90, 4000K, 150mm, Aluminium, 16 LED from Cree, 2835 Form Factor, Binning: x, Bold Lighting LLC, E17220</v>
          </cell>
          <cell r="Y153">
            <v>2.5299999999999998</v>
          </cell>
          <cell r="Z153">
            <v>1.3</v>
          </cell>
          <cell r="AA153">
            <v>1.41</v>
          </cell>
        </row>
        <row r="154">
          <cell r="D154" t="str">
            <v>PCB</v>
          </cell>
          <cell r="E154" t="str">
            <v>BIK,BOK</v>
          </cell>
          <cell r="H154">
            <v>18</v>
          </cell>
          <cell r="I154" t="str">
            <v>L,M,H,V</v>
          </cell>
          <cell r="N154">
            <v>8</v>
          </cell>
          <cell r="O154">
            <v>27</v>
          </cell>
          <cell r="Q154" t="str">
            <v>pc</v>
          </cell>
          <cell r="T154">
            <v>1</v>
          </cell>
          <cell r="U154">
            <v>0</v>
          </cell>
          <cell r="V154" t="str">
            <v>6V, High Power PCB, 1/2 ft, CRI80, 16 LED, 2700K, CC</v>
          </cell>
          <cell r="Y154">
            <v>0</v>
          </cell>
          <cell r="Z154">
            <v>1.3</v>
          </cell>
          <cell r="AA154">
            <v>1.41</v>
          </cell>
        </row>
        <row r="155">
          <cell r="D155" t="str">
            <v>PCB</v>
          </cell>
          <cell r="E155" t="str">
            <v>BIK,BOK</v>
          </cell>
          <cell r="H155">
            <v>30</v>
          </cell>
          <cell r="I155" t="str">
            <v>L,M,H,V</v>
          </cell>
          <cell r="N155">
            <v>8</v>
          </cell>
          <cell r="O155">
            <v>27</v>
          </cell>
          <cell r="Q155" t="str">
            <v>pc</v>
          </cell>
          <cell r="T155">
            <v>1</v>
          </cell>
          <cell r="U155">
            <v>0</v>
          </cell>
          <cell r="V155" t="str">
            <v>6V, High Power PCB, 1/2 ft, CRI80, 16 LED, 2700K, CC</v>
          </cell>
          <cell r="Y155">
            <v>0</v>
          </cell>
          <cell r="Z155">
            <v>1.3</v>
          </cell>
          <cell r="AA155">
            <v>1.41</v>
          </cell>
        </row>
        <row r="156">
          <cell r="D156" t="str">
            <v>PCB</v>
          </cell>
          <cell r="E156" t="str">
            <v>BIK,BOK</v>
          </cell>
          <cell r="H156">
            <v>42</v>
          </cell>
          <cell r="I156" t="str">
            <v>L,M,H,V</v>
          </cell>
          <cell r="N156">
            <v>8</v>
          </cell>
          <cell r="O156">
            <v>27</v>
          </cell>
          <cell r="Q156" t="str">
            <v>pc</v>
          </cell>
          <cell r="T156">
            <v>1</v>
          </cell>
          <cell r="U156">
            <v>0</v>
          </cell>
          <cell r="V156" t="str">
            <v>6V, High Power PCB, 1/2 ft, CRI80, 16 LED, 2700K, CC</v>
          </cell>
          <cell r="Y156">
            <v>0</v>
          </cell>
          <cell r="Z156">
            <v>1.3</v>
          </cell>
          <cell r="AA156">
            <v>1.41</v>
          </cell>
        </row>
        <row r="157">
          <cell r="D157" t="str">
            <v>PCB</v>
          </cell>
          <cell r="E157" t="str">
            <v>BIK,BOK</v>
          </cell>
          <cell r="H157">
            <v>54</v>
          </cell>
          <cell r="I157" t="str">
            <v>L,M,H,V</v>
          </cell>
          <cell r="N157">
            <v>8</v>
          </cell>
          <cell r="O157">
            <v>27</v>
          </cell>
          <cell r="Q157" t="str">
            <v>pc</v>
          </cell>
          <cell r="T157">
            <v>1</v>
          </cell>
          <cell r="U157">
            <v>0</v>
          </cell>
          <cell r="V157" t="str">
            <v>6V, High Power PCB, 1/2 ft, CRI80, 16 LED, 2700K, CC</v>
          </cell>
          <cell r="Y157">
            <v>0</v>
          </cell>
          <cell r="Z157">
            <v>1.3</v>
          </cell>
          <cell r="AA157">
            <v>1.41</v>
          </cell>
        </row>
        <row r="158">
          <cell r="D158" t="str">
            <v>PCB</v>
          </cell>
          <cell r="E158" t="str">
            <v>BIK,BOK</v>
          </cell>
          <cell r="H158">
            <v>18</v>
          </cell>
          <cell r="I158" t="str">
            <v>L,M,H,V</v>
          </cell>
          <cell r="N158">
            <v>8</v>
          </cell>
          <cell r="O158">
            <v>30</v>
          </cell>
          <cell r="Q158" t="str">
            <v>pc</v>
          </cell>
          <cell r="T158">
            <v>1</v>
          </cell>
          <cell r="U158">
            <v>0</v>
          </cell>
          <cell r="V158" t="str">
            <v>6V, High Power PCB, 1/2 ft, CRI80, 16 LED, 3000K, CC</v>
          </cell>
          <cell r="Y158">
            <v>0</v>
          </cell>
          <cell r="Z158">
            <v>1.3</v>
          </cell>
          <cell r="AA158">
            <v>1.41</v>
          </cell>
        </row>
        <row r="159">
          <cell r="D159" t="str">
            <v>PCB</v>
          </cell>
          <cell r="E159" t="str">
            <v>BIK,BOK</v>
          </cell>
          <cell r="H159">
            <v>30</v>
          </cell>
          <cell r="I159" t="str">
            <v>L,M,H,V</v>
          </cell>
          <cell r="N159">
            <v>8</v>
          </cell>
          <cell r="O159">
            <v>30</v>
          </cell>
          <cell r="Q159" t="str">
            <v>pc</v>
          </cell>
          <cell r="T159">
            <v>1</v>
          </cell>
          <cell r="U159">
            <v>0</v>
          </cell>
          <cell r="V159" t="str">
            <v>6V, High Power PCB, 1/2 ft, CRI80, 16 LED, 3000K, CC</v>
          </cell>
          <cell r="Y159">
            <v>0</v>
          </cell>
          <cell r="Z159">
            <v>1.3</v>
          </cell>
          <cell r="AA159">
            <v>1.41</v>
          </cell>
        </row>
        <row r="160">
          <cell r="D160" t="str">
            <v>PCB</v>
          </cell>
          <cell r="E160" t="str">
            <v>BIK,BOK</v>
          </cell>
          <cell r="H160">
            <v>42</v>
          </cell>
          <cell r="I160" t="str">
            <v>L,M,H,V</v>
          </cell>
          <cell r="N160">
            <v>8</v>
          </cell>
          <cell r="O160">
            <v>30</v>
          </cell>
          <cell r="Q160" t="str">
            <v>pc</v>
          </cell>
          <cell r="T160">
            <v>1</v>
          </cell>
          <cell r="U160">
            <v>0</v>
          </cell>
          <cell r="V160" t="str">
            <v>6V, High Power PCB, 1/2 ft, CRI80, 16 LED, 3000K, CC</v>
          </cell>
          <cell r="Y160">
            <v>0</v>
          </cell>
          <cell r="Z160">
            <v>1.3</v>
          </cell>
          <cell r="AA160">
            <v>1.41</v>
          </cell>
        </row>
        <row r="161">
          <cell r="D161" t="str">
            <v>PCB</v>
          </cell>
          <cell r="E161" t="str">
            <v>BIK,BOK</v>
          </cell>
          <cell r="H161">
            <v>54</v>
          </cell>
          <cell r="I161" t="str">
            <v>L,M,H,V</v>
          </cell>
          <cell r="N161">
            <v>8</v>
          </cell>
          <cell r="O161">
            <v>30</v>
          </cell>
          <cell r="Q161" t="str">
            <v>pc</v>
          </cell>
          <cell r="T161">
            <v>1</v>
          </cell>
          <cell r="U161">
            <v>0</v>
          </cell>
          <cell r="V161" t="str">
            <v>6V, High Power PCB, 1/2 ft, CRI80, 16 LED, 3000K, CC</v>
          </cell>
          <cell r="Y161">
            <v>0</v>
          </cell>
          <cell r="Z161">
            <v>1.3</v>
          </cell>
          <cell r="AA161">
            <v>1.41</v>
          </cell>
        </row>
        <row r="162">
          <cell r="D162" t="str">
            <v>PCB</v>
          </cell>
          <cell r="E162" t="str">
            <v>BIK,BOK</v>
          </cell>
          <cell r="H162">
            <v>18</v>
          </cell>
          <cell r="I162" t="str">
            <v>L,M,H,V</v>
          </cell>
          <cell r="N162">
            <v>8</v>
          </cell>
          <cell r="O162">
            <v>35</v>
          </cell>
          <cell r="Q162" t="str">
            <v>pc</v>
          </cell>
          <cell r="T162">
            <v>1</v>
          </cell>
          <cell r="U162">
            <v>0</v>
          </cell>
          <cell r="V162" t="str">
            <v>6V, High Power PCB, 1/2 ft, CRI80, 16 LED, 3500K, CC</v>
          </cell>
          <cell r="Y162">
            <v>0</v>
          </cell>
          <cell r="Z162">
            <v>1.3</v>
          </cell>
          <cell r="AA162">
            <v>1.41</v>
          </cell>
        </row>
        <row r="163">
          <cell r="D163" t="str">
            <v>PCB</v>
          </cell>
          <cell r="E163" t="str">
            <v>BIK,BOK</v>
          </cell>
          <cell r="H163">
            <v>30</v>
          </cell>
          <cell r="I163" t="str">
            <v>L,M,H,V</v>
          </cell>
          <cell r="N163">
            <v>8</v>
          </cell>
          <cell r="O163">
            <v>35</v>
          </cell>
          <cell r="Q163" t="str">
            <v>pc</v>
          </cell>
          <cell r="T163">
            <v>1</v>
          </cell>
          <cell r="U163">
            <v>0</v>
          </cell>
          <cell r="V163" t="str">
            <v>6V, High Power PCB, 1/2 ft, CRI80, 16 LED, 3500K, CC</v>
          </cell>
          <cell r="Y163">
            <v>0</v>
          </cell>
          <cell r="Z163">
            <v>1.3</v>
          </cell>
          <cell r="AA163">
            <v>1.41</v>
          </cell>
        </row>
        <row r="164">
          <cell r="D164" t="str">
            <v>PCB</v>
          </cell>
          <cell r="E164" t="str">
            <v>BIK,BOK</v>
          </cell>
          <cell r="H164">
            <v>42</v>
          </cell>
          <cell r="I164" t="str">
            <v>L,M,H,V</v>
          </cell>
          <cell r="N164">
            <v>8</v>
          </cell>
          <cell r="O164">
            <v>35</v>
          </cell>
          <cell r="Q164" t="str">
            <v>pc</v>
          </cell>
          <cell r="T164">
            <v>1</v>
          </cell>
          <cell r="U164">
            <v>0</v>
          </cell>
          <cell r="V164" t="str">
            <v>6V, High Power PCB, 1/2 ft, CRI80, 16 LED, 3500K, CC</v>
          </cell>
          <cell r="Y164">
            <v>0</v>
          </cell>
          <cell r="Z164">
            <v>1.3</v>
          </cell>
          <cell r="AA164">
            <v>1.41</v>
          </cell>
        </row>
        <row r="165">
          <cell r="D165" t="str">
            <v>PCB</v>
          </cell>
          <cell r="E165" t="str">
            <v>BIK,BOK</v>
          </cell>
          <cell r="H165">
            <v>54</v>
          </cell>
          <cell r="I165" t="str">
            <v>L,M,H,V</v>
          </cell>
          <cell r="N165">
            <v>8</v>
          </cell>
          <cell r="O165">
            <v>35</v>
          </cell>
          <cell r="Q165" t="str">
            <v>pc</v>
          </cell>
          <cell r="T165">
            <v>1</v>
          </cell>
          <cell r="U165">
            <v>0</v>
          </cell>
          <cell r="V165" t="str">
            <v>6V, High Power PCB, 1/2 ft, CRI80, 16 LED, 3500K, CC</v>
          </cell>
          <cell r="Y165">
            <v>0</v>
          </cell>
          <cell r="Z165">
            <v>1.3</v>
          </cell>
          <cell r="AA165">
            <v>1.41</v>
          </cell>
        </row>
        <row r="166">
          <cell r="D166" t="str">
            <v>PCB</v>
          </cell>
          <cell r="E166" t="str">
            <v>BIK,BOK</v>
          </cell>
          <cell r="H166">
            <v>18</v>
          </cell>
          <cell r="I166" t="str">
            <v>L,M,H,V</v>
          </cell>
          <cell r="N166">
            <v>8</v>
          </cell>
          <cell r="O166">
            <v>40</v>
          </cell>
          <cell r="Q166" t="str">
            <v>pc</v>
          </cell>
          <cell r="T166">
            <v>1</v>
          </cell>
          <cell r="U166">
            <v>0</v>
          </cell>
          <cell r="V166" t="str">
            <v>6V, High Power PCB, 1/2 ft, CRI80, 16 LED, 4000K, CC</v>
          </cell>
          <cell r="Y166">
            <v>0</v>
          </cell>
          <cell r="Z166">
            <v>1.3</v>
          </cell>
          <cell r="AA166">
            <v>1.41</v>
          </cell>
        </row>
        <row r="167">
          <cell r="D167" t="str">
            <v>PCB</v>
          </cell>
          <cell r="E167" t="str">
            <v>BIK,BOK</v>
          </cell>
          <cell r="H167">
            <v>30</v>
          </cell>
          <cell r="I167" t="str">
            <v>L,M,H,V</v>
          </cell>
          <cell r="N167">
            <v>8</v>
          </cell>
          <cell r="O167">
            <v>40</v>
          </cell>
          <cell r="Q167" t="str">
            <v>pc</v>
          </cell>
          <cell r="T167">
            <v>1</v>
          </cell>
          <cell r="U167">
            <v>0</v>
          </cell>
          <cell r="V167" t="str">
            <v>6V, High Power PCB, 1/2 ft, CRI80, 16 LED, 4000K, CC</v>
          </cell>
          <cell r="Y167">
            <v>0</v>
          </cell>
          <cell r="Z167">
            <v>1.3</v>
          </cell>
          <cell r="AA167">
            <v>1.41</v>
          </cell>
        </row>
        <row r="168">
          <cell r="D168" t="str">
            <v>PCB</v>
          </cell>
          <cell r="E168" t="str">
            <v>BIK,BOK</v>
          </cell>
          <cell r="H168">
            <v>42</v>
          </cell>
          <cell r="I168" t="str">
            <v>L,M,H,V</v>
          </cell>
          <cell r="N168">
            <v>8</v>
          </cell>
          <cell r="O168">
            <v>40</v>
          </cell>
          <cell r="Q168" t="str">
            <v>pc</v>
          </cell>
          <cell r="T168">
            <v>1</v>
          </cell>
          <cell r="U168">
            <v>0</v>
          </cell>
          <cell r="V168" t="str">
            <v>6V, High Power PCB, 1/2 ft, CRI80, 16 LED, 4000K, CC</v>
          </cell>
          <cell r="Y168">
            <v>0</v>
          </cell>
          <cell r="Z168">
            <v>1.3</v>
          </cell>
          <cell r="AA168">
            <v>1.41</v>
          </cell>
        </row>
        <row r="169">
          <cell r="D169" t="str">
            <v>PCB</v>
          </cell>
          <cell r="E169" t="str">
            <v>BIK,BOK</v>
          </cell>
          <cell r="H169">
            <v>54</v>
          </cell>
          <cell r="I169" t="str">
            <v>L,M,H,V</v>
          </cell>
          <cell r="N169">
            <v>8</v>
          </cell>
          <cell r="O169">
            <v>40</v>
          </cell>
          <cell r="Q169" t="str">
            <v>pc</v>
          </cell>
          <cell r="T169">
            <v>1</v>
          </cell>
          <cell r="U169">
            <v>0</v>
          </cell>
          <cell r="V169" t="str">
            <v>6V, High Power PCB, 1/2 ft, CRI80, 16 LED, 4000K, CC</v>
          </cell>
          <cell r="Y169">
            <v>0</v>
          </cell>
          <cell r="Z169">
            <v>1.3</v>
          </cell>
          <cell r="AA169">
            <v>1.41</v>
          </cell>
        </row>
        <row r="170">
          <cell r="C170" t="str">
            <v>PB17220BLD927</v>
          </cell>
          <cell r="D170" t="str">
            <v>PCB</v>
          </cell>
          <cell r="E170" t="str">
            <v>BIK,BOK</v>
          </cell>
          <cell r="H170">
            <v>18</v>
          </cell>
          <cell r="I170" t="str">
            <v>L,M,H,V</v>
          </cell>
          <cell r="N170">
            <v>9</v>
          </cell>
          <cell r="O170">
            <v>27</v>
          </cell>
          <cell r="Q170" t="str">
            <v>pc</v>
          </cell>
          <cell r="T170">
            <v>1</v>
          </cell>
          <cell r="U170">
            <v>2.7829999999999999</v>
          </cell>
          <cell r="V170" t="str">
            <v>6V, High Power PCB, 1/2 ft, CRI90, 16 LED, 2700K, CC</v>
          </cell>
          <cell r="Y170">
            <v>2.5299999999999998</v>
          </cell>
          <cell r="Z170">
            <v>1.3</v>
          </cell>
          <cell r="AA170">
            <v>1.41</v>
          </cell>
        </row>
        <row r="171">
          <cell r="C171" t="str">
            <v>PB17220BLD927</v>
          </cell>
          <cell r="D171" t="str">
            <v>PCB</v>
          </cell>
          <cell r="E171" t="str">
            <v>BIK,BOK</v>
          </cell>
          <cell r="H171">
            <v>30</v>
          </cell>
          <cell r="I171" t="str">
            <v>L,M,H,V</v>
          </cell>
          <cell r="N171">
            <v>9</v>
          </cell>
          <cell r="O171">
            <v>27</v>
          </cell>
          <cell r="Q171" t="str">
            <v>pc</v>
          </cell>
          <cell r="T171">
            <v>1</v>
          </cell>
          <cell r="U171">
            <v>2.7829999999999999</v>
          </cell>
          <cell r="V171" t="str">
            <v>LED Board, High Power, 6V, CRI90, 2700K, 150mm, Aluminium, 16 LED from Cree, 2835 Form Factor, Binning: x, Bold Lighting LLC, E17220</v>
          </cell>
          <cell r="Y171">
            <v>2.5299999999999998</v>
          </cell>
          <cell r="Z171">
            <v>1.3</v>
          </cell>
          <cell r="AA171">
            <v>1.41</v>
          </cell>
        </row>
        <row r="172">
          <cell r="C172" t="str">
            <v>PB17220BLD927</v>
          </cell>
          <cell r="D172" t="str">
            <v>PCB</v>
          </cell>
          <cell r="E172" t="str">
            <v>BIK,BOK</v>
          </cell>
          <cell r="H172">
            <v>42</v>
          </cell>
          <cell r="I172" t="str">
            <v>L,M,H,V</v>
          </cell>
          <cell r="N172">
            <v>9</v>
          </cell>
          <cell r="O172">
            <v>27</v>
          </cell>
          <cell r="Q172" t="str">
            <v>pc</v>
          </cell>
          <cell r="T172">
            <v>1</v>
          </cell>
          <cell r="U172">
            <v>2.7829999999999999</v>
          </cell>
          <cell r="V172" t="str">
            <v>LED Board, High Power, 6V, CRI90, 2700K, 150mm, Aluminium, 16 LED from Cree, 2835 Form Factor, Binning: x, Bold Lighting LLC, E17220</v>
          </cell>
          <cell r="Y172">
            <v>2.5299999999999998</v>
          </cell>
          <cell r="Z172">
            <v>1.3</v>
          </cell>
          <cell r="AA172">
            <v>1.41</v>
          </cell>
        </row>
        <row r="173">
          <cell r="C173" t="str">
            <v>PB17220BLD927</v>
          </cell>
          <cell r="D173" t="str">
            <v>PCB</v>
          </cell>
          <cell r="E173" t="str">
            <v>BIK,BOK</v>
          </cell>
          <cell r="H173">
            <v>54</v>
          </cell>
          <cell r="I173" t="str">
            <v>L,M,H,V</v>
          </cell>
          <cell r="N173">
            <v>9</v>
          </cell>
          <cell r="O173">
            <v>27</v>
          </cell>
          <cell r="Q173" t="str">
            <v>pc</v>
          </cell>
          <cell r="T173">
            <v>1</v>
          </cell>
          <cell r="U173">
            <v>2.7829999999999999</v>
          </cell>
          <cell r="V173" t="str">
            <v>LED Board, High Power, 6V, CRI90, 2700K, 150mm, Aluminium, 16 LED from Cree, 2835 Form Factor, Binning: x, Bold Lighting LLC, E17220</v>
          </cell>
          <cell r="Y173">
            <v>2.5299999999999998</v>
          </cell>
          <cell r="Z173">
            <v>1.3</v>
          </cell>
          <cell r="AA173">
            <v>1.41</v>
          </cell>
        </row>
        <row r="174">
          <cell r="C174" t="str">
            <v>PB17220BLD927</v>
          </cell>
          <cell r="D174" t="str">
            <v>PCB</v>
          </cell>
          <cell r="E174" t="str">
            <v>BIK,BOK</v>
          </cell>
          <cell r="H174">
            <v>60</v>
          </cell>
          <cell r="I174" t="str">
            <v>L,M,H,V</v>
          </cell>
          <cell r="N174">
            <v>9</v>
          </cell>
          <cell r="O174">
            <v>27</v>
          </cell>
          <cell r="Q174" t="str">
            <v>pc</v>
          </cell>
          <cell r="T174">
            <v>2</v>
          </cell>
          <cell r="U174">
            <v>2.7829999999999999</v>
          </cell>
          <cell r="V174" t="str">
            <v>LED Board, High Power, 6V, CRI90, 2700K, 150mm, Aluminium, 16 LED from Cree, 2835 Form Factor, Binning: x, Bold Lighting LLC, E17220</v>
          </cell>
          <cell r="Y174">
            <v>2.5299999999999998</v>
          </cell>
          <cell r="Z174">
            <v>1.3</v>
          </cell>
          <cell r="AA174">
            <v>1.41</v>
          </cell>
        </row>
        <row r="175">
          <cell r="C175" t="str">
            <v>PB17220BLD930</v>
          </cell>
          <cell r="D175" t="str">
            <v>PCB</v>
          </cell>
          <cell r="E175" t="str">
            <v>BIK,BOK</v>
          </cell>
          <cell r="H175">
            <v>18</v>
          </cell>
          <cell r="I175" t="str">
            <v>L,M,H,V</v>
          </cell>
          <cell r="N175">
            <v>9</v>
          </cell>
          <cell r="O175">
            <v>30</v>
          </cell>
          <cell r="Q175" t="str">
            <v>pc</v>
          </cell>
          <cell r="T175">
            <v>1</v>
          </cell>
          <cell r="U175">
            <v>2.7829999999999999</v>
          </cell>
          <cell r="V175" t="str">
            <v>LED Board, High Power, 6V, CRI90, 3000K, 150mm, Aluminium, 16 LED from Cree, 2835 Form Factor, Binning: x, Bold Lighting LLC, E17220</v>
          </cell>
          <cell r="Y175">
            <v>2.5299999999999998</v>
          </cell>
          <cell r="Z175">
            <v>1.3</v>
          </cell>
          <cell r="AA175">
            <v>1.41</v>
          </cell>
        </row>
        <row r="176">
          <cell r="C176" t="str">
            <v>PB17220BLD930</v>
          </cell>
          <cell r="D176" t="str">
            <v>PCB</v>
          </cell>
          <cell r="E176" t="str">
            <v>BIK,BOK</v>
          </cell>
          <cell r="H176">
            <v>30</v>
          </cell>
          <cell r="I176" t="str">
            <v>L,M,H,V</v>
          </cell>
          <cell r="N176">
            <v>9</v>
          </cell>
          <cell r="O176">
            <v>30</v>
          </cell>
          <cell r="Q176" t="str">
            <v>pc</v>
          </cell>
          <cell r="T176">
            <v>1</v>
          </cell>
          <cell r="U176">
            <v>2.7829999999999999</v>
          </cell>
          <cell r="V176" t="str">
            <v>LED Board, High Power, 6V, CRI90, 3000K, 150mm, Aluminium, 16 LED from Cree, 2835 Form Factor, Binning: x, Bold Lighting LLC, E17220</v>
          </cell>
          <cell r="Y176">
            <v>2.5299999999999998</v>
          </cell>
          <cell r="Z176">
            <v>1.3</v>
          </cell>
          <cell r="AA176">
            <v>1.41</v>
          </cell>
        </row>
        <row r="177">
          <cell r="C177" t="str">
            <v>PB17220BLD930</v>
          </cell>
          <cell r="D177" t="str">
            <v>PCB</v>
          </cell>
          <cell r="E177" t="str">
            <v>BIK,BOK</v>
          </cell>
          <cell r="H177">
            <v>42</v>
          </cell>
          <cell r="I177" t="str">
            <v>L,M,H,V</v>
          </cell>
          <cell r="N177">
            <v>9</v>
          </cell>
          <cell r="O177">
            <v>30</v>
          </cell>
          <cell r="Q177" t="str">
            <v>pc</v>
          </cell>
          <cell r="T177">
            <v>1</v>
          </cell>
          <cell r="U177">
            <v>2.7829999999999999</v>
          </cell>
          <cell r="V177" t="str">
            <v>LED Board, High Power, 6V, CRI90, 3000K, 150mm, Aluminium, 16 LED from Cree, 2835 Form Factor, Binning: x, Bold Lighting LLC, E17220</v>
          </cell>
          <cell r="Y177">
            <v>2.5299999999999998</v>
          </cell>
          <cell r="Z177">
            <v>1.3</v>
          </cell>
          <cell r="AA177">
            <v>1.41</v>
          </cell>
        </row>
        <row r="178">
          <cell r="C178" t="str">
            <v>PB17220BLD930</v>
          </cell>
          <cell r="D178" t="str">
            <v>PCB</v>
          </cell>
          <cell r="E178" t="str">
            <v>BIK,BOK</v>
          </cell>
          <cell r="H178">
            <v>54</v>
          </cell>
          <cell r="I178" t="str">
            <v>L,M,H,V</v>
          </cell>
          <cell r="N178">
            <v>9</v>
          </cell>
          <cell r="O178">
            <v>30</v>
          </cell>
          <cell r="Q178" t="str">
            <v>pc</v>
          </cell>
          <cell r="T178">
            <v>1</v>
          </cell>
          <cell r="U178">
            <v>2.7829999999999999</v>
          </cell>
          <cell r="V178" t="str">
            <v>LED Board, High Power, 6V, CRI90, 3000K, 150mm, Aluminium, 16 LED from Cree, 2835 Form Factor, Binning: x, Bold Lighting LLC, E17220</v>
          </cell>
          <cell r="Y178">
            <v>2.5299999999999998</v>
          </cell>
          <cell r="Z178">
            <v>1.3</v>
          </cell>
          <cell r="AA178">
            <v>1.41</v>
          </cell>
        </row>
        <row r="179">
          <cell r="C179" t="str">
            <v>PB17220BLD930</v>
          </cell>
          <cell r="D179" t="str">
            <v>PCB</v>
          </cell>
          <cell r="E179" t="str">
            <v>BIK,BOK</v>
          </cell>
          <cell r="H179">
            <v>60</v>
          </cell>
          <cell r="I179" t="str">
            <v>L,M,H,V</v>
          </cell>
          <cell r="N179">
            <v>9</v>
          </cell>
          <cell r="O179">
            <v>30</v>
          </cell>
          <cell r="Q179" t="str">
            <v>pc</v>
          </cell>
          <cell r="T179">
            <v>2</v>
          </cell>
          <cell r="U179">
            <v>2.7829999999999999</v>
          </cell>
          <cell r="V179" t="str">
            <v>LED Board, High Power, 6V, CRI90, 3000K, 150mm, Aluminium, 16 LED from Cree, 2835 Form Factor, Binning: x, Bold Lighting LLC, E17220</v>
          </cell>
          <cell r="Y179">
            <v>2.5299999999999998</v>
          </cell>
          <cell r="Z179">
            <v>1.3</v>
          </cell>
          <cell r="AA179">
            <v>1.41</v>
          </cell>
        </row>
        <row r="180">
          <cell r="C180" t="str">
            <v>PB17220BLD935</v>
          </cell>
          <cell r="D180" t="str">
            <v>PCB</v>
          </cell>
          <cell r="E180" t="str">
            <v>BIK,BOK</v>
          </cell>
          <cell r="H180">
            <v>18</v>
          </cell>
          <cell r="I180" t="str">
            <v>L,M,H,V</v>
          </cell>
          <cell r="N180">
            <v>9</v>
          </cell>
          <cell r="O180">
            <v>35</v>
          </cell>
          <cell r="Q180" t="str">
            <v>pc</v>
          </cell>
          <cell r="T180">
            <v>1</v>
          </cell>
          <cell r="U180">
            <v>2.7829999999999999</v>
          </cell>
          <cell r="V180" t="str">
            <v>LED Board, High Power, 6V, CRI90, 3500K, 150mm, Aluminium, 16 LED from Cree, 2835 Form Factor, Binning: x, Bold Lighting LLC, E17220</v>
          </cell>
          <cell r="Y180">
            <v>2.5299999999999998</v>
          </cell>
          <cell r="Z180">
            <v>1.3</v>
          </cell>
          <cell r="AA180">
            <v>1.41</v>
          </cell>
        </row>
        <row r="181">
          <cell r="C181" t="str">
            <v>PB17220BLD935</v>
          </cell>
          <cell r="D181" t="str">
            <v>PCB</v>
          </cell>
          <cell r="E181" t="str">
            <v>BIK,BOK</v>
          </cell>
          <cell r="H181">
            <v>30</v>
          </cell>
          <cell r="I181" t="str">
            <v>L,M,H,V</v>
          </cell>
          <cell r="N181">
            <v>9</v>
          </cell>
          <cell r="O181">
            <v>35</v>
          </cell>
          <cell r="Q181" t="str">
            <v>pc</v>
          </cell>
          <cell r="T181">
            <v>1</v>
          </cell>
          <cell r="U181">
            <v>2.7829999999999999</v>
          </cell>
          <cell r="V181" t="str">
            <v>LED Board, High Power, 6V, CRI90, 3500K, 150mm, Aluminium, 16 LED from Cree, 2835 Form Factor, Binning: x, Bold Lighting LLC, E17220</v>
          </cell>
          <cell r="Y181">
            <v>2.5299999999999998</v>
          </cell>
          <cell r="Z181">
            <v>1.3</v>
          </cell>
          <cell r="AA181">
            <v>1.41</v>
          </cell>
        </row>
        <row r="182">
          <cell r="C182" t="str">
            <v>PB17220BLD935</v>
          </cell>
          <cell r="D182" t="str">
            <v>PCB</v>
          </cell>
          <cell r="E182" t="str">
            <v>BIK,BOK</v>
          </cell>
          <cell r="H182">
            <v>42</v>
          </cell>
          <cell r="I182" t="str">
            <v>L,M,H,V</v>
          </cell>
          <cell r="N182">
            <v>9</v>
          </cell>
          <cell r="O182">
            <v>35</v>
          </cell>
          <cell r="Q182" t="str">
            <v>pc</v>
          </cell>
          <cell r="T182">
            <v>1</v>
          </cell>
          <cell r="U182">
            <v>2.7829999999999999</v>
          </cell>
          <cell r="V182" t="str">
            <v>LED Board, High Power, 6V, CRI90, 3500K, 150mm, Aluminium, 16 LED from Cree, 2835 Form Factor, Binning: x, Bold Lighting LLC, E17220</v>
          </cell>
          <cell r="Y182">
            <v>2.5299999999999998</v>
          </cell>
          <cell r="Z182">
            <v>1.3</v>
          </cell>
          <cell r="AA182">
            <v>1.41</v>
          </cell>
        </row>
        <row r="183">
          <cell r="C183" t="str">
            <v>PB17220BLD935</v>
          </cell>
          <cell r="D183" t="str">
            <v>PCB</v>
          </cell>
          <cell r="E183" t="str">
            <v>BIK,BOK</v>
          </cell>
          <cell r="H183">
            <v>54</v>
          </cell>
          <cell r="I183" t="str">
            <v>L,M,H,V</v>
          </cell>
          <cell r="N183">
            <v>9</v>
          </cell>
          <cell r="O183">
            <v>35</v>
          </cell>
          <cell r="Q183" t="str">
            <v>pc</v>
          </cell>
          <cell r="T183">
            <v>1</v>
          </cell>
          <cell r="U183">
            <v>2.7829999999999999</v>
          </cell>
          <cell r="V183" t="str">
            <v>LED Board, High Power, 6V, CRI90, 3500K, 150mm, Aluminium, 16 LED from Cree, 2835 Form Factor, Binning: x, Bold Lighting LLC, E17220</v>
          </cell>
          <cell r="Y183">
            <v>2.5299999999999998</v>
          </cell>
          <cell r="Z183">
            <v>1.3</v>
          </cell>
          <cell r="AA183">
            <v>1.41</v>
          </cell>
        </row>
        <row r="184">
          <cell r="C184" t="str">
            <v>PB17220BLD935</v>
          </cell>
          <cell r="D184" t="str">
            <v>PCB</v>
          </cell>
          <cell r="E184" t="str">
            <v>BIK,BOK</v>
          </cell>
          <cell r="H184">
            <v>60</v>
          </cell>
          <cell r="I184" t="str">
            <v>L,M,H,V</v>
          </cell>
          <cell r="N184">
            <v>9</v>
          </cell>
          <cell r="O184">
            <v>35</v>
          </cell>
          <cell r="Q184" t="str">
            <v>pc</v>
          </cell>
          <cell r="T184">
            <v>2</v>
          </cell>
          <cell r="U184">
            <v>2.7829999999999999</v>
          </cell>
          <cell r="V184" t="str">
            <v>LED Board, High Power, 6V, CRI90, 3500K, 150mm, Aluminium, 16 LED from Cree, 2835 Form Factor, Binning: x, Bold Lighting LLC, E17220</v>
          </cell>
          <cell r="Y184">
            <v>2.5299999999999998</v>
          </cell>
          <cell r="Z184">
            <v>1.3</v>
          </cell>
          <cell r="AA184">
            <v>1.41</v>
          </cell>
        </row>
        <row r="185">
          <cell r="C185" t="str">
            <v>PB17220BLD940</v>
          </cell>
          <cell r="D185" t="str">
            <v>PCB</v>
          </cell>
          <cell r="E185" t="str">
            <v>BIK,BOK</v>
          </cell>
          <cell r="H185">
            <v>18</v>
          </cell>
          <cell r="I185" t="str">
            <v>L,M,H,V</v>
          </cell>
          <cell r="N185">
            <v>9</v>
          </cell>
          <cell r="O185">
            <v>40</v>
          </cell>
          <cell r="Q185" t="str">
            <v>pc</v>
          </cell>
          <cell r="T185">
            <v>1</v>
          </cell>
          <cell r="U185">
            <v>2.7829999999999999</v>
          </cell>
          <cell r="V185" t="str">
            <v>LED Board, High Power, 6V, CRI90, 4000K, 150mm, Aluminium, 16 LED from Cree, 2835 Form Factor, Binning: x, Bold Lighting LLC, E17220</v>
          </cell>
          <cell r="Y185">
            <v>2.5299999999999998</v>
          </cell>
          <cell r="Z185">
            <v>1.3</v>
          </cell>
          <cell r="AA185">
            <v>1.41</v>
          </cell>
        </row>
        <row r="186">
          <cell r="C186" t="str">
            <v>PB17220BLD940</v>
          </cell>
          <cell r="D186" t="str">
            <v>PCB</v>
          </cell>
          <cell r="E186" t="str">
            <v>BIK,BOK</v>
          </cell>
          <cell r="H186">
            <v>30</v>
          </cell>
          <cell r="I186" t="str">
            <v>L,M,H,V</v>
          </cell>
          <cell r="N186">
            <v>9</v>
          </cell>
          <cell r="O186">
            <v>40</v>
          </cell>
          <cell r="Q186" t="str">
            <v>pc</v>
          </cell>
          <cell r="T186">
            <v>1</v>
          </cell>
          <cell r="U186">
            <v>2.7829999999999999</v>
          </cell>
          <cell r="V186" t="str">
            <v>LED Board, High Power, 6V, CRI90, 4000K, 150mm, Aluminium, 16 LED from Cree, 2835 Form Factor, Binning: x, Bold Lighting LLC, E17220</v>
          </cell>
          <cell r="Y186">
            <v>2.5299999999999998</v>
          </cell>
          <cell r="Z186">
            <v>1.3</v>
          </cell>
          <cell r="AA186">
            <v>1.41</v>
          </cell>
        </row>
        <row r="187">
          <cell r="C187" t="str">
            <v>PB17220BLD940</v>
          </cell>
          <cell r="D187" t="str">
            <v>PCB</v>
          </cell>
          <cell r="E187" t="str">
            <v>BIK,BOK</v>
          </cell>
          <cell r="H187">
            <v>42</v>
          </cell>
          <cell r="I187" t="str">
            <v>L,M,H,V</v>
          </cell>
          <cell r="N187">
            <v>9</v>
          </cell>
          <cell r="O187">
            <v>40</v>
          </cell>
          <cell r="Q187" t="str">
            <v>pc</v>
          </cell>
          <cell r="T187">
            <v>1</v>
          </cell>
          <cell r="U187">
            <v>2.7829999999999999</v>
          </cell>
          <cell r="V187" t="str">
            <v>LED Board, High Power, 6V, CRI90, 4000K, 150mm, Aluminium, 16 LED from Cree, 2835 Form Factor, Binning: x, Bold Lighting LLC, E17220</v>
          </cell>
          <cell r="Y187">
            <v>2.5299999999999998</v>
          </cell>
          <cell r="Z187">
            <v>1.3</v>
          </cell>
          <cell r="AA187">
            <v>1.41</v>
          </cell>
        </row>
        <row r="188">
          <cell r="C188" t="str">
            <v>PB17220BLD940</v>
          </cell>
          <cell r="D188" t="str">
            <v>PCB</v>
          </cell>
          <cell r="E188" t="str">
            <v>BIK,BOK</v>
          </cell>
          <cell r="H188">
            <v>54</v>
          </cell>
          <cell r="I188" t="str">
            <v>L,M,H,V</v>
          </cell>
          <cell r="N188">
            <v>9</v>
          </cell>
          <cell r="O188">
            <v>40</v>
          </cell>
          <cell r="Q188" t="str">
            <v>pc</v>
          </cell>
          <cell r="T188">
            <v>1</v>
          </cell>
          <cell r="U188">
            <v>2.7829999999999999</v>
          </cell>
          <cell r="V188" t="str">
            <v>LED Board, High Power, 6V, CRI90, 4000K, 150mm, Aluminium, 16 LED from Cree, 2835 Form Factor, Binning: x, Bold Lighting LLC, E17220</v>
          </cell>
          <cell r="Y188">
            <v>2.5299999999999998</v>
          </cell>
          <cell r="Z188">
            <v>1.3</v>
          </cell>
          <cell r="AA188">
            <v>1.41</v>
          </cell>
        </row>
        <row r="189">
          <cell r="C189" t="str">
            <v>PB17220BLD940</v>
          </cell>
          <cell r="D189" t="str">
            <v>PCB</v>
          </cell>
          <cell r="E189" t="str">
            <v>BIK,BOK</v>
          </cell>
          <cell r="H189">
            <v>60</v>
          </cell>
          <cell r="I189" t="str">
            <v>L,M,H,V</v>
          </cell>
          <cell r="N189">
            <v>9</v>
          </cell>
          <cell r="O189">
            <v>40</v>
          </cell>
          <cell r="Q189" t="str">
            <v>pc</v>
          </cell>
          <cell r="T189">
            <v>2</v>
          </cell>
          <cell r="U189">
            <v>2.7829999999999999</v>
          </cell>
          <cell r="V189" t="str">
            <v>LED Board, High Power, 6V, CRI90, 4000K, 150mm, Aluminium, 16 LED from Cree, 2835 Form Factor, Binning: x, Bold Lighting LLC, E17220</v>
          </cell>
          <cell r="Y189">
            <v>2.5299999999999998</v>
          </cell>
          <cell r="Z189">
            <v>1.3</v>
          </cell>
          <cell r="AA189">
            <v>1.41</v>
          </cell>
        </row>
        <row r="191">
          <cell r="D191" t="str">
            <v>PCB</v>
          </cell>
          <cell r="E191" t="str">
            <v>BOP</v>
          </cell>
          <cell r="I191" t="str">
            <v>L,M,H,V</v>
          </cell>
          <cell r="M191" t="str">
            <v>P</v>
          </cell>
          <cell r="N191">
            <v>8</v>
          </cell>
          <cell r="O191">
            <v>27</v>
          </cell>
          <cell r="Q191" t="str">
            <v>pc</v>
          </cell>
          <cell r="T191">
            <v>1</v>
          </cell>
          <cell r="U191">
            <v>0</v>
          </cell>
          <cell r="V191" t="str">
            <v>6V, High Power PCB, 1/2 ft, CRI80, 3 LED, 2700K, CC</v>
          </cell>
          <cell r="Y191">
            <v>0</v>
          </cell>
          <cell r="Z191">
            <v>1.3</v>
          </cell>
          <cell r="AA191">
            <v>1.41</v>
          </cell>
        </row>
        <row r="192">
          <cell r="D192" t="str">
            <v>PCB</v>
          </cell>
          <cell r="E192" t="str">
            <v>BOP</v>
          </cell>
          <cell r="I192" t="str">
            <v>L,M,H,V</v>
          </cell>
          <cell r="M192" t="str">
            <v>P</v>
          </cell>
          <cell r="N192">
            <v>8</v>
          </cell>
          <cell r="O192">
            <v>30</v>
          </cell>
          <cell r="Q192" t="str">
            <v>pc</v>
          </cell>
          <cell r="T192">
            <v>1</v>
          </cell>
          <cell r="U192">
            <v>0</v>
          </cell>
          <cell r="V192" t="str">
            <v>6V, High Power PCB, 1/2 ft, CRI80, 3 LED, 3000K, CC</v>
          </cell>
          <cell r="Y192">
            <v>0</v>
          </cell>
          <cell r="Z192">
            <v>1.3</v>
          </cell>
          <cell r="AA192">
            <v>1.41</v>
          </cell>
        </row>
        <row r="193">
          <cell r="D193" t="str">
            <v>PCB</v>
          </cell>
          <cell r="E193" t="str">
            <v>BOP</v>
          </cell>
          <cell r="I193" t="str">
            <v>L,M,H,V</v>
          </cell>
          <cell r="M193" t="str">
            <v>P</v>
          </cell>
          <cell r="N193">
            <v>8</v>
          </cell>
          <cell r="O193">
            <v>35</v>
          </cell>
          <cell r="Q193" t="str">
            <v>pc</v>
          </cell>
          <cell r="T193">
            <v>1</v>
          </cell>
          <cell r="U193">
            <v>0</v>
          </cell>
          <cell r="V193" t="str">
            <v>6V, High Power PCB, 1/2 ft, CRI80, 3 LED, 3500K, CC</v>
          </cell>
          <cell r="Y193">
            <v>0</v>
          </cell>
          <cell r="Z193">
            <v>1.3</v>
          </cell>
          <cell r="AA193">
            <v>1.41</v>
          </cell>
        </row>
        <row r="194">
          <cell r="D194" t="str">
            <v>PCB</v>
          </cell>
          <cell r="E194" t="str">
            <v>BOP</v>
          </cell>
          <cell r="I194" t="str">
            <v>L,M,H,V</v>
          </cell>
          <cell r="M194" t="str">
            <v>P</v>
          </cell>
          <cell r="N194">
            <v>8</v>
          </cell>
          <cell r="O194">
            <v>40</v>
          </cell>
          <cell r="Q194" t="str">
            <v>pc</v>
          </cell>
          <cell r="T194">
            <v>1</v>
          </cell>
          <cell r="U194">
            <v>0</v>
          </cell>
          <cell r="V194" t="str">
            <v>6V, High Power PCB, 1/2 ft, CRI80, 3 LED, 4000K, CC</v>
          </cell>
          <cell r="Y194">
            <v>0</v>
          </cell>
          <cell r="Z194">
            <v>1.3</v>
          </cell>
          <cell r="AA194">
            <v>1.41</v>
          </cell>
        </row>
        <row r="195">
          <cell r="C195" t="str">
            <v>PB17020BLD927</v>
          </cell>
          <cell r="D195" t="str">
            <v>PCB</v>
          </cell>
          <cell r="E195" t="str">
            <v>BOP</v>
          </cell>
          <cell r="I195" t="str">
            <v>L,M,H,V</v>
          </cell>
          <cell r="M195" t="str">
            <v>P</v>
          </cell>
          <cell r="N195">
            <v>9</v>
          </cell>
          <cell r="O195">
            <v>27</v>
          </cell>
          <cell r="Q195" t="str">
            <v>pc</v>
          </cell>
          <cell r="T195">
            <v>1</v>
          </cell>
          <cell r="U195">
            <v>2.64</v>
          </cell>
          <cell r="V195" t="str">
            <v>LED Board, High Power, 6V, CRI90, 2700K, 150mm, Aluminium, 3 LED from Lumileds, 5050 Form Factor, Binning: x, Bold Lighting LLC, E17020</v>
          </cell>
          <cell r="Y195">
            <v>2.4</v>
          </cell>
          <cell r="Z195">
            <v>1.3</v>
          </cell>
          <cell r="AA195">
            <v>1.41</v>
          </cell>
        </row>
        <row r="196">
          <cell r="C196" t="str">
            <v>PB17020BLD930</v>
          </cell>
          <cell r="D196" t="str">
            <v>PCB</v>
          </cell>
          <cell r="E196" t="str">
            <v>BOP</v>
          </cell>
          <cell r="I196" t="str">
            <v>L,M,H,V</v>
          </cell>
          <cell r="M196" t="str">
            <v>P</v>
          </cell>
          <cell r="N196">
            <v>9</v>
          </cell>
          <cell r="O196">
            <v>30</v>
          </cell>
          <cell r="Q196" t="str">
            <v>pc</v>
          </cell>
          <cell r="T196">
            <v>1</v>
          </cell>
          <cell r="U196">
            <v>2.64</v>
          </cell>
          <cell r="V196" t="str">
            <v>LED Board, High Power, 6V, CRI90, 3000K, 150mm, Aluminium, 3 LED from Lumileds, 5050 Form Factor, Binning: x, Bold Lighting LLC, E17020</v>
          </cell>
          <cell r="Y196">
            <v>2.4</v>
          </cell>
          <cell r="Z196">
            <v>1.3</v>
          </cell>
          <cell r="AA196">
            <v>1.41</v>
          </cell>
        </row>
        <row r="197">
          <cell r="C197" t="str">
            <v>PB17020BLD935</v>
          </cell>
          <cell r="D197" t="str">
            <v>PCB</v>
          </cell>
          <cell r="E197" t="str">
            <v>BOP</v>
          </cell>
          <cell r="I197" t="str">
            <v>L,M,H,V</v>
          </cell>
          <cell r="M197" t="str">
            <v>P</v>
          </cell>
          <cell r="N197">
            <v>9</v>
          </cell>
          <cell r="O197">
            <v>35</v>
          </cell>
          <cell r="Q197" t="str">
            <v>pc</v>
          </cell>
          <cell r="T197">
            <v>1</v>
          </cell>
          <cell r="U197">
            <v>2.64</v>
          </cell>
          <cell r="V197" t="str">
            <v>LED Board, High Power, 6V, CRI90, 3500K, 150mm, Aluminium, 3 LED from Lumileds, 5050 Form Factor, Binning: x, Bold Lighting LLC, E17020</v>
          </cell>
          <cell r="Y197">
            <v>2.4</v>
          </cell>
          <cell r="Z197">
            <v>1.3</v>
          </cell>
          <cell r="AA197">
            <v>1.41</v>
          </cell>
        </row>
        <row r="198">
          <cell r="C198" t="str">
            <v>PB17020BLD940</v>
          </cell>
          <cell r="D198" t="str">
            <v>PCB</v>
          </cell>
          <cell r="E198" t="str">
            <v>BOP</v>
          </cell>
          <cell r="I198" t="str">
            <v>L,M,H,V</v>
          </cell>
          <cell r="M198" t="str">
            <v>P</v>
          </cell>
          <cell r="N198">
            <v>9</v>
          </cell>
          <cell r="O198">
            <v>40</v>
          </cell>
          <cell r="Q198" t="str">
            <v>pc</v>
          </cell>
          <cell r="T198">
            <v>1</v>
          </cell>
          <cell r="U198">
            <v>2.64</v>
          </cell>
          <cell r="V198" t="str">
            <v>LED Board, High Power, 6V, CRI90, 4000K, 150mm, Aluminium, 3 LED from Lumileds, 5050 Form Factor, Binning: x, Bold Lighting LLC, E17020</v>
          </cell>
          <cell r="Y198">
            <v>2.4</v>
          </cell>
          <cell r="Z198">
            <v>1.3</v>
          </cell>
          <cell r="AA198">
            <v>1.41</v>
          </cell>
        </row>
        <row r="199">
          <cell r="D199" t="str">
            <v>PCB</v>
          </cell>
          <cell r="E199" t="str">
            <v>BIS,BIW,BOS,BOW,BJS,BJW</v>
          </cell>
          <cell r="H199">
            <v>18</v>
          </cell>
          <cell r="I199" t="str">
            <v>L,M,H,V</v>
          </cell>
          <cell r="N199">
            <v>8</v>
          </cell>
          <cell r="O199">
            <v>27</v>
          </cell>
          <cell r="Q199" t="str">
            <v>pc</v>
          </cell>
          <cell r="T199">
            <v>1</v>
          </cell>
          <cell r="U199">
            <v>0</v>
          </cell>
          <cell r="V199" t="str">
            <v>6V, High Power PCB, 1/2 ft, CRI80, 3 LED, 2700K, CC</v>
          </cell>
          <cell r="Y199">
            <v>0</v>
          </cell>
          <cell r="Z199">
            <v>1.3</v>
          </cell>
          <cell r="AA199">
            <v>1.41</v>
          </cell>
        </row>
        <row r="200">
          <cell r="D200" t="str">
            <v>PCB</v>
          </cell>
          <cell r="E200" t="str">
            <v>BIS,BIW,BOS,BOW,BJS,BJW</v>
          </cell>
          <cell r="H200">
            <v>30</v>
          </cell>
          <cell r="I200" t="str">
            <v>L,M,H,V</v>
          </cell>
          <cell r="N200">
            <v>8</v>
          </cell>
          <cell r="O200">
            <v>27</v>
          </cell>
          <cell r="Q200" t="str">
            <v>pc</v>
          </cell>
          <cell r="T200">
            <v>1</v>
          </cell>
          <cell r="U200">
            <v>0</v>
          </cell>
          <cell r="V200" t="str">
            <v>6V, High Power PCB, 1/2 ft, CRI80, 3 LED, 2700K, CC</v>
          </cell>
          <cell r="Y200">
            <v>0</v>
          </cell>
          <cell r="Z200">
            <v>1.3</v>
          </cell>
          <cell r="AA200">
            <v>1.41</v>
          </cell>
        </row>
        <row r="201">
          <cell r="D201" t="str">
            <v>PCB</v>
          </cell>
          <cell r="E201" t="str">
            <v>BIS,BIW,BOS,BOW,BJS,BJW</v>
          </cell>
          <cell r="H201">
            <v>42</v>
          </cell>
          <cell r="I201" t="str">
            <v>L,M,H,V</v>
          </cell>
          <cell r="N201">
            <v>8</v>
          </cell>
          <cell r="O201">
            <v>27</v>
          </cell>
          <cell r="Q201" t="str">
            <v>pc</v>
          </cell>
          <cell r="T201">
            <v>1</v>
          </cell>
          <cell r="U201">
            <v>0</v>
          </cell>
          <cell r="V201" t="str">
            <v>6V, High Power PCB, 1/2 ft, CRI80, 3 LED, 2700K, CC</v>
          </cell>
          <cell r="Y201">
            <v>0</v>
          </cell>
          <cell r="Z201">
            <v>1.3</v>
          </cell>
          <cell r="AA201">
            <v>1.41</v>
          </cell>
        </row>
        <row r="202">
          <cell r="D202" t="str">
            <v>PCB</v>
          </cell>
          <cell r="E202" t="str">
            <v>BIS,BIW,BOS,BOW,BJS,BJW</v>
          </cell>
          <cell r="H202">
            <v>54</v>
          </cell>
          <cell r="I202" t="str">
            <v>L,M,H,V</v>
          </cell>
          <cell r="N202">
            <v>8</v>
          </cell>
          <cell r="O202">
            <v>27</v>
          </cell>
          <cell r="Q202" t="str">
            <v>pc</v>
          </cell>
          <cell r="T202">
            <v>1</v>
          </cell>
          <cell r="U202">
            <v>0</v>
          </cell>
          <cell r="V202" t="str">
            <v>6V, High Power PCB, 1/2 ft, CRI80, 3 LED, 2700K, CC</v>
          </cell>
          <cell r="Y202">
            <v>0</v>
          </cell>
          <cell r="Z202">
            <v>1.3</v>
          </cell>
          <cell r="AA202">
            <v>1.41</v>
          </cell>
        </row>
        <row r="203">
          <cell r="D203" t="str">
            <v>PCB</v>
          </cell>
          <cell r="E203" t="str">
            <v>BIS,BIW,BOS,BOW,BJS,BJW</v>
          </cell>
          <cell r="H203">
            <v>18</v>
          </cell>
          <cell r="I203" t="str">
            <v>L,M,H,V</v>
          </cell>
          <cell r="N203">
            <v>8</v>
          </cell>
          <cell r="O203">
            <v>30</v>
          </cell>
          <cell r="Q203" t="str">
            <v>pc</v>
          </cell>
          <cell r="T203">
            <v>1</v>
          </cell>
          <cell r="U203">
            <v>0</v>
          </cell>
          <cell r="V203" t="str">
            <v>6V, High Power PCB, 1/2 ft, CRI80, 3 LED, 3000K, CC</v>
          </cell>
          <cell r="Y203">
            <v>0</v>
          </cell>
          <cell r="Z203">
            <v>1.3</v>
          </cell>
          <cell r="AA203">
            <v>1.41</v>
          </cell>
        </row>
        <row r="204">
          <cell r="D204" t="str">
            <v>PCB</v>
          </cell>
          <cell r="E204" t="str">
            <v>BIS,BIW,BOS,BOW,BJS,BJW</v>
          </cell>
          <cell r="H204">
            <v>30</v>
          </cell>
          <cell r="I204" t="str">
            <v>L,M,H,V</v>
          </cell>
          <cell r="N204">
            <v>8</v>
          </cell>
          <cell r="O204">
            <v>30</v>
          </cell>
          <cell r="Q204" t="str">
            <v>pc</v>
          </cell>
          <cell r="T204">
            <v>1</v>
          </cell>
          <cell r="U204">
            <v>0</v>
          </cell>
          <cell r="V204" t="str">
            <v>6V, High Power PCB, 1/2 ft, CRI80, 3 LED, 3000K, CC</v>
          </cell>
          <cell r="Y204">
            <v>0</v>
          </cell>
          <cell r="Z204">
            <v>1.3</v>
          </cell>
          <cell r="AA204">
            <v>1.41</v>
          </cell>
        </row>
        <row r="205">
          <cell r="D205" t="str">
            <v>PCB</v>
          </cell>
          <cell r="E205" t="str">
            <v>BIS,BIW,BOS,BOW,BJS,BJW</v>
          </cell>
          <cell r="H205">
            <v>42</v>
          </cell>
          <cell r="I205" t="str">
            <v>L,M,H,V</v>
          </cell>
          <cell r="N205">
            <v>8</v>
          </cell>
          <cell r="O205">
            <v>30</v>
          </cell>
          <cell r="Q205" t="str">
            <v>pc</v>
          </cell>
          <cell r="T205">
            <v>1</v>
          </cell>
          <cell r="U205">
            <v>0</v>
          </cell>
          <cell r="V205" t="str">
            <v>6V, High Power PCB, 1/2 ft, CRI80, 3 LED, 3000K, CC</v>
          </cell>
          <cell r="Y205">
            <v>0</v>
          </cell>
          <cell r="Z205">
            <v>1.3</v>
          </cell>
          <cell r="AA205">
            <v>1.41</v>
          </cell>
        </row>
        <row r="206">
          <cell r="D206" t="str">
            <v>PCB</v>
          </cell>
          <cell r="E206" t="str">
            <v>BIS,BIW,BOS,BOW,BJS,BJW</v>
          </cell>
          <cell r="H206">
            <v>54</v>
          </cell>
          <cell r="I206" t="str">
            <v>L,M,H,V</v>
          </cell>
          <cell r="N206">
            <v>8</v>
          </cell>
          <cell r="O206">
            <v>30</v>
          </cell>
          <cell r="Q206" t="str">
            <v>pc</v>
          </cell>
          <cell r="T206">
            <v>1</v>
          </cell>
          <cell r="U206">
            <v>0</v>
          </cell>
          <cell r="V206" t="str">
            <v>6V, High Power PCB, 1/2 ft, CRI80, 3 LED, 3000K, CC</v>
          </cell>
          <cell r="Y206">
            <v>0</v>
          </cell>
          <cell r="Z206">
            <v>1.3</v>
          </cell>
          <cell r="AA206">
            <v>1.41</v>
          </cell>
        </row>
        <row r="207">
          <cell r="D207" t="str">
            <v>PCB</v>
          </cell>
          <cell r="E207" t="str">
            <v>BIS,BIW,BOS,BOW,BJS,BJW</v>
          </cell>
          <cell r="H207">
            <v>18</v>
          </cell>
          <cell r="I207" t="str">
            <v>L,M,H,V</v>
          </cell>
          <cell r="N207">
            <v>8</v>
          </cell>
          <cell r="O207">
            <v>35</v>
          </cell>
          <cell r="Q207" t="str">
            <v>pc</v>
          </cell>
          <cell r="T207">
            <v>1</v>
          </cell>
          <cell r="U207">
            <v>0</v>
          </cell>
          <cell r="V207" t="str">
            <v>6V, High Power PCB, 1/2 ft, CRI80, 3 LED, 3500K, CC</v>
          </cell>
          <cell r="Y207">
            <v>0</v>
          </cell>
          <cell r="Z207">
            <v>1.3</v>
          </cell>
          <cell r="AA207">
            <v>1.41</v>
          </cell>
        </row>
        <row r="208">
          <cell r="D208" t="str">
            <v>PCB</v>
          </cell>
          <cell r="E208" t="str">
            <v>BIS,BIW,BOS,BOW,BJS,BJW</v>
          </cell>
          <cell r="H208">
            <v>30</v>
          </cell>
          <cell r="I208" t="str">
            <v>L,M,H,V</v>
          </cell>
          <cell r="N208">
            <v>8</v>
          </cell>
          <cell r="O208">
            <v>35</v>
          </cell>
          <cell r="Q208" t="str">
            <v>pc</v>
          </cell>
          <cell r="T208">
            <v>1</v>
          </cell>
          <cell r="U208">
            <v>0</v>
          </cell>
          <cell r="V208" t="str">
            <v>6V, High Power PCB, 1/2 ft, CRI80, 3 LED, 3500K, CC</v>
          </cell>
          <cell r="Y208">
            <v>0</v>
          </cell>
          <cell r="Z208">
            <v>1.3</v>
          </cell>
          <cell r="AA208">
            <v>1.41</v>
          </cell>
        </row>
        <row r="209">
          <cell r="D209" t="str">
            <v>PCB</v>
          </cell>
          <cell r="E209" t="str">
            <v>BIS,BIW,BOS,BOW,BJS,BJW</v>
          </cell>
          <cell r="H209">
            <v>42</v>
          </cell>
          <cell r="I209" t="str">
            <v>L,M,H,V</v>
          </cell>
          <cell r="N209">
            <v>8</v>
          </cell>
          <cell r="O209">
            <v>35</v>
          </cell>
          <cell r="Q209" t="str">
            <v>pc</v>
          </cell>
          <cell r="T209">
            <v>1</v>
          </cell>
          <cell r="U209">
            <v>0</v>
          </cell>
          <cell r="V209" t="str">
            <v>6V, High Power PCB, 1/2 ft, CRI80, 3 LED, 3500K, CC</v>
          </cell>
          <cell r="Y209">
            <v>0</v>
          </cell>
          <cell r="Z209">
            <v>1.3</v>
          </cell>
          <cell r="AA209">
            <v>1.41</v>
          </cell>
        </row>
        <row r="210">
          <cell r="D210" t="str">
            <v>PCB</v>
          </cell>
          <cell r="E210" t="str">
            <v>BIS,BIW,BOS,BOW,BJS,BJW</v>
          </cell>
          <cell r="H210">
            <v>54</v>
          </cell>
          <cell r="I210" t="str">
            <v>L,M,H,V</v>
          </cell>
          <cell r="N210">
            <v>8</v>
          </cell>
          <cell r="O210">
            <v>35</v>
          </cell>
          <cell r="Q210" t="str">
            <v>pc</v>
          </cell>
          <cell r="T210">
            <v>1</v>
          </cell>
          <cell r="U210">
            <v>0</v>
          </cell>
          <cell r="V210" t="str">
            <v>6V, High Power PCB, 1/2 ft, CRI80, 3 LED, 3500K, CC</v>
          </cell>
          <cell r="Y210">
            <v>0</v>
          </cell>
          <cell r="Z210">
            <v>1.3</v>
          </cell>
          <cell r="AA210">
            <v>1.41</v>
          </cell>
        </row>
        <row r="211">
          <cell r="D211" t="str">
            <v>PCB</v>
          </cell>
          <cell r="E211" t="str">
            <v>BIS,BIW,BOS,BOW,BJS,BJW</v>
          </cell>
          <cell r="H211">
            <v>18</v>
          </cell>
          <cell r="I211" t="str">
            <v>L,M,H,V</v>
          </cell>
          <cell r="N211">
            <v>8</v>
          </cell>
          <cell r="O211">
            <v>40</v>
          </cell>
          <cell r="Q211" t="str">
            <v>pc</v>
          </cell>
          <cell r="T211">
            <v>1</v>
          </cell>
          <cell r="U211">
            <v>0</v>
          </cell>
          <cell r="V211" t="str">
            <v>6V, High Power PCB, 1/2 ft, CRI80, 3 LED, 4000K, CC</v>
          </cell>
          <cell r="Y211">
            <v>0</v>
          </cell>
          <cell r="Z211">
            <v>1.3</v>
          </cell>
          <cell r="AA211">
            <v>1.41</v>
          </cell>
        </row>
        <row r="212">
          <cell r="D212" t="str">
            <v>PCB</v>
          </cell>
          <cell r="E212" t="str">
            <v>BIS,BIW,BOS,BOW,BJS,BJW</v>
          </cell>
          <cell r="H212">
            <v>30</v>
          </cell>
          <cell r="I212" t="str">
            <v>L,M,H,V</v>
          </cell>
          <cell r="N212">
            <v>8</v>
          </cell>
          <cell r="O212">
            <v>40</v>
          </cell>
          <cell r="Q212" t="str">
            <v>pc</v>
          </cell>
          <cell r="T212">
            <v>1</v>
          </cell>
          <cell r="U212">
            <v>0</v>
          </cell>
          <cell r="V212" t="str">
            <v>6V, High Power PCB, 1/2 ft, CRI80, 3 LED, 4000K, CC</v>
          </cell>
          <cell r="Y212">
            <v>0</v>
          </cell>
          <cell r="Z212">
            <v>1.3</v>
          </cell>
          <cell r="AA212">
            <v>1.41</v>
          </cell>
        </row>
        <row r="213">
          <cell r="D213" t="str">
            <v>PCB</v>
          </cell>
          <cell r="E213" t="str">
            <v>BIS,BIW,BOS,BOW,BJS,BJW</v>
          </cell>
          <cell r="H213">
            <v>42</v>
          </cell>
          <cell r="I213" t="str">
            <v>L,M,H,V</v>
          </cell>
          <cell r="N213">
            <v>8</v>
          </cell>
          <cell r="O213">
            <v>40</v>
          </cell>
          <cell r="Q213" t="str">
            <v>pc</v>
          </cell>
          <cell r="T213">
            <v>1</v>
          </cell>
          <cell r="U213">
            <v>0</v>
          </cell>
          <cell r="V213" t="str">
            <v>6V, High Power PCB, 1/2 ft, CRI80, 3 LED, 4000K, CC</v>
          </cell>
          <cell r="Y213">
            <v>0</v>
          </cell>
          <cell r="Z213">
            <v>1.3</v>
          </cell>
          <cell r="AA213">
            <v>1.41</v>
          </cell>
        </row>
        <row r="214">
          <cell r="D214" t="str">
            <v>PCB</v>
          </cell>
          <cell r="E214" t="str">
            <v>BIS,BIW,BOS,BOW,BJS,BJW</v>
          </cell>
          <cell r="H214">
            <v>54</v>
          </cell>
          <cell r="I214" t="str">
            <v>L,M,H,V</v>
          </cell>
          <cell r="N214">
            <v>8</v>
          </cell>
          <cell r="O214">
            <v>40</v>
          </cell>
          <cell r="Q214" t="str">
            <v>pc</v>
          </cell>
          <cell r="T214">
            <v>1</v>
          </cell>
          <cell r="U214">
            <v>0</v>
          </cell>
          <cell r="V214" t="str">
            <v>6V, High Power PCB, 1/2 ft, CRI80, 3 LED, 4000K, CC</v>
          </cell>
          <cell r="Y214">
            <v>0</v>
          </cell>
          <cell r="Z214">
            <v>1.3</v>
          </cell>
          <cell r="AA214">
            <v>1.41</v>
          </cell>
        </row>
        <row r="215">
          <cell r="C215" t="str">
            <v>PB17020BLD927</v>
          </cell>
          <cell r="D215" t="str">
            <v>PCB</v>
          </cell>
          <cell r="E215" t="str">
            <v>BIS,BIW,BOS,BOW,BJS,BJW</v>
          </cell>
          <cell r="H215">
            <v>18</v>
          </cell>
          <cell r="I215" t="str">
            <v>L,M,H,V</v>
          </cell>
          <cell r="N215">
            <v>9</v>
          </cell>
          <cell r="O215">
            <v>27</v>
          </cell>
          <cell r="Q215" t="str">
            <v>pc</v>
          </cell>
          <cell r="T215">
            <v>1</v>
          </cell>
          <cell r="U215">
            <v>2.64</v>
          </cell>
          <cell r="V215" t="str">
            <v>LED Board, High Power, 6V, CRI90, 2700K, 150mm, Aluminium, 3 LED from Lumileds, 5050 Form Factor, Binning: x, Bold Lighting LLC, E17020</v>
          </cell>
          <cell r="Y215">
            <v>2.4</v>
          </cell>
          <cell r="Z215">
            <v>1.3</v>
          </cell>
          <cell r="AA215">
            <v>1.41</v>
          </cell>
        </row>
        <row r="216">
          <cell r="C216" t="str">
            <v>PB17020BLD927</v>
          </cell>
          <cell r="D216" t="str">
            <v>PCB</v>
          </cell>
          <cell r="E216" t="str">
            <v>BIS,BIW,BOS,BOW,BJS,BJW</v>
          </cell>
          <cell r="H216">
            <v>30</v>
          </cell>
          <cell r="I216" t="str">
            <v>L,M,H,V</v>
          </cell>
          <cell r="N216">
            <v>9</v>
          </cell>
          <cell r="O216">
            <v>27</v>
          </cell>
          <cell r="Q216" t="str">
            <v>pc</v>
          </cell>
          <cell r="T216">
            <v>1</v>
          </cell>
          <cell r="U216">
            <v>2.64</v>
          </cell>
          <cell r="V216" t="str">
            <v>LED Board, High Power, 6V, CRI90, 2700K, 150mm, Aluminium, 3 LED from Lumileds, 5050 Form Factor, Binning: x, Bold Lighting LLC, E17020</v>
          </cell>
          <cell r="Y216">
            <v>2.4</v>
          </cell>
          <cell r="Z216">
            <v>1.3</v>
          </cell>
          <cell r="AA216">
            <v>1.41</v>
          </cell>
        </row>
        <row r="217">
          <cell r="C217" t="str">
            <v>PB17020BLD927</v>
          </cell>
          <cell r="D217" t="str">
            <v>PCB</v>
          </cell>
          <cell r="E217" t="str">
            <v>BIS,BIW,BOS,BOW,BJS,BJW</v>
          </cell>
          <cell r="H217">
            <v>42</v>
          </cell>
          <cell r="I217" t="str">
            <v>L,M,H,V</v>
          </cell>
          <cell r="N217">
            <v>9</v>
          </cell>
          <cell r="O217">
            <v>27</v>
          </cell>
          <cell r="Q217" t="str">
            <v>pc</v>
          </cell>
          <cell r="T217">
            <v>1</v>
          </cell>
          <cell r="U217">
            <v>2.64</v>
          </cell>
          <cell r="V217" t="str">
            <v>LED Board, High Power, 6V, CRI90, 2700K, 150mm, Aluminium, 3 LED from Lumileds, 5050 Form Factor, Binning: x, Bold Lighting LLC, E17020</v>
          </cell>
          <cell r="Y217">
            <v>2.4</v>
          </cell>
          <cell r="Z217">
            <v>1.3</v>
          </cell>
          <cell r="AA217">
            <v>1.41</v>
          </cell>
        </row>
        <row r="218">
          <cell r="C218" t="str">
            <v>PB17020BLD927</v>
          </cell>
          <cell r="D218" t="str">
            <v>PCB</v>
          </cell>
          <cell r="E218" t="str">
            <v>BIS,BIW,BOS,BOW,BJS,BJW</v>
          </cell>
          <cell r="H218">
            <v>54</v>
          </cell>
          <cell r="I218" t="str">
            <v>L,M,H,V</v>
          </cell>
          <cell r="N218">
            <v>9</v>
          </cell>
          <cell r="O218">
            <v>27</v>
          </cell>
          <cell r="Q218" t="str">
            <v>pc</v>
          </cell>
          <cell r="T218">
            <v>1</v>
          </cell>
          <cell r="U218">
            <v>2.64</v>
          </cell>
          <cell r="V218" t="str">
            <v>LED Board, High Power, 6V, CRI90, 2700K, 150mm, Aluminium, 3 LED from Lumileds, 5050 Form Factor, Binning: x, Bold Lighting LLC, E17020</v>
          </cell>
          <cell r="Y218">
            <v>2.4</v>
          </cell>
          <cell r="Z218">
            <v>1.3</v>
          </cell>
          <cell r="AA218">
            <v>1.41</v>
          </cell>
        </row>
        <row r="219">
          <cell r="C219" t="str">
            <v>PB17020BLD927</v>
          </cell>
          <cell r="D219" t="str">
            <v>PCB</v>
          </cell>
          <cell r="E219" t="str">
            <v>BIS,BIW,BOS,BOW,BJS,BJW</v>
          </cell>
          <cell r="H219">
            <v>60</v>
          </cell>
          <cell r="I219" t="str">
            <v>L,M,H,V</v>
          </cell>
          <cell r="N219">
            <v>9</v>
          </cell>
          <cell r="O219">
            <v>27</v>
          </cell>
          <cell r="Q219" t="str">
            <v>pc</v>
          </cell>
          <cell r="T219">
            <v>2</v>
          </cell>
          <cell r="U219">
            <v>2.64</v>
          </cell>
          <cell r="V219" t="str">
            <v>LED Board, High Power, 6V, CRI90, 2700K, 150mm, Aluminium, 3 LED from Lumileds, 5050 Form Factor, Binning: x, Bold Lighting LLC, E17020</v>
          </cell>
          <cell r="Y219">
            <v>2.4</v>
          </cell>
          <cell r="Z219">
            <v>1.3</v>
          </cell>
          <cell r="AA219">
            <v>1.41</v>
          </cell>
        </row>
        <row r="220">
          <cell r="C220" t="str">
            <v>PB17020BLD930</v>
          </cell>
          <cell r="D220" t="str">
            <v>PCB</v>
          </cell>
          <cell r="E220" t="str">
            <v>BIS,BIW,BOS,BOW,BJS,BJW</v>
          </cell>
          <cell r="H220">
            <v>18</v>
          </cell>
          <cell r="I220" t="str">
            <v>L,M,H,V</v>
          </cell>
          <cell r="N220">
            <v>9</v>
          </cell>
          <cell r="O220">
            <v>30</v>
          </cell>
          <cell r="Q220" t="str">
            <v>pc</v>
          </cell>
          <cell r="T220">
            <v>1</v>
          </cell>
          <cell r="U220">
            <v>2.64</v>
          </cell>
          <cell r="V220" t="str">
            <v>LED Board, High Power, 6V, CRI90, 3000K, 150mm, Aluminium, 3 LED from Lumileds, 5050 Form Factor, Binning: x, Bold Lighting LLC, E17020</v>
          </cell>
          <cell r="Y220">
            <v>2.4</v>
          </cell>
          <cell r="Z220">
            <v>1.3</v>
          </cell>
          <cell r="AA220">
            <v>1.41</v>
          </cell>
        </row>
        <row r="221">
          <cell r="C221" t="str">
            <v>PB17020BLD930</v>
          </cell>
          <cell r="D221" t="str">
            <v>PCB</v>
          </cell>
          <cell r="E221" t="str">
            <v>BIS,BIW,BOS,BOW,BJS,BJW</v>
          </cell>
          <cell r="H221">
            <v>30</v>
          </cell>
          <cell r="I221" t="str">
            <v>L,M,H,V</v>
          </cell>
          <cell r="N221">
            <v>9</v>
          </cell>
          <cell r="O221">
            <v>30</v>
          </cell>
          <cell r="Q221" t="str">
            <v>pc</v>
          </cell>
          <cell r="T221">
            <v>1</v>
          </cell>
          <cell r="U221">
            <v>2.64</v>
          </cell>
          <cell r="V221" t="str">
            <v>LED Board, High Power, 6V, CRI90, 3000K, 150mm, Aluminium, 3 LED from Lumileds, 5050 Form Factor, Binning: x, Bold Lighting LLC, E17020</v>
          </cell>
          <cell r="Y221">
            <v>2.4</v>
          </cell>
          <cell r="Z221">
            <v>1.3</v>
          </cell>
          <cell r="AA221">
            <v>1.41</v>
          </cell>
        </row>
        <row r="222">
          <cell r="C222" t="str">
            <v>PB17020BLD930</v>
          </cell>
          <cell r="D222" t="str">
            <v>PCB</v>
          </cell>
          <cell r="E222" t="str">
            <v>BIS,BIW,BOS,BOW,BJS,BJW</v>
          </cell>
          <cell r="H222">
            <v>42</v>
          </cell>
          <cell r="I222" t="str">
            <v>L,M,H,V</v>
          </cell>
          <cell r="N222">
            <v>9</v>
          </cell>
          <cell r="O222">
            <v>30</v>
          </cell>
          <cell r="Q222" t="str">
            <v>pc</v>
          </cell>
          <cell r="T222">
            <v>1</v>
          </cell>
          <cell r="U222">
            <v>2.64</v>
          </cell>
          <cell r="V222" t="str">
            <v>LED Board, High Power, 6V, CRI90, 3000K, 150mm, Aluminium, 3 LED from Lumileds, 5050 Form Factor, Binning: x, Bold Lighting LLC, E17020</v>
          </cell>
          <cell r="Y222">
            <v>2.4</v>
          </cell>
          <cell r="Z222">
            <v>1.3</v>
          </cell>
          <cell r="AA222">
            <v>1.41</v>
          </cell>
        </row>
        <row r="223">
          <cell r="C223" t="str">
            <v>PB17020BLD930</v>
          </cell>
          <cell r="D223" t="str">
            <v>PCB</v>
          </cell>
          <cell r="E223" t="str">
            <v>BIS,BIW,BOS,BOW,BJS,BJW</v>
          </cell>
          <cell r="H223">
            <v>54</v>
          </cell>
          <cell r="I223" t="str">
            <v>L,M,H,V</v>
          </cell>
          <cell r="N223">
            <v>9</v>
          </cell>
          <cell r="O223">
            <v>30</v>
          </cell>
          <cell r="Q223" t="str">
            <v>pc</v>
          </cell>
          <cell r="T223">
            <v>1</v>
          </cell>
          <cell r="U223">
            <v>2.64</v>
          </cell>
          <cell r="V223" t="str">
            <v>LED Board, High Power, 6V, CRI90, 3000K, 150mm, Aluminium, 3 LED from Lumileds, 5050 Form Factor, Binning: x, Bold Lighting LLC, E17020</v>
          </cell>
          <cell r="Y223">
            <v>2.4</v>
          </cell>
          <cell r="Z223">
            <v>1.3</v>
          </cell>
          <cell r="AA223">
            <v>1.41</v>
          </cell>
        </row>
        <row r="224">
          <cell r="C224" t="str">
            <v>PB17020BLD930</v>
          </cell>
          <cell r="D224" t="str">
            <v>PCB</v>
          </cell>
          <cell r="E224" t="str">
            <v>BIS,BIW,BOS,BOW,BJS,BJW</v>
          </cell>
          <cell r="H224">
            <v>60</v>
          </cell>
          <cell r="I224" t="str">
            <v>L,M,H,V</v>
          </cell>
          <cell r="N224">
            <v>9</v>
          </cell>
          <cell r="O224">
            <v>30</v>
          </cell>
          <cell r="Q224" t="str">
            <v>pc</v>
          </cell>
          <cell r="T224">
            <v>2</v>
          </cell>
          <cell r="U224">
            <v>2.64</v>
          </cell>
          <cell r="V224" t="str">
            <v>LED Board, High Power, 6V, CRI90, 3000K, 150mm, Aluminium, 3 LED from Lumileds, 5050 Form Factor, Binning: x, Bold Lighting LLC, E17020</v>
          </cell>
          <cell r="Y224">
            <v>2.4</v>
          </cell>
          <cell r="Z224">
            <v>1.3</v>
          </cell>
          <cell r="AA224">
            <v>1.41</v>
          </cell>
        </row>
        <row r="225">
          <cell r="C225" t="str">
            <v>PB17020BLD935</v>
          </cell>
          <cell r="D225" t="str">
            <v>PCB</v>
          </cell>
          <cell r="E225" t="str">
            <v>BIS,BIW,BOS,BOW,BJS,BJW</v>
          </cell>
          <cell r="H225">
            <v>18</v>
          </cell>
          <cell r="I225" t="str">
            <v>L,M,H,V</v>
          </cell>
          <cell r="N225">
            <v>9</v>
          </cell>
          <cell r="O225">
            <v>35</v>
          </cell>
          <cell r="Q225" t="str">
            <v>pc</v>
          </cell>
          <cell r="T225">
            <v>1</v>
          </cell>
          <cell r="U225">
            <v>2.64</v>
          </cell>
          <cell r="V225" t="str">
            <v>LED Board, High Power, 6V, CRI90, 3500K, 150mm, Aluminium, 3 LED from Lumileds, 5050 Form Factor, Binning: x, Bold Lighting LLC, E17020</v>
          </cell>
          <cell r="Y225">
            <v>2.4</v>
          </cell>
          <cell r="Z225">
            <v>1.3</v>
          </cell>
          <cell r="AA225">
            <v>1.41</v>
          </cell>
        </row>
        <row r="226">
          <cell r="C226" t="str">
            <v>PB17020BLD935</v>
          </cell>
          <cell r="D226" t="str">
            <v>PCB</v>
          </cell>
          <cell r="E226" t="str">
            <v>BIS,BIW,BOS,BOW,BJS,BJW</v>
          </cell>
          <cell r="H226">
            <v>30</v>
          </cell>
          <cell r="I226" t="str">
            <v>L,M,H,V</v>
          </cell>
          <cell r="N226">
            <v>9</v>
          </cell>
          <cell r="O226">
            <v>35</v>
          </cell>
          <cell r="Q226" t="str">
            <v>pc</v>
          </cell>
          <cell r="T226">
            <v>1</v>
          </cell>
          <cell r="U226">
            <v>2.64</v>
          </cell>
          <cell r="V226" t="str">
            <v>LED Board, High Power, 6V, CRI90, 3500K, 150mm, Aluminium, 3 LED from Lumileds, 5050 Form Factor, Binning: x, Bold Lighting LLC, E17020</v>
          </cell>
          <cell r="Y226">
            <v>2.4</v>
          </cell>
          <cell r="Z226">
            <v>1.3</v>
          </cell>
          <cell r="AA226">
            <v>1.41</v>
          </cell>
        </row>
        <row r="227">
          <cell r="C227" t="str">
            <v>PB17020BLD935</v>
          </cell>
          <cell r="D227" t="str">
            <v>PCB</v>
          </cell>
          <cell r="E227" t="str">
            <v>BIS,BIW,BOS,BOW,BJS,BJW</v>
          </cell>
          <cell r="H227">
            <v>42</v>
          </cell>
          <cell r="I227" t="str">
            <v>L,M,H,V</v>
          </cell>
          <cell r="N227">
            <v>9</v>
          </cell>
          <cell r="O227">
            <v>35</v>
          </cell>
          <cell r="Q227" t="str">
            <v>pc</v>
          </cell>
          <cell r="T227">
            <v>1</v>
          </cell>
          <cell r="U227">
            <v>2.64</v>
          </cell>
          <cell r="V227" t="str">
            <v>LED Board, High Power, 6V, CRI90, 3500K, 150mm, Aluminium, 3 LED from Lumileds, 5050 Form Factor, Binning: x, Bold Lighting LLC, E17020</v>
          </cell>
          <cell r="Y227">
            <v>2.4</v>
          </cell>
          <cell r="Z227">
            <v>1.3</v>
          </cell>
          <cell r="AA227">
            <v>1.41</v>
          </cell>
        </row>
        <row r="228">
          <cell r="C228" t="str">
            <v>PB17020BLD935</v>
          </cell>
          <cell r="D228" t="str">
            <v>PCB</v>
          </cell>
          <cell r="E228" t="str">
            <v>BIS,BIW,BOS,BOW,BJS,BJW</v>
          </cell>
          <cell r="H228">
            <v>54</v>
          </cell>
          <cell r="I228" t="str">
            <v>L,M,H,V</v>
          </cell>
          <cell r="N228">
            <v>9</v>
          </cell>
          <cell r="O228">
            <v>35</v>
          </cell>
          <cell r="Q228" t="str">
            <v>pc</v>
          </cell>
          <cell r="T228">
            <v>1</v>
          </cell>
          <cell r="U228">
            <v>2.64</v>
          </cell>
          <cell r="V228" t="str">
            <v>LED Board, High Power, 6V, CRI90, 3500K, 150mm, Aluminium, 3 LED from Lumileds, 5050 Form Factor, Binning: x, Bold Lighting LLC, E17020</v>
          </cell>
          <cell r="Y228">
            <v>2.4</v>
          </cell>
          <cell r="Z228">
            <v>1.3</v>
          </cell>
          <cell r="AA228">
            <v>1.41</v>
          </cell>
        </row>
        <row r="229">
          <cell r="C229" t="str">
            <v>PB17020BLD935</v>
          </cell>
          <cell r="D229" t="str">
            <v>PCB</v>
          </cell>
          <cell r="E229" t="str">
            <v>BIS,BIW,BOS,BOW,BJS,BJW</v>
          </cell>
          <cell r="H229">
            <v>60</v>
          </cell>
          <cell r="I229" t="str">
            <v>L,M,H,V</v>
          </cell>
          <cell r="N229">
            <v>9</v>
          </cell>
          <cell r="O229">
            <v>35</v>
          </cell>
          <cell r="Q229" t="str">
            <v>pc</v>
          </cell>
          <cell r="T229">
            <v>2</v>
          </cell>
          <cell r="U229">
            <v>2.64</v>
          </cell>
          <cell r="V229" t="str">
            <v>LED Board, High Power, 6V, CRI90, 3500K, 150mm, Aluminium, 3 LED from Lumileds, 5050 Form Factor, Binning: x, Bold Lighting LLC, E17020</v>
          </cell>
          <cell r="Y229">
            <v>2.4</v>
          </cell>
          <cell r="Z229">
            <v>1.3</v>
          </cell>
          <cell r="AA229">
            <v>1.41</v>
          </cell>
        </row>
        <row r="230">
          <cell r="C230" t="str">
            <v>PB17020BLD940</v>
          </cell>
          <cell r="D230" t="str">
            <v>PCB</v>
          </cell>
          <cell r="E230" t="str">
            <v>BIS,BIW,BOS,BOW,BJS,BJW</v>
          </cell>
          <cell r="H230">
            <v>18</v>
          </cell>
          <cell r="I230" t="str">
            <v>L,M,H,V</v>
          </cell>
          <cell r="N230">
            <v>9</v>
          </cell>
          <cell r="O230">
            <v>40</v>
          </cell>
          <cell r="Q230" t="str">
            <v>pc</v>
          </cell>
          <cell r="T230">
            <v>1</v>
          </cell>
          <cell r="U230">
            <v>2.64</v>
          </cell>
          <cell r="V230" t="str">
            <v>LED Board, High Power, 6V, CRI90, 4000K, 150mm, Aluminium, 3 LED from Lumileds, 5050 Form Factor, Binning: x, Bold Lighting LLC, E17020</v>
          </cell>
          <cell r="Y230">
            <v>2.4</v>
          </cell>
          <cell r="Z230">
            <v>1.3</v>
          </cell>
          <cell r="AA230">
            <v>1.41</v>
          </cell>
        </row>
        <row r="231">
          <cell r="C231" t="str">
            <v>PB17020BLD940</v>
          </cell>
          <cell r="D231" t="str">
            <v>PCB</v>
          </cell>
          <cell r="E231" t="str">
            <v>BIS,BIW,BOS,BOW,BJS,BJW</v>
          </cell>
          <cell r="H231">
            <v>30</v>
          </cell>
          <cell r="I231" t="str">
            <v>L,M,H,V</v>
          </cell>
          <cell r="N231">
            <v>9</v>
          </cell>
          <cell r="O231">
            <v>40</v>
          </cell>
          <cell r="Q231" t="str">
            <v>pc</v>
          </cell>
          <cell r="T231">
            <v>1</v>
          </cell>
          <cell r="U231">
            <v>2.64</v>
          </cell>
          <cell r="V231" t="str">
            <v>LED Board, High Power, 6V, CRI90, 4000K, 150mm, Aluminium, 3 LED from Lumileds, 5050 Form Factor, Binning: x, Bold Lighting LLC, E17020</v>
          </cell>
          <cell r="Y231">
            <v>2.4</v>
          </cell>
          <cell r="Z231">
            <v>1.3</v>
          </cell>
          <cell r="AA231">
            <v>1.41</v>
          </cell>
        </row>
        <row r="232">
          <cell r="C232" t="str">
            <v>PB17020BLD940</v>
          </cell>
          <cell r="D232" t="str">
            <v>PCB</v>
          </cell>
          <cell r="E232" t="str">
            <v>BIS,BIW,BOS,BOW,BJS,BJW</v>
          </cell>
          <cell r="H232">
            <v>42</v>
          </cell>
          <cell r="I232" t="str">
            <v>L,M,H,V</v>
          </cell>
          <cell r="N232">
            <v>9</v>
          </cell>
          <cell r="O232">
            <v>40</v>
          </cell>
          <cell r="Q232" t="str">
            <v>pc</v>
          </cell>
          <cell r="T232">
            <v>1</v>
          </cell>
          <cell r="U232">
            <v>2.64</v>
          </cell>
          <cell r="V232" t="str">
            <v>LED Board, High Power, 6V, CRI90, 4000K, 150mm, Aluminium, 3 LED from Lumileds, 5050 Form Factor, Binning: x, Bold Lighting LLC, E17020</v>
          </cell>
          <cell r="Y232">
            <v>2.4</v>
          </cell>
          <cell r="Z232">
            <v>1.3</v>
          </cell>
          <cell r="AA232">
            <v>1.41</v>
          </cell>
        </row>
        <row r="233">
          <cell r="C233" t="str">
            <v>PB17020BLD940</v>
          </cell>
          <cell r="D233" t="str">
            <v>PCB</v>
          </cell>
          <cell r="E233" t="str">
            <v>BIS,BIW,BOS,BOW,BJS,BJW</v>
          </cell>
          <cell r="H233">
            <v>54</v>
          </cell>
          <cell r="I233" t="str">
            <v>L,M,H,V</v>
          </cell>
          <cell r="N233">
            <v>9</v>
          </cell>
          <cell r="O233">
            <v>40</v>
          </cell>
          <cell r="Q233" t="str">
            <v>pc</v>
          </cell>
          <cell r="T233">
            <v>1</v>
          </cell>
          <cell r="U233">
            <v>2.64</v>
          </cell>
          <cell r="V233" t="str">
            <v>LED Board, High Power, 6V, CRI90, 4000K, 150mm, Aluminium, 3 LED from Lumileds, 5050 Form Factor, Binning: x, Bold Lighting LLC, E17020</v>
          </cell>
          <cell r="Y233">
            <v>2.4</v>
          </cell>
          <cell r="Z233">
            <v>1.3</v>
          </cell>
          <cell r="AA233">
            <v>1.41</v>
          </cell>
        </row>
        <row r="234">
          <cell r="C234" t="str">
            <v>PB17020BLD940</v>
          </cell>
          <cell r="D234" t="str">
            <v>PCB</v>
          </cell>
          <cell r="E234" t="str">
            <v>BIS,BIW,BOS,BOW,BJS,BJW</v>
          </cell>
          <cell r="H234">
            <v>60</v>
          </cell>
          <cell r="I234" t="str">
            <v>L,M,H,V</v>
          </cell>
          <cell r="N234">
            <v>9</v>
          </cell>
          <cell r="O234">
            <v>40</v>
          </cell>
          <cell r="Q234" t="str">
            <v>pc</v>
          </cell>
          <cell r="T234">
            <v>2</v>
          </cell>
          <cell r="U234">
            <v>2.64</v>
          </cell>
          <cell r="V234" t="str">
            <v>LED Board, High Power, 6V, CRI90, 4000K, 150mm, Aluminium, 3 LED from Lumileds, 5050 Form Factor, Binning: x, Bold Lighting LLC, E17020</v>
          </cell>
          <cell r="Y234">
            <v>2.4</v>
          </cell>
          <cell r="Z234">
            <v>1.3</v>
          </cell>
          <cell r="AA234">
            <v>1.41</v>
          </cell>
        </row>
        <row r="236">
          <cell r="D236" t="str">
            <v>PCB</v>
          </cell>
          <cell r="E236" t="str">
            <v>BIS,BIW,BOS,BOW,BJS,BJW</v>
          </cell>
          <cell r="H236" t="str">
            <v>12,18</v>
          </cell>
          <cell r="I236" t="str">
            <v>U,A</v>
          </cell>
          <cell r="N236">
            <v>8</v>
          </cell>
          <cell r="O236" t="str">
            <v>TW</v>
          </cell>
          <cell r="Q236" t="str">
            <v>pc</v>
          </cell>
          <cell r="T236">
            <v>1</v>
          </cell>
          <cell r="U236">
            <v>0</v>
          </cell>
          <cell r="V236" t="str">
            <v>18V, High Power PCB, 1 ft, CRI80, 6 LED, Tunable White, 2700 - 5000K</v>
          </cell>
          <cell r="Y236">
            <v>0</v>
          </cell>
          <cell r="Z236">
            <v>1.3</v>
          </cell>
          <cell r="AA236">
            <v>1.41</v>
          </cell>
        </row>
        <row r="237">
          <cell r="D237" t="str">
            <v>PCB</v>
          </cell>
          <cell r="E237" t="str">
            <v>BIS,BIW,BOS,BOW,BJS,BJW</v>
          </cell>
          <cell r="H237" t="str">
            <v>24,30</v>
          </cell>
          <cell r="I237" t="str">
            <v>U,A</v>
          </cell>
          <cell r="N237">
            <v>8</v>
          </cell>
          <cell r="O237" t="str">
            <v>TW</v>
          </cell>
          <cell r="Q237" t="str">
            <v>pc</v>
          </cell>
          <cell r="T237">
            <v>2</v>
          </cell>
          <cell r="U237">
            <v>0</v>
          </cell>
          <cell r="V237" t="str">
            <v>18V, High Power PCB, 1 ft, CRI80, 6 LED, Tunable White, 2700 - 5000K</v>
          </cell>
          <cell r="Y237">
            <v>0</v>
          </cell>
          <cell r="Z237">
            <v>1.3</v>
          </cell>
          <cell r="AA237">
            <v>1.41</v>
          </cell>
        </row>
        <row r="238">
          <cell r="D238" t="str">
            <v>PCB</v>
          </cell>
          <cell r="E238" t="str">
            <v>BIS,BIW,BOS,BOW,BJS,BJW</v>
          </cell>
          <cell r="H238" t="str">
            <v>36,42</v>
          </cell>
          <cell r="I238" t="str">
            <v>U,A</v>
          </cell>
          <cell r="N238">
            <v>8</v>
          </cell>
          <cell r="O238" t="str">
            <v>TW</v>
          </cell>
          <cell r="Q238" t="str">
            <v>pc</v>
          </cell>
          <cell r="T238">
            <v>3</v>
          </cell>
          <cell r="U238">
            <v>0</v>
          </cell>
          <cell r="V238" t="str">
            <v>18V, High Power PCB, 1 ft, CRI80, 6 LED, Tunable White, 2700 - 5000K</v>
          </cell>
          <cell r="Y238">
            <v>0</v>
          </cell>
          <cell r="Z238">
            <v>1.3</v>
          </cell>
          <cell r="AA238">
            <v>1.41</v>
          </cell>
        </row>
        <row r="239">
          <cell r="D239" t="str">
            <v>PCB</v>
          </cell>
          <cell r="E239" t="str">
            <v>BIS,BIW,BOS,BOW,BJS,BJW</v>
          </cell>
          <cell r="H239" t="str">
            <v>48,54</v>
          </cell>
          <cell r="I239" t="str">
            <v>U,A</v>
          </cell>
          <cell r="N239">
            <v>8</v>
          </cell>
          <cell r="O239" t="str">
            <v>TW</v>
          </cell>
          <cell r="Q239" t="str">
            <v>pc</v>
          </cell>
          <cell r="T239">
            <v>4</v>
          </cell>
          <cell r="U239">
            <v>0</v>
          </cell>
          <cell r="V239" t="str">
            <v>18V, High Power PCB, 1 ft, CRI80, 6 LED, Tunable White, 2700 - 5000K</v>
          </cell>
          <cell r="Y239">
            <v>0</v>
          </cell>
          <cell r="Z239">
            <v>1.3</v>
          </cell>
          <cell r="AA239">
            <v>1.41</v>
          </cell>
        </row>
        <row r="240">
          <cell r="D240" t="str">
            <v>PCB</v>
          </cell>
          <cell r="E240" t="str">
            <v>BIS,BIW,BOS,BOW,BJS,BJW</v>
          </cell>
          <cell r="H240">
            <v>60</v>
          </cell>
          <cell r="I240" t="str">
            <v>U,A</v>
          </cell>
          <cell r="N240">
            <v>8</v>
          </cell>
          <cell r="O240" t="str">
            <v>TW</v>
          </cell>
          <cell r="Q240" t="str">
            <v>pc</v>
          </cell>
          <cell r="T240">
            <v>5</v>
          </cell>
          <cell r="U240">
            <v>0</v>
          </cell>
          <cell r="V240" t="str">
            <v>18V, High Power PCB, 1 ft, CRI80, 6 LED, Tunable White, 2700 - 5000K</v>
          </cell>
          <cell r="Y240">
            <v>0</v>
          </cell>
          <cell r="Z240">
            <v>1.3</v>
          </cell>
          <cell r="AA240">
            <v>1.41</v>
          </cell>
        </row>
        <row r="241">
          <cell r="C241" t="str">
            <v>PB17110BLD9TW</v>
          </cell>
          <cell r="D241" t="str">
            <v>PCB</v>
          </cell>
          <cell r="E241" t="str">
            <v>BIS,BIW,BOS,BOW,BJS,BJW</v>
          </cell>
          <cell r="H241" t="str">
            <v>12,18</v>
          </cell>
          <cell r="I241" t="str">
            <v>U,A</v>
          </cell>
          <cell r="N241">
            <v>9</v>
          </cell>
          <cell r="O241" t="str">
            <v>TW</v>
          </cell>
          <cell r="Q241" t="str">
            <v>pc</v>
          </cell>
          <cell r="T241">
            <v>1</v>
          </cell>
          <cell r="U241">
            <v>11</v>
          </cell>
          <cell r="V241" t="str">
            <v>18V, High Power PCB, 1 ft, CRI90, 6 LED, Tunable White, 2700 - 5000K</v>
          </cell>
          <cell r="Y241">
            <v>10</v>
          </cell>
          <cell r="Z241">
            <v>1.3</v>
          </cell>
          <cell r="AA241">
            <v>1.41</v>
          </cell>
        </row>
        <row r="242">
          <cell r="C242" t="str">
            <v>PB17110BLD9TW</v>
          </cell>
          <cell r="D242" t="str">
            <v>PCB</v>
          </cell>
          <cell r="E242" t="str">
            <v>BIS,BIW,BOS,BOW,BJS,BJW</v>
          </cell>
          <cell r="H242" t="str">
            <v>24,30</v>
          </cell>
          <cell r="I242" t="str">
            <v>U,A</v>
          </cell>
          <cell r="N242">
            <v>9</v>
          </cell>
          <cell r="O242" t="str">
            <v>TW</v>
          </cell>
          <cell r="Q242" t="str">
            <v>pc</v>
          </cell>
          <cell r="T242">
            <v>2</v>
          </cell>
          <cell r="U242">
            <v>11</v>
          </cell>
          <cell r="V242" t="str">
            <v>18V, High Power PCB, 1 ft, CRI90, 6 LED, Tunable White, 2700 - 5000K</v>
          </cell>
          <cell r="Y242">
            <v>10</v>
          </cell>
          <cell r="Z242">
            <v>1.3</v>
          </cell>
          <cell r="AA242">
            <v>1.41</v>
          </cell>
        </row>
        <row r="243">
          <cell r="C243" t="str">
            <v>PB17110BLD9TW</v>
          </cell>
          <cell r="D243" t="str">
            <v>PCB</v>
          </cell>
          <cell r="E243" t="str">
            <v>BIS,BIW,BOS,BOW,BJS,BJW</v>
          </cell>
          <cell r="H243" t="str">
            <v>36,42</v>
          </cell>
          <cell r="I243" t="str">
            <v>U,A</v>
          </cell>
          <cell r="N243">
            <v>9</v>
          </cell>
          <cell r="O243" t="str">
            <v>TW</v>
          </cell>
          <cell r="Q243" t="str">
            <v>pc</v>
          </cell>
          <cell r="T243">
            <v>3</v>
          </cell>
          <cell r="U243">
            <v>11</v>
          </cell>
          <cell r="V243" t="str">
            <v>18V, High Power PCB, 1 ft, CRI90, 6 LED, Tunable White, 2700 - 5000K</v>
          </cell>
          <cell r="Y243">
            <v>10</v>
          </cell>
          <cell r="Z243">
            <v>1.3</v>
          </cell>
          <cell r="AA243">
            <v>1.41</v>
          </cell>
        </row>
        <row r="244">
          <cell r="C244" t="str">
            <v>PB17110BLD9TW</v>
          </cell>
          <cell r="D244" t="str">
            <v>PCB</v>
          </cell>
          <cell r="E244" t="str">
            <v>BIS,BIW,BOS,BOW,BJS,BJW</v>
          </cell>
          <cell r="H244" t="str">
            <v>48,54</v>
          </cell>
          <cell r="I244" t="str">
            <v>U,A</v>
          </cell>
          <cell r="N244">
            <v>9</v>
          </cell>
          <cell r="O244" t="str">
            <v>TW</v>
          </cell>
          <cell r="Q244" t="str">
            <v>pc</v>
          </cell>
          <cell r="T244">
            <v>4</v>
          </cell>
          <cell r="U244">
            <v>11</v>
          </cell>
          <cell r="V244" t="str">
            <v>18V, High Power PCB, 1 ft, CRI90, 6 LED, Tunable White, 2700 - 5000K</v>
          </cell>
          <cell r="Y244">
            <v>10</v>
          </cell>
          <cell r="Z244">
            <v>1.3</v>
          </cell>
          <cell r="AA244">
            <v>1.41</v>
          </cell>
        </row>
        <row r="245">
          <cell r="C245" t="str">
            <v>PB17110BLD9TW</v>
          </cell>
          <cell r="D245" t="str">
            <v>PCB</v>
          </cell>
          <cell r="E245" t="str">
            <v>BIS,BIW,BOS,BOW,BJS,BJW</v>
          </cell>
          <cell r="H245">
            <v>60</v>
          </cell>
          <cell r="I245" t="str">
            <v>U,A</v>
          </cell>
          <cell r="N245">
            <v>9</v>
          </cell>
          <cell r="O245" t="str">
            <v>TW</v>
          </cell>
          <cell r="Q245" t="str">
            <v>pc</v>
          </cell>
          <cell r="T245">
            <v>5</v>
          </cell>
          <cell r="U245">
            <v>11</v>
          </cell>
          <cell r="V245" t="str">
            <v>18V, High Power PCB, 1 ft, CRI90, 6 LED, Tunable White, 2700 - 5000K</v>
          </cell>
          <cell r="Y245">
            <v>10</v>
          </cell>
          <cell r="Z245">
            <v>1.3</v>
          </cell>
          <cell r="AA245">
            <v>1.41</v>
          </cell>
        </row>
        <row r="247">
          <cell r="D247" t="str">
            <v>PCB</v>
          </cell>
          <cell r="E247" t="str">
            <v>BXH, BHS, BKH</v>
          </cell>
          <cell r="H247" t="str">
            <v>12,18</v>
          </cell>
          <cell r="I247" t="str">
            <v>L,M,H,V</v>
          </cell>
          <cell r="N247">
            <v>8</v>
          </cell>
          <cell r="O247">
            <v>27</v>
          </cell>
          <cell r="Q247" t="str">
            <v>pc</v>
          </cell>
          <cell r="T247">
            <v>1</v>
          </cell>
          <cell r="U247">
            <v>0</v>
          </cell>
          <cell r="V247" t="str">
            <v>15V, High Power PCB, 1 ft, CRI80, 10 LED, 2700K</v>
          </cell>
          <cell r="Y247">
            <v>0</v>
          </cell>
          <cell r="Z247">
            <v>1.3</v>
          </cell>
          <cell r="AA247">
            <v>1.41</v>
          </cell>
        </row>
        <row r="248">
          <cell r="D248" t="str">
            <v>PCB</v>
          </cell>
          <cell r="E248" t="str">
            <v>BXH, BHS, BKH</v>
          </cell>
          <cell r="H248" t="str">
            <v>24,30</v>
          </cell>
          <cell r="I248" t="str">
            <v>L,M,H,V</v>
          </cell>
          <cell r="N248">
            <v>8</v>
          </cell>
          <cell r="O248">
            <v>27</v>
          </cell>
          <cell r="Q248" t="str">
            <v>pc</v>
          </cell>
          <cell r="T248">
            <v>2</v>
          </cell>
          <cell r="U248">
            <v>0</v>
          </cell>
          <cell r="V248" t="str">
            <v xml:space="preserve">15V, High Power PCB, 1 ft, CRI80, 10 LED, 2700K, </v>
          </cell>
          <cell r="Y248">
            <v>0</v>
          </cell>
          <cell r="Z248">
            <v>1.3</v>
          </cell>
          <cell r="AA248">
            <v>1.41</v>
          </cell>
        </row>
        <row r="249">
          <cell r="D249" t="str">
            <v>PCB</v>
          </cell>
          <cell r="E249" t="str">
            <v>BXH, BHS, BKH</v>
          </cell>
          <cell r="H249" t="str">
            <v>36,42</v>
          </cell>
          <cell r="I249" t="str">
            <v>L,M,H,V</v>
          </cell>
          <cell r="N249">
            <v>8</v>
          </cell>
          <cell r="O249">
            <v>27</v>
          </cell>
          <cell r="Q249" t="str">
            <v>pc</v>
          </cell>
          <cell r="T249">
            <v>3</v>
          </cell>
          <cell r="U249">
            <v>0</v>
          </cell>
          <cell r="V249" t="str">
            <v xml:space="preserve">15V, High Power PCB, 1 ft, CRI80, 10 LED, 2700K, </v>
          </cell>
          <cell r="Y249">
            <v>0</v>
          </cell>
          <cell r="Z249">
            <v>1.3</v>
          </cell>
          <cell r="AA249">
            <v>1.41</v>
          </cell>
        </row>
        <row r="250">
          <cell r="D250" t="str">
            <v>PCB</v>
          </cell>
          <cell r="E250" t="str">
            <v>BXH, BHS, BKH</v>
          </cell>
          <cell r="H250" t="str">
            <v>48,54</v>
          </cell>
          <cell r="I250" t="str">
            <v>L,M,H,V</v>
          </cell>
          <cell r="N250">
            <v>8</v>
          </cell>
          <cell r="O250">
            <v>27</v>
          </cell>
          <cell r="Q250" t="str">
            <v>pc</v>
          </cell>
          <cell r="T250">
            <v>4</v>
          </cell>
          <cell r="U250">
            <v>0</v>
          </cell>
          <cell r="V250" t="str">
            <v xml:space="preserve">15V, High Power PCB, 1 ft, CRI80, 10 LED, 2700K, </v>
          </cell>
          <cell r="Y250">
            <v>0</v>
          </cell>
          <cell r="Z250">
            <v>1.3</v>
          </cell>
          <cell r="AA250">
            <v>1.41</v>
          </cell>
        </row>
        <row r="251">
          <cell r="D251" t="str">
            <v>PCB</v>
          </cell>
          <cell r="E251" t="str">
            <v>BXH, BHS, BKH</v>
          </cell>
          <cell r="H251">
            <v>60</v>
          </cell>
          <cell r="I251" t="str">
            <v>L,M,H,V</v>
          </cell>
          <cell r="N251">
            <v>8</v>
          </cell>
          <cell r="O251">
            <v>27</v>
          </cell>
          <cell r="Q251" t="str">
            <v>pc</v>
          </cell>
          <cell r="T251">
            <v>5</v>
          </cell>
          <cell r="U251">
            <v>0</v>
          </cell>
          <cell r="V251" t="str">
            <v xml:space="preserve">15V, High Power PCB, 1 ft, CRI80, 10 LED, 2700K, </v>
          </cell>
          <cell r="Y251">
            <v>0</v>
          </cell>
          <cell r="Z251">
            <v>1.3</v>
          </cell>
          <cell r="AA251">
            <v>1.41</v>
          </cell>
        </row>
        <row r="252">
          <cell r="D252" t="str">
            <v>PCB</v>
          </cell>
          <cell r="E252" t="str">
            <v>BXH, BHS, BKH</v>
          </cell>
          <cell r="H252" t="str">
            <v>12,18</v>
          </cell>
          <cell r="I252" t="str">
            <v>L,M,H,V</v>
          </cell>
          <cell r="N252">
            <v>8</v>
          </cell>
          <cell r="O252">
            <v>30</v>
          </cell>
          <cell r="Q252" t="str">
            <v>pc</v>
          </cell>
          <cell r="T252">
            <v>1</v>
          </cell>
          <cell r="U252">
            <v>0</v>
          </cell>
          <cell r="V252" t="str">
            <v xml:space="preserve">15V, High Power PCB, 1 ft, CRI80, 10 LED, 3000K, </v>
          </cell>
          <cell r="Y252">
            <v>0</v>
          </cell>
          <cell r="Z252">
            <v>1.3</v>
          </cell>
          <cell r="AA252">
            <v>1.41</v>
          </cell>
        </row>
        <row r="253">
          <cell r="D253" t="str">
            <v>PCB</v>
          </cell>
          <cell r="E253" t="str">
            <v>BXH, BHS, BKH</v>
          </cell>
          <cell r="H253" t="str">
            <v>24,30</v>
          </cell>
          <cell r="I253" t="str">
            <v>L,M,H,V</v>
          </cell>
          <cell r="N253">
            <v>8</v>
          </cell>
          <cell r="O253">
            <v>30</v>
          </cell>
          <cell r="Q253" t="str">
            <v>pc</v>
          </cell>
          <cell r="T253">
            <v>2</v>
          </cell>
          <cell r="U253">
            <v>0</v>
          </cell>
          <cell r="V253" t="str">
            <v xml:space="preserve">15V, High Power PCB, 1 ft, CRI80, 10 LED, 3000K, </v>
          </cell>
          <cell r="Y253">
            <v>0</v>
          </cell>
          <cell r="Z253">
            <v>1.3</v>
          </cell>
          <cell r="AA253">
            <v>1.41</v>
          </cell>
        </row>
        <row r="254">
          <cell r="D254" t="str">
            <v>PCB</v>
          </cell>
          <cell r="E254" t="str">
            <v>BXH, BHS, BKH</v>
          </cell>
          <cell r="H254" t="str">
            <v>36,42</v>
          </cell>
          <cell r="I254" t="str">
            <v>L,M,H,V</v>
          </cell>
          <cell r="N254">
            <v>8</v>
          </cell>
          <cell r="O254">
            <v>30</v>
          </cell>
          <cell r="Q254" t="str">
            <v>pc</v>
          </cell>
          <cell r="T254">
            <v>3</v>
          </cell>
          <cell r="U254">
            <v>0</v>
          </cell>
          <cell r="V254" t="str">
            <v xml:space="preserve">15V, High Power PCB, 1 ft, CRI80, 10 LED, 3000K, </v>
          </cell>
          <cell r="Y254">
            <v>0</v>
          </cell>
          <cell r="Z254">
            <v>1.3</v>
          </cell>
          <cell r="AA254">
            <v>1.41</v>
          </cell>
        </row>
        <row r="255">
          <cell r="D255" t="str">
            <v>PCB</v>
          </cell>
          <cell r="E255" t="str">
            <v>BXH, BHS, BKH</v>
          </cell>
          <cell r="H255" t="str">
            <v>48,54</v>
          </cell>
          <cell r="I255" t="str">
            <v>L,M,H,V</v>
          </cell>
          <cell r="N255">
            <v>8</v>
          </cell>
          <cell r="O255">
            <v>30</v>
          </cell>
          <cell r="Q255" t="str">
            <v>pc</v>
          </cell>
          <cell r="T255">
            <v>4</v>
          </cell>
          <cell r="U255">
            <v>0</v>
          </cell>
          <cell r="V255" t="str">
            <v xml:space="preserve">15V, High Power PCB, 1 ft, CRI80, 10 LED, 3000K, </v>
          </cell>
          <cell r="Y255">
            <v>0</v>
          </cell>
          <cell r="Z255">
            <v>1.3</v>
          </cell>
          <cell r="AA255">
            <v>1.41</v>
          </cell>
        </row>
        <row r="256">
          <cell r="D256" t="str">
            <v>PCB</v>
          </cell>
          <cell r="E256" t="str">
            <v>BXH, BHS, BKH</v>
          </cell>
          <cell r="H256">
            <v>60</v>
          </cell>
          <cell r="I256" t="str">
            <v>L,M,H,V</v>
          </cell>
          <cell r="N256">
            <v>8</v>
          </cell>
          <cell r="O256">
            <v>30</v>
          </cell>
          <cell r="Q256" t="str">
            <v>pc</v>
          </cell>
          <cell r="T256">
            <v>5</v>
          </cell>
          <cell r="U256">
            <v>0</v>
          </cell>
          <cell r="V256" t="str">
            <v xml:space="preserve">15V, High Power PCB, 1 ft, CRI80, 10 LED, 3000K, </v>
          </cell>
          <cell r="Y256">
            <v>0</v>
          </cell>
          <cell r="Z256">
            <v>1.3</v>
          </cell>
          <cell r="AA256">
            <v>1.41</v>
          </cell>
        </row>
        <row r="257">
          <cell r="D257" t="str">
            <v>PCB</v>
          </cell>
          <cell r="E257" t="str">
            <v>BXH, BHS, BKH</v>
          </cell>
          <cell r="H257" t="str">
            <v>12,18</v>
          </cell>
          <cell r="I257" t="str">
            <v>L,M,H,V</v>
          </cell>
          <cell r="N257">
            <v>8</v>
          </cell>
          <cell r="O257">
            <v>35</v>
          </cell>
          <cell r="Q257" t="str">
            <v>pc</v>
          </cell>
          <cell r="T257">
            <v>1</v>
          </cell>
          <cell r="U257">
            <v>0</v>
          </cell>
          <cell r="V257" t="str">
            <v xml:space="preserve">15V, High Power PCB, 1 ft, CRI80, 10 LED, 3500K, </v>
          </cell>
          <cell r="Y257">
            <v>0</v>
          </cell>
          <cell r="Z257">
            <v>1.3</v>
          </cell>
          <cell r="AA257">
            <v>1.41</v>
          </cell>
        </row>
        <row r="258">
          <cell r="D258" t="str">
            <v>PCB</v>
          </cell>
          <cell r="E258" t="str">
            <v>BXH, BHS, BKH</v>
          </cell>
          <cell r="H258" t="str">
            <v>24,30</v>
          </cell>
          <cell r="I258" t="str">
            <v>L,M,H,V</v>
          </cell>
          <cell r="N258">
            <v>8</v>
          </cell>
          <cell r="O258">
            <v>35</v>
          </cell>
          <cell r="Q258" t="str">
            <v>pc</v>
          </cell>
          <cell r="T258">
            <v>2</v>
          </cell>
          <cell r="U258">
            <v>0</v>
          </cell>
          <cell r="V258" t="str">
            <v xml:space="preserve">15V, High Power PCB, 1 ft, CRI80, 10 LED, 3500K, </v>
          </cell>
          <cell r="Y258">
            <v>0</v>
          </cell>
          <cell r="Z258">
            <v>1.3</v>
          </cell>
          <cell r="AA258">
            <v>1.41</v>
          </cell>
        </row>
        <row r="259">
          <cell r="D259" t="str">
            <v>PCB</v>
          </cell>
          <cell r="E259" t="str">
            <v>BXH, BHS, BKH</v>
          </cell>
          <cell r="H259" t="str">
            <v>36,42</v>
          </cell>
          <cell r="I259" t="str">
            <v>L,M,H,V</v>
          </cell>
          <cell r="N259">
            <v>8</v>
          </cell>
          <cell r="O259">
            <v>35</v>
          </cell>
          <cell r="Q259" t="str">
            <v>pc</v>
          </cell>
          <cell r="T259">
            <v>3</v>
          </cell>
          <cell r="U259">
            <v>0</v>
          </cell>
          <cell r="V259" t="str">
            <v xml:space="preserve">15V, High Power PCB, 1 ft, CRI80, 10 LED, 3500K, </v>
          </cell>
          <cell r="Y259">
            <v>0</v>
          </cell>
          <cell r="Z259">
            <v>1.3</v>
          </cell>
          <cell r="AA259">
            <v>1.41</v>
          </cell>
        </row>
        <row r="260">
          <cell r="D260" t="str">
            <v>PCB</v>
          </cell>
          <cell r="E260" t="str">
            <v>BXH, BHS, BKH</v>
          </cell>
          <cell r="H260" t="str">
            <v>48,54</v>
          </cell>
          <cell r="I260" t="str">
            <v>L,M,H,V</v>
          </cell>
          <cell r="N260">
            <v>8</v>
          </cell>
          <cell r="O260">
            <v>35</v>
          </cell>
          <cell r="Q260" t="str">
            <v>pc</v>
          </cell>
          <cell r="T260">
            <v>4</v>
          </cell>
          <cell r="U260">
            <v>0</v>
          </cell>
          <cell r="V260" t="str">
            <v xml:space="preserve">15V, High Power PCB, 1 ft, CRI80, 10 LED, 3500K, </v>
          </cell>
          <cell r="Y260">
            <v>0</v>
          </cell>
          <cell r="Z260">
            <v>1.3</v>
          </cell>
          <cell r="AA260">
            <v>1.41</v>
          </cell>
        </row>
        <row r="261">
          <cell r="D261" t="str">
            <v>PCB</v>
          </cell>
          <cell r="E261" t="str">
            <v>BXH, BHS, BKH</v>
          </cell>
          <cell r="H261">
            <v>60</v>
          </cell>
          <cell r="I261" t="str">
            <v>L,M,H,V</v>
          </cell>
          <cell r="N261">
            <v>8</v>
          </cell>
          <cell r="O261">
            <v>35</v>
          </cell>
          <cell r="Q261" t="str">
            <v>pc</v>
          </cell>
          <cell r="T261">
            <v>5</v>
          </cell>
          <cell r="U261">
            <v>0</v>
          </cell>
          <cell r="V261" t="str">
            <v xml:space="preserve">15V, High Power PCB, 1 ft, CRI80, 10 LED, 3500K, </v>
          </cell>
          <cell r="Y261">
            <v>0</v>
          </cell>
          <cell r="Z261">
            <v>1.3</v>
          </cell>
          <cell r="AA261">
            <v>1.41</v>
          </cell>
        </row>
        <row r="262">
          <cell r="D262" t="str">
            <v>PCB</v>
          </cell>
          <cell r="E262" t="str">
            <v>BXH, BHS, BKH</v>
          </cell>
          <cell r="H262" t="str">
            <v>12,18</v>
          </cell>
          <cell r="I262" t="str">
            <v>L,M,H,V</v>
          </cell>
          <cell r="N262">
            <v>8</v>
          </cell>
          <cell r="O262">
            <v>40</v>
          </cell>
          <cell r="Q262" t="str">
            <v>pc</v>
          </cell>
          <cell r="T262">
            <v>1</v>
          </cell>
          <cell r="U262">
            <v>0</v>
          </cell>
          <cell r="V262" t="str">
            <v xml:space="preserve">15V, High Power PCB, 1 ft, CRI80, 10 LED, 4000K, </v>
          </cell>
          <cell r="Y262">
            <v>0</v>
          </cell>
          <cell r="Z262">
            <v>1.3</v>
          </cell>
          <cell r="AA262">
            <v>1.41</v>
          </cell>
        </row>
        <row r="263">
          <cell r="D263" t="str">
            <v>PCB</v>
          </cell>
          <cell r="E263" t="str">
            <v>BXH, BHS, BKH</v>
          </cell>
          <cell r="H263" t="str">
            <v>24,30</v>
          </cell>
          <cell r="I263" t="str">
            <v>L,M,H,V</v>
          </cell>
          <cell r="N263">
            <v>8</v>
          </cell>
          <cell r="O263">
            <v>40</v>
          </cell>
          <cell r="Q263" t="str">
            <v>pc</v>
          </cell>
          <cell r="T263">
            <v>2</v>
          </cell>
          <cell r="U263">
            <v>0</v>
          </cell>
          <cell r="V263" t="str">
            <v xml:space="preserve">15V, High Power PCB, 1 ft, CRI80, 10 LED, 4000K, </v>
          </cell>
          <cell r="Y263">
            <v>0</v>
          </cell>
          <cell r="Z263">
            <v>1.3</v>
          </cell>
          <cell r="AA263">
            <v>1.41</v>
          </cell>
        </row>
        <row r="264">
          <cell r="D264" t="str">
            <v>PCB</v>
          </cell>
          <cell r="E264" t="str">
            <v>BXH, BHS, BKH</v>
          </cell>
          <cell r="H264" t="str">
            <v>36,42</v>
          </cell>
          <cell r="I264" t="str">
            <v>L,M,H,V</v>
          </cell>
          <cell r="N264">
            <v>8</v>
          </cell>
          <cell r="O264">
            <v>40</v>
          </cell>
          <cell r="Q264" t="str">
            <v>pc</v>
          </cell>
          <cell r="T264">
            <v>3</v>
          </cell>
          <cell r="U264">
            <v>0</v>
          </cell>
          <cell r="V264" t="str">
            <v xml:space="preserve">15V, High Power PCB, 1 ft, CRI80, 10 LED, 4000K, </v>
          </cell>
          <cell r="Y264">
            <v>0</v>
          </cell>
          <cell r="Z264">
            <v>1.3</v>
          </cell>
          <cell r="AA264">
            <v>1.41</v>
          </cell>
        </row>
        <row r="265">
          <cell r="D265" t="str">
            <v>PCB</v>
          </cell>
          <cell r="E265" t="str">
            <v>BXH, BHS, BKH</v>
          </cell>
          <cell r="H265" t="str">
            <v>48,54</v>
          </cell>
          <cell r="I265" t="str">
            <v>L,M,H,V</v>
          </cell>
          <cell r="N265">
            <v>8</v>
          </cell>
          <cell r="O265">
            <v>40</v>
          </cell>
          <cell r="Q265" t="str">
            <v>pc</v>
          </cell>
          <cell r="T265">
            <v>4</v>
          </cell>
          <cell r="U265">
            <v>0</v>
          </cell>
          <cell r="V265" t="str">
            <v xml:space="preserve">15V, High Power PCB, 1 ft, CRI80, 10 LED, 4000K, </v>
          </cell>
          <cell r="Y265">
            <v>0</v>
          </cell>
          <cell r="Z265">
            <v>1.3</v>
          </cell>
          <cell r="AA265">
            <v>1.41</v>
          </cell>
        </row>
        <row r="266">
          <cell r="D266" t="str">
            <v>PCB</v>
          </cell>
          <cell r="E266" t="str">
            <v>BXH, BHS, BKH</v>
          </cell>
          <cell r="H266">
            <v>60</v>
          </cell>
          <cell r="I266" t="str">
            <v>L,M,H,V</v>
          </cell>
          <cell r="N266">
            <v>8</v>
          </cell>
          <cell r="O266">
            <v>40</v>
          </cell>
          <cell r="Q266" t="str">
            <v>pc</v>
          </cell>
          <cell r="T266">
            <v>5</v>
          </cell>
          <cell r="U266">
            <v>0</v>
          </cell>
          <cell r="V266" t="str">
            <v xml:space="preserve">15V, High Power PCB, 1 ft, CRI80, 10 LED, 4000K, </v>
          </cell>
          <cell r="Y266">
            <v>0</v>
          </cell>
          <cell r="Z266">
            <v>1.3</v>
          </cell>
          <cell r="AA266">
            <v>1.41</v>
          </cell>
        </row>
        <row r="267">
          <cell r="C267" t="str">
            <v>PB17910BLD927</v>
          </cell>
          <cell r="D267" t="str">
            <v>PCB</v>
          </cell>
          <cell r="E267" t="str">
            <v>BXH, BHS, BKH</v>
          </cell>
          <cell r="H267" t="str">
            <v>12,18</v>
          </cell>
          <cell r="I267" t="str">
            <v>L,M,H,V</v>
          </cell>
          <cell r="N267">
            <v>9</v>
          </cell>
          <cell r="O267">
            <v>27</v>
          </cell>
          <cell r="Q267" t="str">
            <v>pc</v>
          </cell>
          <cell r="T267">
            <v>1</v>
          </cell>
          <cell r="U267">
            <v>5.83</v>
          </cell>
          <cell r="V267" t="str">
            <v>LED Board, High Power, 15V, CRI90, 2700K, 292mm, Aluminium, 10 LED from Nichia, 2121 Form Factor, Binning: x, Bold Lighting LLC, E17910</v>
          </cell>
          <cell r="Y267">
            <v>5.3</v>
          </cell>
          <cell r="Z267">
            <v>1.3</v>
          </cell>
          <cell r="AA267">
            <v>1.41</v>
          </cell>
        </row>
        <row r="268">
          <cell r="C268" t="str">
            <v>PB17910BLD927</v>
          </cell>
          <cell r="D268" t="str">
            <v>PCB</v>
          </cell>
          <cell r="E268" t="str">
            <v>BXH, BHS, BKH</v>
          </cell>
          <cell r="H268" t="str">
            <v>24,30</v>
          </cell>
          <cell r="I268" t="str">
            <v>L,M,H,V</v>
          </cell>
          <cell r="N268">
            <v>9</v>
          </cell>
          <cell r="O268">
            <v>27</v>
          </cell>
          <cell r="Q268" t="str">
            <v>pc</v>
          </cell>
          <cell r="T268">
            <v>2</v>
          </cell>
          <cell r="U268">
            <v>5.83</v>
          </cell>
          <cell r="V268" t="str">
            <v>LED Board, High Power, 15V, CRI90, 2700K, 292mm, Aluminium, 10 LED from Nichia, 2121 Form Factor, Binning: x, Bold Lighting LLC, E17910</v>
          </cell>
          <cell r="Y268">
            <v>5.3</v>
          </cell>
          <cell r="Z268">
            <v>1.3</v>
          </cell>
          <cell r="AA268">
            <v>1.41</v>
          </cell>
        </row>
        <row r="269">
          <cell r="C269" t="str">
            <v>PB17910BLD927</v>
          </cell>
          <cell r="D269" t="str">
            <v>PCB</v>
          </cell>
          <cell r="E269" t="str">
            <v>BXH, BHS, BKH</v>
          </cell>
          <cell r="H269" t="str">
            <v>36,42</v>
          </cell>
          <cell r="I269" t="str">
            <v>L,M,H,V</v>
          </cell>
          <cell r="N269">
            <v>9</v>
          </cell>
          <cell r="O269">
            <v>27</v>
          </cell>
          <cell r="Q269" t="str">
            <v>pc</v>
          </cell>
          <cell r="T269">
            <v>3</v>
          </cell>
          <cell r="U269">
            <v>5.83</v>
          </cell>
          <cell r="V269" t="str">
            <v>LED Board, High Power, 15V, CRI90, 2700K, 292mm, Aluminium, 10 LED from Nichia, 2121 Form Factor, Binning: x, Bold Lighting LLC, E17910</v>
          </cell>
          <cell r="Y269">
            <v>5.3</v>
          </cell>
          <cell r="Z269">
            <v>1.3</v>
          </cell>
          <cell r="AA269">
            <v>1.41</v>
          </cell>
        </row>
        <row r="270">
          <cell r="C270" t="str">
            <v>PB17910BLD927</v>
          </cell>
          <cell r="D270" t="str">
            <v>PCB</v>
          </cell>
          <cell r="E270" t="str">
            <v>BXH, BHS, BKH</v>
          </cell>
          <cell r="H270" t="str">
            <v>48,54</v>
          </cell>
          <cell r="I270" t="str">
            <v>L,M,H,V</v>
          </cell>
          <cell r="N270">
            <v>9</v>
          </cell>
          <cell r="O270">
            <v>27</v>
          </cell>
          <cell r="Q270" t="str">
            <v>pc</v>
          </cell>
          <cell r="T270">
            <v>4</v>
          </cell>
          <cell r="U270">
            <v>5.83</v>
          </cell>
          <cell r="V270" t="str">
            <v>LED Board, High Power, 15V, CRI90, 2700K, 292mm, Aluminium, 10 LED from Nichia, 2121 Form Factor, Binning: x, Bold Lighting LLC, E17910</v>
          </cell>
          <cell r="Y270">
            <v>5.3</v>
          </cell>
          <cell r="Z270">
            <v>1.3</v>
          </cell>
          <cell r="AA270">
            <v>1.41</v>
          </cell>
        </row>
        <row r="271">
          <cell r="C271" t="str">
            <v>PB17910BLD927</v>
          </cell>
          <cell r="D271" t="str">
            <v>PCB</v>
          </cell>
          <cell r="E271" t="str">
            <v>BXH, BHS, BKH</v>
          </cell>
          <cell r="H271">
            <v>60</v>
          </cell>
          <cell r="I271" t="str">
            <v>L,M,H,V</v>
          </cell>
          <cell r="N271">
            <v>9</v>
          </cell>
          <cell r="O271">
            <v>27</v>
          </cell>
          <cell r="Q271" t="str">
            <v>pc</v>
          </cell>
          <cell r="T271">
            <v>5</v>
          </cell>
          <cell r="U271">
            <v>5.83</v>
          </cell>
          <cell r="V271" t="str">
            <v>LED Board, High Power, 15V, CRI90, 2700K, 292mm, Aluminium, 10 LED from Nichia, 2121 Form Factor, Binning: x, Bold Lighting LLC, E17910</v>
          </cell>
          <cell r="Y271">
            <v>5.3</v>
          </cell>
          <cell r="Z271">
            <v>1.3</v>
          </cell>
          <cell r="AA271">
            <v>1.41</v>
          </cell>
        </row>
        <row r="272">
          <cell r="C272" t="str">
            <v>PB17910BLD930</v>
          </cell>
          <cell r="D272" t="str">
            <v>PCB</v>
          </cell>
          <cell r="E272" t="str">
            <v>BXH, BHS, BKH</v>
          </cell>
          <cell r="H272" t="str">
            <v>12,18</v>
          </cell>
          <cell r="I272" t="str">
            <v>L,M,H,V</v>
          </cell>
          <cell r="N272">
            <v>9</v>
          </cell>
          <cell r="O272">
            <v>30</v>
          </cell>
          <cell r="Q272" t="str">
            <v>pc</v>
          </cell>
          <cell r="T272">
            <v>1</v>
          </cell>
          <cell r="U272">
            <v>5.83</v>
          </cell>
          <cell r="V272" t="str">
            <v>LED Board, High Power, 15V, CRI90, 3000K, 292mm, Aluminium, 10 LED from Nichia, 2121 Form Factor, Binning: x, Bold Lighting LLC, E17910</v>
          </cell>
          <cell r="Y272">
            <v>5.3</v>
          </cell>
          <cell r="Z272">
            <v>1.3</v>
          </cell>
          <cell r="AA272">
            <v>1.41</v>
          </cell>
        </row>
        <row r="273">
          <cell r="C273" t="str">
            <v>PB17910BLD930</v>
          </cell>
          <cell r="D273" t="str">
            <v>PCB</v>
          </cell>
          <cell r="E273" t="str">
            <v>BXH, BHS, BKH</v>
          </cell>
          <cell r="H273" t="str">
            <v>24,30</v>
          </cell>
          <cell r="I273" t="str">
            <v>L,M,H,V</v>
          </cell>
          <cell r="N273">
            <v>9</v>
          </cell>
          <cell r="O273">
            <v>30</v>
          </cell>
          <cell r="Q273" t="str">
            <v>pc</v>
          </cell>
          <cell r="T273">
            <v>2</v>
          </cell>
          <cell r="U273">
            <v>5.83</v>
          </cell>
          <cell r="V273" t="str">
            <v>LED Board, High Power, 15V, CRI90, 3000K, 292mm, Aluminium, 10 LED from Nichia, 2121 Form Factor, Binning: x, Bold Lighting LLC, E17910</v>
          </cell>
          <cell r="Y273">
            <v>5.3</v>
          </cell>
          <cell r="Z273">
            <v>1.3</v>
          </cell>
          <cell r="AA273">
            <v>1.41</v>
          </cell>
        </row>
        <row r="274">
          <cell r="C274" t="str">
            <v>PB17910BLD930</v>
          </cell>
          <cell r="D274" t="str">
            <v>PCB</v>
          </cell>
          <cell r="E274" t="str">
            <v>BXH, BHS, BKH</v>
          </cell>
          <cell r="H274" t="str">
            <v>36,42</v>
          </cell>
          <cell r="I274" t="str">
            <v>L,M,H,V</v>
          </cell>
          <cell r="N274">
            <v>9</v>
          </cell>
          <cell r="O274">
            <v>30</v>
          </cell>
          <cell r="Q274" t="str">
            <v>pc</v>
          </cell>
          <cell r="T274">
            <v>3</v>
          </cell>
          <cell r="U274">
            <v>5.83</v>
          </cell>
          <cell r="V274" t="str">
            <v>LED Board, High Power, 15V, CRI90, 3000K, 292mm, Aluminium, 10 LED from Nichia, 2121 Form Factor, Binning: x, Bold Lighting LLC, E17910</v>
          </cell>
          <cell r="Y274">
            <v>5.3</v>
          </cell>
          <cell r="Z274">
            <v>1.3</v>
          </cell>
          <cell r="AA274">
            <v>1.41</v>
          </cell>
        </row>
        <row r="275">
          <cell r="C275" t="str">
            <v>PB17910BLD930</v>
          </cell>
          <cell r="D275" t="str">
            <v>PCB</v>
          </cell>
          <cell r="E275" t="str">
            <v>BXH, BHS, BKH</v>
          </cell>
          <cell r="H275" t="str">
            <v>48,54</v>
          </cell>
          <cell r="I275" t="str">
            <v>L,M,H,V</v>
          </cell>
          <cell r="N275">
            <v>9</v>
          </cell>
          <cell r="O275">
            <v>30</v>
          </cell>
          <cell r="Q275" t="str">
            <v>pc</v>
          </cell>
          <cell r="T275">
            <v>4</v>
          </cell>
          <cell r="U275">
            <v>5.83</v>
          </cell>
          <cell r="V275" t="str">
            <v>LED Board, High Power, 15V, CRI90, 3000K, 292mm, Aluminium, 10 LED from Nichia, 2121 Form Factor, Binning: x, Bold Lighting LLC, E17910</v>
          </cell>
          <cell r="Y275">
            <v>5.3</v>
          </cell>
          <cell r="Z275">
            <v>1.3</v>
          </cell>
          <cell r="AA275">
            <v>1.41</v>
          </cell>
        </row>
        <row r="276">
          <cell r="C276" t="str">
            <v>PB17910BLD930</v>
          </cell>
          <cell r="D276" t="str">
            <v>PCB</v>
          </cell>
          <cell r="E276" t="str">
            <v>BXH, BHS, BKH</v>
          </cell>
          <cell r="H276">
            <v>60</v>
          </cell>
          <cell r="I276" t="str">
            <v>L,M,H,V</v>
          </cell>
          <cell r="N276">
            <v>9</v>
          </cell>
          <cell r="O276">
            <v>30</v>
          </cell>
          <cell r="Q276" t="str">
            <v>pc</v>
          </cell>
          <cell r="T276">
            <v>5</v>
          </cell>
          <cell r="U276">
            <v>5.83</v>
          </cell>
          <cell r="V276" t="str">
            <v>LED Board, High Power, 15V, CRI90, 3000K, 292mm, Aluminium, 10 LED from Nichia, 2121 Form Factor, Binning: x, Bold Lighting LLC, E17910</v>
          </cell>
          <cell r="Y276">
            <v>5.3</v>
          </cell>
          <cell r="Z276">
            <v>1.3</v>
          </cell>
          <cell r="AA276">
            <v>1.41</v>
          </cell>
        </row>
        <row r="277">
          <cell r="C277" t="str">
            <v>PB17910BLD935</v>
          </cell>
          <cell r="D277" t="str">
            <v>PCB</v>
          </cell>
          <cell r="E277" t="str">
            <v>BXH, BHS, BKH</v>
          </cell>
          <cell r="H277" t="str">
            <v>12,18</v>
          </cell>
          <cell r="I277" t="str">
            <v>L,M,H,V</v>
          </cell>
          <cell r="N277">
            <v>9</v>
          </cell>
          <cell r="O277">
            <v>35</v>
          </cell>
          <cell r="Q277" t="str">
            <v>pc</v>
          </cell>
          <cell r="T277">
            <v>1</v>
          </cell>
          <cell r="U277">
            <v>5.83</v>
          </cell>
          <cell r="V277" t="str">
            <v>LED Board, High Power, 15V, CRI90, 3500K, 292mm, Aluminium, 10 LED from Nichia, 2121 Form Factor, Binning: x, Bold Lighting LLC, E17910</v>
          </cell>
          <cell r="Y277">
            <v>5.3</v>
          </cell>
          <cell r="Z277">
            <v>1.3</v>
          </cell>
          <cell r="AA277">
            <v>1.41</v>
          </cell>
        </row>
        <row r="278">
          <cell r="C278" t="str">
            <v>PB17910BLD935</v>
          </cell>
          <cell r="D278" t="str">
            <v>PCB</v>
          </cell>
          <cell r="E278" t="str">
            <v>BXH, BHS, BKH</v>
          </cell>
          <cell r="H278" t="str">
            <v>24,30</v>
          </cell>
          <cell r="I278" t="str">
            <v>L,M,H,V</v>
          </cell>
          <cell r="N278">
            <v>9</v>
          </cell>
          <cell r="O278">
            <v>35</v>
          </cell>
          <cell r="Q278" t="str">
            <v>pc</v>
          </cell>
          <cell r="T278">
            <v>2</v>
          </cell>
          <cell r="U278">
            <v>5.83</v>
          </cell>
          <cell r="V278" t="str">
            <v>LED Board, High Power, 15V, CRI90, 3500K, 292mm, Aluminium, 10 LED from Nichia, 2121 Form Factor, Binning: x, Bold Lighting LLC, E17910</v>
          </cell>
          <cell r="Y278">
            <v>5.3</v>
          </cell>
          <cell r="Z278">
            <v>1.3</v>
          </cell>
          <cell r="AA278">
            <v>1.41</v>
          </cell>
        </row>
        <row r="279">
          <cell r="C279" t="str">
            <v>PB17910BLD935</v>
          </cell>
          <cell r="D279" t="str">
            <v>PCB</v>
          </cell>
          <cell r="E279" t="str">
            <v>BXH, BHS, BKH</v>
          </cell>
          <cell r="H279" t="str">
            <v>36,42</v>
          </cell>
          <cell r="I279" t="str">
            <v>L,M,H,V</v>
          </cell>
          <cell r="N279">
            <v>9</v>
          </cell>
          <cell r="O279">
            <v>35</v>
          </cell>
          <cell r="Q279" t="str">
            <v>pc</v>
          </cell>
          <cell r="T279">
            <v>3</v>
          </cell>
          <cell r="U279">
            <v>5.83</v>
          </cell>
          <cell r="V279" t="str">
            <v>LED Board, High Power, 15V, CRI90, 3500K, 292mm, Aluminium, 10 LED from Nichia, 2121 Form Factor, Binning: x, Bold Lighting LLC, E17910</v>
          </cell>
          <cell r="Y279">
            <v>5.3</v>
          </cell>
          <cell r="Z279">
            <v>1.3</v>
          </cell>
          <cell r="AA279">
            <v>1.41</v>
          </cell>
        </row>
        <row r="280">
          <cell r="C280" t="str">
            <v>PB17910BLD935</v>
          </cell>
          <cell r="D280" t="str">
            <v>PCB</v>
          </cell>
          <cell r="E280" t="str">
            <v>BXH, BHS, BKH</v>
          </cell>
          <cell r="H280" t="str">
            <v>48,54</v>
          </cell>
          <cell r="I280" t="str">
            <v>L,M,H,V</v>
          </cell>
          <cell r="N280">
            <v>9</v>
          </cell>
          <cell r="O280">
            <v>35</v>
          </cell>
          <cell r="Q280" t="str">
            <v>pc</v>
          </cell>
          <cell r="T280">
            <v>4</v>
          </cell>
          <cell r="U280">
            <v>5.83</v>
          </cell>
          <cell r="V280" t="str">
            <v>LED Board, High Power, 15V, CRI90, 3500K, 292mm, Aluminium, 10 LED from Nichia, 2121 Form Factor, Binning: x, Bold Lighting LLC, E17910</v>
          </cell>
          <cell r="Y280">
            <v>5.3</v>
          </cell>
          <cell r="Z280">
            <v>1.3</v>
          </cell>
          <cell r="AA280">
            <v>1.41</v>
          </cell>
        </row>
        <row r="281">
          <cell r="C281" t="str">
            <v>PB17910BLD935</v>
          </cell>
          <cell r="D281" t="str">
            <v>PCB</v>
          </cell>
          <cell r="E281" t="str">
            <v>BXH, BHS, BKH</v>
          </cell>
          <cell r="H281">
            <v>60</v>
          </cell>
          <cell r="I281" t="str">
            <v>L,M,H,V</v>
          </cell>
          <cell r="N281">
            <v>9</v>
          </cell>
          <cell r="O281">
            <v>35</v>
          </cell>
          <cell r="Q281" t="str">
            <v>pc</v>
          </cell>
          <cell r="T281">
            <v>5</v>
          </cell>
          <cell r="U281">
            <v>5.83</v>
          </cell>
          <cell r="V281" t="str">
            <v>LED Board, High Power, 15V, CRI90, 3500K, 292mm, Aluminium, 10 LED from Nichia, 2121 Form Factor, Binning: x, Bold Lighting LLC, E17910</v>
          </cell>
          <cell r="Y281">
            <v>5.3</v>
          </cell>
          <cell r="Z281">
            <v>1.3</v>
          </cell>
          <cell r="AA281">
            <v>1.41</v>
          </cell>
        </row>
        <row r="282">
          <cell r="C282" t="str">
            <v>PB17910BLD940</v>
          </cell>
          <cell r="D282" t="str">
            <v>PCB</v>
          </cell>
          <cell r="E282" t="str">
            <v>BXH, BHS, BKH</v>
          </cell>
          <cell r="H282" t="str">
            <v>12,18</v>
          </cell>
          <cell r="I282" t="str">
            <v>L,M,H,V</v>
          </cell>
          <cell r="N282">
            <v>9</v>
          </cell>
          <cell r="O282">
            <v>40</v>
          </cell>
          <cell r="Q282" t="str">
            <v>pc</v>
          </cell>
          <cell r="T282">
            <v>1</v>
          </cell>
          <cell r="U282">
            <v>5.83</v>
          </cell>
          <cell r="V282" t="str">
            <v>LED Board, High Power, 15V, CRI90, 4000K, 292mm, Aluminium, 10 LED from Nichia, 2121 Form Factor, Binning: x, Bold Lighting LLC, E17910</v>
          </cell>
          <cell r="Y282">
            <v>5.3</v>
          </cell>
          <cell r="Z282">
            <v>1.3</v>
          </cell>
          <cell r="AA282">
            <v>1.41</v>
          </cell>
        </row>
        <row r="283">
          <cell r="C283" t="str">
            <v>PB17910BLD940</v>
          </cell>
          <cell r="D283" t="str">
            <v>PCB</v>
          </cell>
          <cell r="E283" t="str">
            <v>BXH, BHS, BKH</v>
          </cell>
          <cell r="H283" t="str">
            <v>24,30</v>
          </cell>
          <cell r="I283" t="str">
            <v>L,M,H,V</v>
          </cell>
          <cell r="N283">
            <v>9</v>
          </cell>
          <cell r="O283">
            <v>40</v>
          </cell>
          <cell r="Q283" t="str">
            <v>pc</v>
          </cell>
          <cell r="T283">
            <v>2</v>
          </cell>
          <cell r="U283">
            <v>5.83</v>
          </cell>
          <cell r="V283" t="str">
            <v>LED Board, High Power, 15V, CRI90, 4000K, 292mm, Aluminium, 10 LED from Nichia, 2121 Form Factor, Binning: x, Bold Lighting LLC, E17910</v>
          </cell>
          <cell r="Y283">
            <v>5.3</v>
          </cell>
          <cell r="Z283">
            <v>1.3</v>
          </cell>
          <cell r="AA283">
            <v>1.41</v>
          </cell>
        </row>
        <row r="284">
          <cell r="C284" t="str">
            <v>PB17910BLD940</v>
          </cell>
          <cell r="D284" t="str">
            <v>PCB</v>
          </cell>
          <cell r="E284" t="str">
            <v>BXH, BHS, BKH</v>
          </cell>
          <cell r="H284" t="str">
            <v>36,42</v>
          </cell>
          <cell r="I284" t="str">
            <v>L,M,H,V</v>
          </cell>
          <cell r="N284">
            <v>9</v>
          </cell>
          <cell r="O284">
            <v>40</v>
          </cell>
          <cell r="Q284" t="str">
            <v>pc</v>
          </cell>
          <cell r="T284">
            <v>3</v>
          </cell>
          <cell r="U284">
            <v>5.83</v>
          </cell>
          <cell r="V284" t="str">
            <v>LED Board, High Power, 15V, CRI90, 4000K, 292mm, Aluminium, 10 LED from Nichia, 2121 Form Factor, Binning: x, Bold Lighting LLC, E17910</v>
          </cell>
          <cell r="Y284">
            <v>5.3</v>
          </cell>
          <cell r="Z284">
            <v>1.3</v>
          </cell>
          <cell r="AA284">
            <v>1.41</v>
          </cell>
        </row>
        <row r="285">
          <cell r="C285" t="str">
            <v>PB17910BLD940</v>
          </cell>
          <cell r="D285" t="str">
            <v>PCB</v>
          </cell>
          <cell r="E285" t="str">
            <v>BXH, BHS, BKH</v>
          </cell>
          <cell r="H285" t="str">
            <v>48,54</v>
          </cell>
          <cell r="I285" t="str">
            <v>L,M,H,V</v>
          </cell>
          <cell r="N285">
            <v>9</v>
          </cell>
          <cell r="O285">
            <v>40</v>
          </cell>
          <cell r="Q285" t="str">
            <v>pc</v>
          </cell>
          <cell r="T285">
            <v>4</v>
          </cell>
          <cell r="U285">
            <v>5.83</v>
          </cell>
          <cell r="V285" t="str">
            <v>LED Board, High Power, 15V, CRI90, 4000K, 292mm, Aluminium, 10 LED from Nichia, 2121 Form Factor, Binning: x, Bold Lighting LLC, E17910</v>
          </cell>
          <cell r="Y285">
            <v>5.3</v>
          </cell>
          <cell r="Z285">
            <v>1.3</v>
          </cell>
          <cell r="AA285">
            <v>1.41</v>
          </cell>
        </row>
        <row r="286">
          <cell r="C286" t="str">
            <v>PB17910BLD940</v>
          </cell>
          <cell r="D286" t="str">
            <v>PCB</v>
          </cell>
          <cell r="E286" t="str">
            <v>BXH, BHS, BKH</v>
          </cell>
          <cell r="H286">
            <v>60</v>
          </cell>
          <cell r="I286" t="str">
            <v>L,M,H,V</v>
          </cell>
          <cell r="N286">
            <v>9</v>
          </cell>
          <cell r="O286">
            <v>40</v>
          </cell>
          <cell r="Q286" t="str">
            <v>pc</v>
          </cell>
          <cell r="T286">
            <v>5</v>
          </cell>
          <cell r="U286">
            <v>5.83</v>
          </cell>
          <cell r="V286" t="str">
            <v>LED Board, High Power, 15V, CRI90, 4000K, 292mm, Aluminium, 10 LED from Nichia, 2121 Form Factor, Binning: x, Bold Lighting LLC, E17910</v>
          </cell>
          <cell r="Y286">
            <v>5.3</v>
          </cell>
          <cell r="Z286">
            <v>1.3</v>
          </cell>
          <cell r="AA286">
            <v>1.41</v>
          </cell>
        </row>
        <row r="288">
          <cell r="D288" t="str">
            <v>PCB</v>
          </cell>
          <cell r="E288" t="str">
            <v>BIS,BIW,BOS,BOW,BJS,BJW</v>
          </cell>
          <cell r="H288" t="str">
            <v>12,18</v>
          </cell>
          <cell r="I288" t="str">
            <v>D</v>
          </cell>
          <cell r="N288">
            <v>8</v>
          </cell>
          <cell r="O288" t="str">
            <v>WD</v>
          </cell>
          <cell r="Q288" t="str">
            <v>pc</v>
          </cell>
          <cell r="T288">
            <v>1</v>
          </cell>
          <cell r="U288">
            <v>0</v>
          </cell>
          <cell r="V288" t="str">
            <v>9V, 9W, High Power PCB, 1 ft,CRI80, 6 LED/ft 1800K , 24 LED/ft 3000K WD, 1800-3000K, CC</v>
          </cell>
          <cell r="Y288">
            <v>0</v>
          </cell>
          <cell r="Z288">
            <v>1.3</v>
          </cell>
          <cell r="AA288">
            <v>1.41</v>
          </cell>
        </row>
        <row r="289">
          <cell r="D289" t="str">
            <v>PCB</v>
          </cell>
          <cell r="E289" t="str">
            <v>BIS,BIW,BOS,BOW,BJS,BJW</v>
          </cell>
          <cell r="H289" t="str">
            <v>24,30</v>
          </cell>
          <cell r="I289" t="str">
            <v>D</v>
          </cell>
          <cell r="N289">
            <v>8</v>
          </cell>
          <cell r="O289" t="str">
            <v>WD</v>
          </cell>
          <cell r="Q289" t="str">
            <v>pc</v>
          </cell>
          <cell r="T289">
            <v>2</v>
          </cell>
          <cell r="U289">
            <v>0</v>
          </cell>
          <cell r="V289" t="str">
            <v>9V, 9W, High Power PCB, 1 ft,CRI80, 6 LED/ft 1800K , 24 LED/ft 3000K WD, 1800-3000K, CC</v>
          </cell>
          <cell r="Y289">
            <v>0</v>
          </cell>
          <cell r="Z289">
            <v>1.3</v>
          </cell>
          <cell r="AA289">
            <v>1.41</v>
          </cell>
        </row>
        <row r="290">
          <cell r="D290" t="str">
            <v>PCB</v>
          </cell>
          <cell r="E290" t="str">
            <v>BIS,BIW,BOS,BOW,BJS,BJW</v>
          </cell>
          <cell r="H290" t="str">
            <v>36,42</v>
          </cell>
          <cell r="I290" t="str">
            <v>D</v>
          </cell>
          <cell r="N290">
            <v>8</v>
          </cell>
          <cell r="O290" t="str">
            <v>WD</v>
          </cell>
          <cell r="Q290" t="str">
            <v>pc</v>
          </cell>
          <cell r="T290">
            <v>3</v>
          </cell>
          <cell r="U290">
            <v>0</v>
          </cell>
          <cell r="V290" t="str">
            <v>9V, 9W, High Power PCB, 1 ft,CRI80, 6 LED/ft 1800K , 24 LED/ft 3000K WD, 1800-3000K, CC</v>
          </cell>
          <cell r="Y290">
            <v>0</v>
          </cell>
          <cell r="Z290">
            <v>1.3</v>
          </cell>
          <cell r="AA290">
            <v>1.41</v>
          </cell>
        </row>
        <row r="291">
          <cell r="D291" t="str">
            <v>PCB</v>
          </cell>
          <cell r="E291" t="str">
            <v>BIS,BIW,BOS,BOW,BJS,BJW</v>
          </cell>
          <cell r="H291" t="str">
            <v>48,54</v>
          </cell>
          <cell r="I291" t="str">
            <v>D</v>
          </cell>
          <cell r="N291">
            <v>8</v>
          </cell>
          <cell r="O291" t="str">
            <v>WD</v>
          </cell>
          <cell r="Q291" t="str">
            <v>pc</v>
          </cell>
          <cell r="T291">
            <v>4</v>
          </cell>
          <cell r="U291">
            <v>0</v>
          </cell>
          <cell r="V291" t="str">
            <v>9V, 9W, High Power PCB, 1 ft,CRI80, 6 LED/ft 1800K , 24 LED/ft 3000K WD, 1800-3000K, CC</v>
          </cell>
          <cell r="Y291">
            <v>0</v>
          </cell>
          <cell r="Z291">
            <v>1.3</v>
          </cell>
          <cell r="AA291">
            <v>1.41</v>
          </cell>
        </row>
        <row r="292">
          <cell r="D292" t="str">
            <v>PCB</v>
          </cell>
          <cell r="E292" t="str">
            <v>BIS,BIW,BOS,BOW,BJS,BJW</v>
          </cell>
          <cell r="H292">
            <v>60</v>
          </cell>
          <cell r="I292" t="str">
            <v>D</v>
          </cell>
          <cell r="N292">
            <v>8</v>
          </cell>
          <cell r="O292" t="str">
            <v>WD</v>
          </cell>
          <cell r="Q292" t="str">
            <v>pc</v>
          </cell>
          <cell r="T292">
            <v>5</v>
          </cell>
          <cell r="U292">
            <v>0</v>
          </cell>
          <cell r="V292" t="str">
            <v>9V, 9W, High Power PCB, 1 ft,CRI80, 6 LED/ft 1800K , 24 LED/ft 3000K WD, 1800-3000K, CC</v>
          </cell>
          <cell r="Y292">
            <v>0</v>
          </cell>
          <cell r="Z292">
            <v>1.3</v>
          </cell>
          <cell r="AA292">
            <v>1.41</v>
          </cell>
        </row>
        <row r="293">
          <cell r="C293" t="str">
            <v>PB17511BLD9WD</v>
          </cell>
          <cell r="D293" t="str">
            <v>PCB</v>
          </cell>
          <cell r="E293" t="str">
            <v>BIS,BIW,BOS,BOW,BJS,BJW</v>
          </cell>
          <cell r="H293" t="str">
            <v>12,18</v>
          </cell>
          <cell r="I293" t="str">
            <v>D</v>
          </cell>
          <cell r="N293">
            <v>9</v>
          </cell>
          <cell r="O293" t="str">
            <v>WD</v>
          </cell>
          <cell r="Q293" t="str">
            <v>pc</v>
          </cell>
          <cell r="T293">
            <v>1</v>
          </cell>
          <cell r="U293">
            <v>8.25</v>
          </cell>
          <cell r="V293" t="str">
            <v>LED Board, High Power, 9V, CRI90, WD, 300mm, Aluminium, 30 LED from Luminus, 1616 Form Factor, Binning: x, Bold Lighting LLC, E17511</v>
          </cell>
          <cell r="Y293">
            <v>7.5</v>
          </cell>
          <cell r="Z293">
            <v>1.3</v>
          </cell>
          <cell r="AA293">
            <v>1.41</v>
          </cell>
        </row>
        <row r="294">
          <cell r="C294" t="str">
            <v>PB17511BLD9WD</v>
          </cell>
          <cell r="D294" t="str">
            <v>PCB</v>
          </cell>
          <cell r="E294" t="str">
            <v>BIS,BIW,BOS,BOW,BJS,BJW</v>
          </cell>
          <cell r="H294" t="str">
            <v>24,30</v>
          </cell>
          <cell r="I294" t="str">
            <v>D</v>
          </cell>
          <cell r="N294">
            <v>9</v>
          </cell>
          <cell r="O294" t="str">
            <v>WD</v>
          </cell>
          <cell r="Q294" t="str">
            <v>pc</v>
          </cell>
          <cell r="T294">
            <v>2</v>
          </cell>
          <cell r="U294">
            <v>8.25</v>
          </cell>
          <cell r="V294" t="str">
            <v>LED Board, High Power, 9V, CRI90, WD, 300mm, Aluminium, 30 LED from Luminus, 1616 Form Factor, Binning: x, Bold Lighting LLC, E17511</v>
          </cell>
          <cell r="Y294">
            <v>7.5</v>
          </cell>
          <cell r="Z294">
            <v>1.3</v>
          </cell>
          <cell r="AA294">
            <v>1.41</v>
          </cell>
        </row>
        <row r="295">
          <cell r="C295" t="str">
            <v>PB17511BLD9WD</v>
          </cell>
          <cell r="D295" t="str">
            <v>PCB</v>
          </cell>
          <cell r="E295" t="str">
            <v>BIS,BIW,BOS,BOW,BJS,BJW</v>
          </cell>
          <cell r="H295" t="str">
            <v>36,42</v>
          </cell>
          <cell r="I295" t="str">
            <v>D</v>
          </cell>
          <cell r="N295">
            <v>9</v>
          </cell>
          <cell r="O295" t="str">
            <v>WD</v>
          </cell>
          <cell r="Q295" t="str">
            <v>pc</v>
          </cell>
          <cell r="T295">
            <v>3</v>
          </cell>
          <cell r="U295">
            <v>8.25</v>
          </cell>
          <cell r="V295" t="str">
            <v>LED Board, High Power, 9V, CRI90, WD, 300mm, Aluminium, 30 LED from Luminus, 1616 Form Factor, Binning: x, Bold Lighting LLC, E17511</v>
          </cell>
          <cell r="Y295">
            <v>7.5</v>
          </cell>
          <cell r="Z295">
            <v>1.3</v>
          </cell>
          <cell r="AA295">
            <v>1.41</v>
          </cell>
        </row>
        <row r="296">
          <cell r="C296" t="str">
            <v>PB17511BLD9WD</v>
          </cell>
          <cell r="D296" t="str">
            <v>PCB</v>
          </cell>
          <cell r="E296" t="str">
            <v>BIS,BIW,BOS,BOW,BJS,BJW</v>
          </cell>
          <cell r="H296" t="str">
            <v>48,54</v>
          </cell>
          <cell r="I296" t="str">
            <v>D</v>
          </cell>
          <cell r="N296">
            <v>9</v>
          </cell>
          <cell r="O296" t="str">
            <v>WD</v>
          </cell>
          <cell r="Q296" t="str">
            <v>pc</v>
          </cell>
          <cell r="T296">
            <v>4</v>
          </cell>
          <cell r="U296">
            <v>8.25</v>
          </cell>
          <cell r="V296" t="str">
            <v>LED Board, High Power, 9V, CRI90, WD, 300mm, Aluminium, 30 LED from Luminus, 1616 Form Factor, Binning: x, Bold Lighting LLC, E17511</v>
          </cell>
          <cell r="Y296">
            <v>7.5</v>
          </cell>
          <cell r="Z296">
            <v>1.3</v>
          </cell>
          <cell r="AA296">
            <v>1.41</v>
          </cell>
        </row>
        <row r="297">
          <cell r="C297" t="str">
            <v>PB17511BLD9WD</v>
          </cell>
          <cell r="D297" t="str">
            <v>PCB</v>
          </cell>
          <cell r="E297" t="str">
            <v>BIS,BIW,BOS,BOW,BJS,BJW</v>
          </cell>
          <cell r="H297">
            <v>60</v>
          </cell>
          <cell r="I297" t="str">
            <v>D</v>
          </cell>
          <cell r="N297">
            <v>9</v>
          </cell>
          <cell r="O297" t="str">
            <v>WD</v>
          </cell>
          <cell r="Q297" t="str">
            <v>pc</v>
          </cell>
          <cell r="T297">
            <v>5</v>
          </cell>
          <cell r="U297">
            <v>8.25</v>
          </cell>
          <cell r="V297" t="str">
            <v>LED Board, High Power, 9V, CRI90, WD, 300mm, Aluminium, 30 LED from Luminus, 1616 Form Factor, Binning: x, Bold Lighting LLC, E17511</v>
          </cell>
          <cell r="Y297">
            <v>7.5</v>
          </cell>
          <cell r="Z297">
            <v>1.3</v>
          </cell>
          <cell r="AA297">
            <v>1.41</v>
          </cell>
        </row>
        <row r="299">
          <cell r="D299" t="str">
            <v>PCB</v>
          </cell>
          <cell r="E299" t="str">
            <v>BIS,BIW,BOS,BOW,BJS,BJW</v>
          </cell>
          <cell r="H299" t="str">
            <v>12,18</v>
          </cell>
          <cell r="I299" t="str">
            <v>W</v>
          </cell>
          <cell r="N299">
            <v>8</v>
          </cell>
          <cell r="O299" t="str">
            <v>WD</v>
          </cell>
          <cell r="Q299" t="str">
            <v>pc</v>
          </cell>
          <cell r="T299">
            <v>1</v>
          </cell>
          <cell r="U299">
            <v>0</v>
          </cell>
          <cell r="V299" t="str">
            <v>18V, 18W, High Power PCB, 1 ft,CRI80, 6 LED/ft 1800K , 24 LED/ft 3000K WD, 1800-3000K,  CC</v>
          </cell>
          <cell r="Y299">
            <v>0</v>
          </cell>
          <cell r="Z299">
            <v>1.3</v>
          </cell>
          <cell r="AA299">
            <v>1.41</v>
          </cell>
        </row>
        <row r="300">
          <cell r="D300" t="str">
            <v>PCB</v>
          </cell>
          <cell r="E300" t="str">
            <v>BIS,BIW,BOS,BOW,BJS,BJW</v>
          </cell>
          <cell r="H300" t="str">
            <v>24,30</v>
          </cell>
          <cell r="I300" t="str">
            <v>W</v>
          </cell>
          <cell r="N300">
            <v>8</v>
          </cell>
          <cell r="O300" t="str">
            <v>WD</v>
          </cell>
          <cell r="Q300" t="str">
            <v>pc</v>
          </cell>
          <cell r="T300">
            <v>2</v>
          </cell>
          <cell r="U300">
            <v>0</v>
          </cell>
          <cell r="V300" t="str">
            <v>18V, 18W, High Power PCB, 1 ft,CRI80, 6 LED/ft 1800K , 24 LED/ft 3000K WD, 1800-3000K,  CC</v>
          </cell>
          <cell r="Y300">
            <v>0</v>
          </cell>
          <cell r="Z300">
            <v>1.3</v>
          </cell>
          <cell r="AA300">
            <v>1.41</v>
          </cell>
        </row>
        <row r="301">
          <cell r="D301" t="str">
            <v>PCB</v>
          </cell>
          <cell r="E301" t="str">
            <v>BIS,BIW,BOS,BOW,BJS,BJW</v>
          </cell>
          <cell r="H301" t="str">
            <v>36,42</v>
          </cell>
          <cell r="I301" t="str">
            <v>W</v>
          </cell>
          <cell r="N301">
            <v>8</v>
          </cell>
          <cell r="O301" t="str">
            <v>WD</v>
          </cell>
          <cell r="Q301" t="str">
            <v>pc</v>
          </cell>
          <cell r="T301">
            <v>3</v>
          </cell>
          <cell r="U301">
            <v>0</v>
          </cell>
          <cell r="V301" t="str">
            <v>18V, 18W, High Power PCB, 1 ft,CRI80, 6 LED/ft 1800K , 24 LED/ft 3000K WD, 1800-3000K,  CC</v>
          </cell>
          <cell r="Y301">
            <v>0</v>
          </cell>
          <cell r="Z301">
            <v>1.3</v>
          </cell>
          <cell r="AA301">
            <v>1.41</v>
          </cell>
        </row>
        <row r="302">
          <cell r="D302" t="str">
            <v>PCB</v>
          </cell>
          <cell r="E302" t="str">
            <v>BIS,BIW,BOS,BOW,BJS,BJW</v>
          </cell>
          <cell r="H302" t="str">
            <v>48,54</v>
          </cell>
          <cell r="I302" t="str">
            <v>W</v>
          </cell>
          <cell r="N302">
            <v>8</v>
          </cell>
          <cell r="O302" t="str">
            <v>WD</v>
          </cell>
          <cell r="Q302" t="str">
            <v>pc</v>
          </cell>
          <cell r="T302">
            <v>4</v>
          </cell>
          <cell r="U302">
            <v>0</v>
          </cell>
          <cell r="V302" t="str">
            <v>18V, 18W, High Power PCB, 1 ft,CRI80, 6 LED/ft 1800K , 24 LED/ft 3000K WD, 1800-3000K,  CC</v>
          </cell>
          <cell r="Y302">
            <v>0</v>
          </cell>
          <cell r="Z302">
            <v>1.3</v>
          </cell>
          <cell r="AA302">
            <v>1.41</v>
          </cell>
        </row>
        <row r="303">
          <cell r="D303" t="str">
            <v>PCB</v>
          </cell>
          <cell r="E303" t="str">
            <v>BIS,BIW,BOS,BOW,BJS,BJW</v>
          </cell>
          <cell r="H303">
            <v>60</v>
          </cell>
          <cell r="I303" t="str">
            <v>W</v>
          </cell>
          <cell r="N303">
            <v>8</v>
          </cell>
          <cell r="O303" t="str">
            <v>WD</v>
          </cell>
          <cell r="Q303" t="str">
            <v>pc</v>
          </cell>
          <cell r="T303">
            <v>5</v>
          </cell>
          <cell r="U303">
            <v>0</v>
          </cell>
          <cell r="V303" t="str">
            <v>18V, 18W, High Power PCB, 1 ft,CRI80, 6 LED/ft 1800K , 24 LED/ft 3000K WD, 1800-3000K,  CC</v>
          </cell>
          <cell r="Y303">
            <v>0</v>
          </cell>
          <cell r="Z303">
            <v>1.3</v>
          </cell>
          <cell r="AA303">
            <v>1.41</v>
          </cell>
        </row>
        <row r="304">
          <cell r="C304" t="str">
            <v>PB17512BLD9WD</v>
          </cell>
          <cell r="D304" t="str">
            <v>PCB</v>
          </cell>
          <cell r="E304" t="str">
            <v>BIS,BIW,BOS,BOW,BJS,BJW</v>
          </cell>
          <cell r="H304" t="str">
            <v>12,18</v>
          </cell>
          <cell r="I304" t="str">
            <v>W</v>
          </cell>
          <cell r="N304">
            <v>9</v>
          </cell>
          <cell r="O304" t="str">
            <v>WD</v>
          </cell>
          <cell r="Q304" t="str">
            <v>pc</v>
          </cell>
          <cell r="T304">
            <v>1</v>
          </cell>
          <cell r="U304">
            <v>7.26</v>
          </cell>
          <cell r="V304" t="str">
            <v>LED Board, High Power, 18V, CRI90, WD, 300mm, Aluminium, 30 LED from Luminus, 1616 Form Factor, Binning: x, Bold Lighting LLC, E17512</v>
          </cell>
          <cell r="Y304">
            <v>6.6</v>
          </cell>
          <cell r="Z304">
            <v>1.3</v>
          </cell>
          <cell r="AA304">
            <v>1.41</v>
          </cell>
        </row>
        <row r="305">
          <cell r="C305" t="str">
            <v>PB17512BLD9WD</v>
          </cell>
          <cell r="D305" t="str">
            <v>PCB</v>
          </cell>
          <cell r="E305" t="str">
            <v>BIS,BIW,BOS,BOW,BJS,BJW</v>
          </cell>
          <cell r="H305" t="str">
            <v>24,30</v>
          </cell>
          <cell r="I305" t="str">
            <v>W</v>
          </cell>
          <cell r="N305">
            <v>9</v>
          </cell>
          <cell r="O305" t="str">
            <v>WD</v>
          </cell>
          <cell r="Q305" t="str">
            <v>pc</v>
          </cell>
          <cell r="T305">
            <v>2</v>
          </cell>
          <cell r="U305">
            <v>7.26</v>
          </cell>
          <cell r="V305" t="str">
            <v>LED Board, High Power, 18V, CRI90, WD, 300mm, Aluminium, 30 LED from Luminus, 1616 Form Factor, Binning: x, Bold Lighting LLC, E17512</v>
          </cell>
          <cell r="Y305">
            <v>6.6</v>
          </cell>
          <cell r="Z305">
            <v>1.3</v>
          </cell>
          <cell r="AA305">
            <v>1.41</v>
          </cell>
        </row>
        <row r="306">
          <cell r="C306" t="str">
            <v>PB17512BLD9WD</v>
          </cell>
          <cell r="D306" t="str">
            <v>PCB</v>
          </cell>
          <cell r="E306" t="str">
            <v>BIS,BIW,BOS,BOW,BJS,BJW</v>
          </cell>
          <cell r="H306" t="str">
            <v>36,42</v>
          </cell>
          <cell r="I306" t="str">
            <v>W</v>
          </cell>
          <cell r="N306">
            <v>9</v>
          </cell>
          <cell r="O306" t="str">
            <v>WD</v>
          </cell>
          <cell r="Q306" t="str">
            <v>pc</v>
          </cell>
          <cell r="T306">
            <v>3</v>
          </cell>
          <cell r="U306">
            <v>7.26</v>
          </cell>
          <cell r="V306" t="str">
            <v>LED Board, High Power, 18V, CRI90, WD, 300mm, Aluminium, 30 LED from Luminus, 1616 Form Factor, Binning: x, Bold Lighting LLC, E17512</v>
          </cell>
          <cell r="Y306">
            <v>6.6</v>
          </cell>
          <cell r="Z306">
            <v>1.3</v>
          </cell>
          <cell r="AA306">
            <v>1.41</v>
          </cell>
        </row>
        <row r="307">
          <cell r="C307" t="str">
            <v>PB17512BLD9WD</v>
          </cell>
          <cell r="D307" t="str">
            <v>PCB</v>
          </cell>
          <cell r="E307" t="str">
            <v>BIS,BIW,BOS,BOW,BJS,BJW</v>
          </cell>
          <cell r="H307" t="str">
            <v>48,54</v>
          </cell>
          <cell r="I307" t="str">
            <v>W</v>
          </cell>
          <cell r="N307">
            <v>9</v>
          </cell>
          <cell r="O307" t="str">
            <v>WD</v>
          </cell>
          <cell r="Q307" t="str">
            <v>pc</v>
          </cell>
          <cell r="T307">
            <v>4</v>
          </cell>
          <cell r="U307">
            <v>7.26</v>
          </cell>
          <cell r="V307" t="str">
            <v>LED Board, High Power, 18V, CRI90, WD, 300mm, Aluminium, 30 LED from Luminus, 1616 Form Factor, Binning: x, Bold Lighting LLC, E17512</v>
          </cell>
          <cell r="Y307">
            <v>6.6</v>
          </cell>
          <cell r="Z307">
            <v>1.3</v>
          </cell>
          <cell r="AA307">
            <v>1.41</v>
          </cell>
        </row>
        <row r="308">
          <cell r="C308" t="str">
            <v>PB17512BLD9WD</v>
          </cell>
          <cell r="D308" t="str">
            <v>PCB</v>
          </cell>
          <cell r="E308" t="str">
            <v>BIS,BIW,BOS,BOW,BJS,BJW</v>
          </cell>
          <cell r="H308">
            <v>60</v>
          </cell>
          <cell r="I308" t="str">
            <v>W</v>
          </cell>
          <cell r="N308">
            <v>9</v>
          </cell>
          <cell r="O308" t="str">
            <v>WD</v>
          </cell>
          <cell r="Q308" t="str">
            <v>pc</v>
          </cell>
          <cell r="T308">
            <v>5</v>
          </cell>
          <cell r="U308">
            <v>7.26</v>
          </cell>
          <cell r="V308" t="str">
            <v>LED Board, High Power, 18V, CRI90, WD, 300mm, Aluminium, 30 LED from Luminus, 1616 Form Factor, Binning: x, Bold Lighting LLC, E17512</v>
          </cell>
          <cell r="Y308">
            <v>6.6</v>
          </cell>
          <cell r="Z308">
            <v>1.3</v>
          </cell>
          <cell r="AA308">
            <v>1.41</v>
          </cell>
        </row>
        <row r="310">
          <cell r="D310" t="str">
            <v>PCB</v>
          </cell>
          <cell r="E310" t="str">
            <v>BIS,BIW,BOS,BOW,BJS,BJW</v>
          </cell>
          <cell r="H310">
            <v>18</v>
          </cell>
          <cell r="I310" t="str">
            <v>D</v>
          </cell>
          <cell r="N310">
            <v>8</v>
          </cell>
          <cell r="O310" t="str">
            <v>WD</v>
          </cell>
          <cell r="Q310" t="str">
            <v>pc</v>
          </cell>
          <cell r="T310">
            <v>1</v>
          </cell>
          <cell r="U310">
            <v>0</v>
          </cell>
          <cell r="V310" t="str">
            <v>4.5V, 4.5W, High Power PCB, 1/2 ft,CRI80, 3 LED/ft 1800K , 12 LED/ft 3000K WD, 1800-3000K, CC</v>
          </cell>
          <cell r="Y310">
            <v>0</v>
          </cell>
          <cell r="Z310">
            <v>1.3</v>
          </cell>
          <cell r="AA310">
            <v>1.41</v>
          </cell>
        </row>
        <row r="311">
          <cell r="D311" t="str">
            <v>PCB</v>
          </cell>
          <cell r="E311" t="str">
            <v>BIS,BIW,BOS,BOW,BJS,BJW</v>
          </cell>
          <cell r="H311">
            <v>30</v>
          </cell>
          <cell r="I311" t="str">
            <v>D</v>
          </cell>
          <cell r="N311">
            <v>8</v>
          </cell>
          <cell r="O311" t="str">
            <v>WD</v>
          </cell>
          <cell r="Q311" t="str">
            <v>pc</v>
          </cell>
          <cell r="T311">
            <v>1</v>
          </cell>
          <cell r="U311">
            <v>0</v>
          </cell>
          <cell r="V311" t="str">
            <v>4.5V, 4.5W, High Power PCB, 1/2 ft,CRI80, 3 LED/ft 1800K , 12 LED/ft 3000K WD, 1800-3000K, CC</v>
          </cell>
          <cell r="Y311">
            <v>0</v>
          </cell>
          <cell r="Z311">
            <v>1.3</v>
          </cell>
          <cell r="AA311">
            <v>1.41</v>
          </cell>
        </row>
        <row r="312">
          <cell r="D312" t="str">
            <v>PCB</v>
          </cell>
          <cell r="E312" t="str">
            <v>BIS,BIW,BOS,BOW,BJS,BJW</v>
          </cell>
          <cell r="H312">
            <v>42</v>
          </cell>
          <cell r="I312" t="str">
            <v>D</v>
          </cell>
          <cell r="N312">
            <v>8</v>
          </cell>
          <cell r="O312" t="str">
            <v>WD</v>
          </cell>
          <cell r="Q312" t="str">
            <v>pc</v>
          </cell>
          <cell r="T312">
            <v>1</v>
          </cell>
          <cell r="U312">
            <v>0</v>
          </cell>
          <cell r="V312" t="str">
            <v>4.5V, 4.5W, High Power PCB, 1/2 ft,CRI80, 3 LED/ft 1800K , 12 LED/ft 3000K WD, 1800-3000K, CC</v>
          </cell>
          <cell r="Y312">
            <v>0</v>
          </cell>
          <cell r="Z312">
            <v>1.3</v>
          </cell>
          <cell r="AA312">
            <v>1.41</v>
          </cell>
        </row>
        <row r="313">
          <cell r="D313" t="str">
            <v>PCB</v>
          </cell>
          <cell r="E313" t="str">
            <v>BIS,BIW,BOS,BOW,BJS,BJW</v>
          </cell>
          <cell r="H313">
            <v>54</v>
          </cell>
          <cell r="I313" t="str">
            <v>D</v>
          </cell>
          <cell r="N313">
            <v>8</v>
          </cell>
          <cell r="O313" t="str">
            <v>WD</v>
          </cell>
          <cell r="Q313" t="str">
            <v>pc</v>
          </cell>
          <cell r="T313">
            <v>1</v>
          </cell>
          <cell r="U313">
            <v>0</v>
          </cell>
          <cell r="V313" t="str">
            <v>4.5V, 4.5W, High Power PCB, 1/2 ft,CRI80, 3 LED/ft 1800K , 12 LED/ft 3000K WD, 1800-3000K, CC</v>
          </cell>
          <cell r="Y313">
            <v>0</v>
          </cell>
          <cell r="Z313">
            <v>1.3</v>
          </cell>
          <cell r="AA313">
            <v>1.41</v>
          </cell>
        </row>
        <row r="314">
          <cell r="C314" t="str">
            <v>PB17521BLD9WD</v>
          </cell>
          <cell r="D314" t="str">
            <v>PCB</v>
          </cell>
          <cell r="E314" t="str">
            <v>BIS,BIW,BOS,BOW,BJS,BJW</v>
          </cell>
          <cell r="H314">
            <v>18</v>
          </cell>
          <cell r="I314" t="str">
            <v>D</v>
          </cell>
          <cell r="N314">
            <v>9</v>
          </cell>
          <cell r="O314" t="str">
            <v>WD</v>
          </cell>
          <cell r="Q314" t="str">
            <v>pc</v>
          </cell>
          <cell r="T314">
            <v>1</v>
          </cell>
          <cell r="U314">
            <v>6.2150000000000007</v>
          </cell>
          <cell r="V314" t="str">
            <v>LED Board, High Power, 4.5V, CRI90, WD, 150mm, Aluminium, 15 LED from Luminus, 1616 Form Factor, Binning: x, Bold Lighting LLC, E17521</v>
          </cell>
          <cell r="Y314">
            <v>5.65</v>
          </cell>
          <cell r="Z314">
            <v>1.3</v>
          </cell>
          <cell r="AA314">
            <v>1.41</v>
          </cell>
        </row>
        <row r="315">
          <cell r="C315" t="str">
            <v>PB17521BLD9WD</v>
          </cell>
          <cell r="D315" t="str">
            <v>PCB</v>
          </cell>
          <cell r="E315" t="str">
            <v>BIS,BIW,BOS,BOW,BJS,BJW</v>
          </cell>
          <cell r="H315">
            <v>30</v>
          </cell>
          <cell r="I315" t="str">
            <v>D</v>
          </cell>
          <cell r="N315">
            <v>9</v>
          </cell>
          <cell r="O315" t="str">
            <v>WD</v>
          </cell>
          <cell r="Q315" t="str">
            <v>pc</v>
          </cell>
          <cell r="T315">
            <v>1</v>
          </cell>
          <cell r="U315">
            <v>6.2150000000000007</v>
          </cell>
          <cell r="V315" t="str">
            <v>LED Board, High Power, 4.5V, CRI90, WD, 150mm, Aluminium, 15 LED from Luminus, 1616 Form Factor, Binning: x, Bold Lighting LLC, E17521</v>
          </cell>
          <cell r="Y315">
            <v>5.65</v>
          </cell>
          <cell r="Z315">
            <v>1.3</v>
          </cell>
          <cell r="AA315">
            <v>1.41</v>
          </cell>
        </row>
        <row r="316">
          <cell r="C316" t="str">
            <v>PB17521BLD9WD</v>
          </cell>
          <cell r="D316" t="str">
            <v>PCB</v>
          </cell>
          <cell r="E316" t="str">
            <v>BIS,BIW,BOS,BOW,BJS,BJW</v>
          </cell>
          <cell r="H316">
            <v>42</v>
          </cell>
          <cell r="I316" t="str">
            <v>D</v>
          </cell>
          <cell r="N316">
            <v>9</v>
          </cell>
          <cell r="O316" t="str">
            <v>WD</v>
          </cell>
          <cell r="Q316" t="str">
            <v>pc</v>
          </cell>
          <cell r="T316">
            <v>1</v>
          </cell>
          <cell r="U316">
            <v>6.2150000000000007</v>
          </cell>
          <cell r="V316" t="str">
            <v>LED Board, High Power, 4.5V, CRI90, WD, 150mm, Aluminium, 15 LED from Luminus, 1616 Form Factor, Binning: x, Bold Lighting LLC, E17521</v>
          </cell>
          <cell r="Y316">
            <v>5.65</v>
          </cell>
          <cell r="Z316">
            <v>1.3</v>
          </cell>
          <cell r="AA316">
            <v>1.41</v>
          </cell>
        </row>
        <row r="317">
          <cell r="C317" t="str">
            <v>PB17521BLD9WD</v>
          </cell>
          <cell r="D317" t="str">
            <v>PCB</v>
          </cell>
          <cell r="E317" t="str">
            <v>BIS,BIW,BOS,BOW,BJS,BJW</v>
          </cell>
          <cell r="H317">
            <v>54</v>
          </cell>
          <cell r="I317" t="str">
            <v>D</v>
          </cell>
          <cell r="N317">
            <v>9</v>
          </cell>
          <cell r="O317" t="str">
            <v>WD</v>
          </cell>
          <cell r="Q317" t="str">
            <v>pc</v>
          </cell>
          <cell r="T317">
            <v>1</v>
          </cell>
          <cell r="U317">
            <v>6.2150000000000007</v>
          </cell>
          <cell r="V317" t="str">
            <v>LED Board, High Power, 4.5V, CRI90, WD, 150mm, Aluminium, 15 LED from Luminus, 1616 Form Factor, Binning: x, Bold Lighting LLC, E17521</v>
          </cell>
          <cell r="Y317">
            <v>5.65</v>
          </cell>
          <cell r="Z317">
            <v>1.3</v>
          </cell>
          <cell r="AA317">
            <v>1.41</v>
          </cell>
        </row>
        <row r="319">
          <cell r="D319" t="str">
            <v>PCB</v>
          </cell>
          <cell r="E319" t="str">
            <v>BIS,BIW,BOS,BOW,BJS,BJW</v>
          </cell>
          <cell r="H319">
            <v>18</v>
          </cell>
          <cell r="I319" t="str">
            <v>W</v>
          </cell>
          <cell r="N319">
            <v>8</v>
          </cell>
          <cell r="O319" t="str">
            <v>WD</v>
          </cell>
          <cell r="Q319" t="str">
            <v>pc</v>
          </cell>
          <cell r="T319">
            <v>1</v>
          </cell>
          <cell r="U319">
            <v>0</v>
          </cell>
          <cell r="V319" t="str">
            <v>9V, 9W, High Power PCB, 1/2 ft,CRI80, 3 LED/ft 1800K , 12 LED/ft 3000K WD, 1800-3000K, CC</v>
          </cell>
          <cell r="Y319">
            <v>0</v>
          </cell>
          <cell r="Z319">
            <v>1.3</v>
          </cell>
          <cell r="AA319">
            <v>1.41</v>
          </cell>
        </row>
        <row r="320">
          <cell r="D320" t="str">
            <v>PCB</v>
          </cell>
          <cell r="E320" t="str">
            <v>BIS,BIW,BOS,BOW,BJS,BJW</v>
          </cell>
          <cell r="H320">
            <v>30</v>
          </cell>
          <cell r="I320" t="str">
            <v>W</v>
          </cell>
          <cell r="N320">
            <v>8</v>
          </cell>
          <cell r="O320" t="str">
            <v>WD</v>
          </cell>
          <cell r="Q320" t="str">
            <v>pc</v>
          </cell>
          <cell r="T320">
            <v>1</v>
          </cell>
          <cell r="U320">
            <v>0</v>
          </cell>
          <cell r="V320" t="str">
            <v>9V, 9W, High Power PCB, 1/2 ft,CRI80, 3 LED/ft 1800K , 12 LED/ft 3000K WD, 1800-3000K, CC</v>
          </cell>
          <cell r="Y320">
            <v>0</v>
          </cell>
          <cell r="Z320">
            <v>1.3</v>
          </cell>
          <cell r="AA320">
            <v>1.41</v>
          </cell>
        </row>
        <row r="321">
          <cell r="D321" t="str">
            <v>PCB</v>
          </cell>
          <cell r="E321" t="str">
            <v>BIS,BIW,BOS,BOW,BJS,BJW</v>
          </cell>
          <cell r="H321">
            <v>42</v>
          </cell>
          <cell r="I321" t="str">
            <v>W</v>
          </cell>
          <cell r="N321">
            <v>8</v>
          </cell>
          <cell r="O321" t="str">
            <v>WD</v>
          </cell>
          <cell r="Q321" t="str">
            <v>pc</v>
          </cell>
          <cell r="T321">
            <v>1</v>
          </cell>
          <cell r="U321">
            <v>0</v>
          </cell>
          <cell r="V321" t="str">
            <v>9V, 9W, High Power PCB, 1/2 ft,CRI80, 3 LED/ft 1800K , 12 LED/ft 3000K WD, 1800-3000K, CC</v>
          </cell>
          <cell r="Y321">
            <v>0</v>
          </cell>
          <cell r="Z321">
            <v>1.3</v>
          </cell>
          <cell r="AA321">
            <v>1.41</v>
          </cell>
        </row>
        <row r="322">
          <cell r="D322" t="str">
            <v>PCB</v>
          </cell>
          <cell r="E322" t="str">
            <v>BIS,BIW,BOS,BOW,BJS,BJW</v>
          </cell>
          <cell r="H322">
            <v>54</v>
          </cell>
          <cell r="I322" t="str">
            <v>W</v>
          </cell>
          <cell r="N322">
            <v>8</v>
          </cell>
          <cell r="O322" t="str">
            <v>WD</v>
          </cell>
          <cell r="Q322" t="str">
            <v>pc</v>
          </cell>
          <cell r="T322">
            <v>1</v>
          </cell>
          <cell r="U322">
            <v>0</v>
          </cell>
          <cell r="V322" t="str">
            <v>9V, 9W, High Power PCB, 1/2 ft,CRI80, 3 LED/ft 1800K , 12 LED/ft 3000K WD, 1800-3000K, CC</v>
          </cell>
          <cell r="Y322">
            <v>0</v>
          </cell>
          <cell r="Z322">
            <v>1.3</v>
          </cell>
          <cell r="AA322">
            <v>1.41</v>
          </cell>
        </row>
        <row r="323">
          <cell r="C323" t="str">
            <v>PB17522BLD9WD</v>
          </cell>
          <cell r="D323" t="str">
            <v>PCB</v>
          </cell>
          <cell r="E323" t="str">
            <v>BIS,BIW,BOS,BOW,BJS,BJW</v>
          </cell>
          <cell r="H323">
            <v>18</v>
          </cell>
          <cell r="I323" t="str">
            <v>W</v>
          </cell>
          <cell r="N323">
            <v>9</v>
          </cell>
          <cell r="O323" t="str">
            <v>WD</v>
          </cell>
          <cell r="Q323" t="str">
            <v>pc</v>
          </cell>
          <cell r="T323">
            <v>1</v>
          </cell>
          <cell r="U323">
            <v>6.2150000000000007</v>
          </cell>
          <cell r="V323" t="str">
            <v>LED Board, High Power, 9V, CRI90, WD, 150mm, Aluminium, 15 LED from Luminus, 1616 Form Factor, Binning: x, Bold Lighting LLC, E17522</v>
          </cell>
          <cell r="Y323">
            <v>5.65</v>
          </cell>
          <cell r="Z323">
            <v>1.3</v>
          </cell>
          <cell r="AA323">
            <v>1.41</v>
          </cell>
        </row>
        <row r="324">
          <cell r="C324" t="str">
            <v>PB17522BLD9WD</v>
          </cell>
          <cell r="D324" t="str">
            <v>PCB</v>
          </cell>
          <cell r="E324" t="str">
            <v>BIS,BIW,BOS,BOW,BJS,BJW</v>
          </cell>
          <cell r="H324">
            <v>30</v>
          </cell>
          <cell r="I324" t="str">
            <v>W</v>
          </cell>
          <cell r="N324">
            <v>9</v>
          </cell>
          <cell r="O324" t="str">
            <v>WD</v>
          </cell>
          <cell r="Q324" t="str">
            <v>pc</v>
          </cell>
          <cell r="T324">
            <v>1</v>
          </cell>
          <cell r="U324">
            <v>6.2150000000000007</v>
          </cell>
          <cell r="V324" t="str">
            <v>LED Board, High Power, 9V, CRI90, WD, 150mm, Aluminium, 15 LED from Luminus, 1616 Form Factor, Binning: x, Bold Lighting LLC, E17522</v>
          </cell>
          <cell r="Y324">
            <v>5.65</v>
          </cell>
          <cell r="Z324">
            <v>1.3</v>
          </cell>
          <cell r="AA324">
            <v>1.41</v>
          </cell>
        </row>
        <row r="325">
          <cell r="C325" t="str">
            <v>PB17522BLD9WD</v>
          </cell>
          <cell r="D325" t="str">
            <v>PCB</v>
          </cell>
          <cell r="E325" t="str">
            <v>BIS,BIW,BOS,BOW,BJS,BJW</v>
          </cell>
          <cell r="H325">
            <v>42</v>
          </cell>
          <cell r="I325" t="str">
            <v>W</v>
          </cell>
          <cell r="N325">
            <v>9</v>
          </cell>
          <cell r="O325" t="str">
            <v>WD</v>
          </cell>
          <cell r="Q325" t="str">
            <v>pc</v>
          </cell>
          <cell r="T325">
            <v>1</v>
          </cell>
          <cell r="U325">
            <v>6.2150000000000007</v>
          </cell>
          <cell r="V325" t="str">
            <v>LED Board, High Power, 9V, CRI90, WD, 150mm, Aluminium, 15 LED from Luminus, 1616 Form Factor, Binning: x, Bold Lighting LLC, E17522</v>
          </cell>
          <cell r="Y325">
            <v>5.65</v>
          </cell>
          <cell r="Z325">
            <v>1.3</v>
          </cell>
          <cell r="AA325">
            <v>1.41</v>
          </cell>
        </row>
        <row r="326">
          <cell r="C326" t="str">
            <v>PB17522BLD9WD</v>
          </cell>
          <cell r="D326" t="str">
            <v>PCB</v>
          </cell>
          <cell r="E326" t="str">
            <v>BIS,BIW,BOS,BOW,BJS,BJW</v>
          </cell>
          <cell r="H326">
            <v>54</v>
          </cell>
          <cell r="I326" t="str">
            <v>W</v>
          </cell>
          <cell r="N326">
            <v>9</v>
          </cell>
          <cell r="O326" t="str">
            <v>WD</v>
          </cell>
          <cell r="Q326" t="str">
            <v>pc</v>
          </cell>
          <cell r="T326">
            <v>1</v>
          </cell>
          <cell r="U326">
            <v>6.2150000000000007</v>
          </cell>
          <cell r="V326" t="str">
            <v>LED Board, High Power, 9V, CRI90, WD, 150mm, Aluminium, 15 LED from Luminus, 1616 Form Factor, Binning: x, Bold Lighting LLC, E17522</v>
          </cell>
          <cell r="Y326">
            <v>5.65</v>
          </cell>
          <cell r="Z326">
            <v>1.3</v>
          </cell>
          <cell r="AA326">
            <v>1.41</v>
          </cell>
        </row>
        <row r="328">
          <cell r="D328" t="str">
            <v>PCB</v>
          </cell>
          <cell r="E328" t="str">
            <v>BXH, BHS, BKH</v>
          </cell>
          <cell r="H328" t="str">
            <v>12,18</v>
          </cell>
          <cell r="I328" t="str">
            <v>U,A</v>
          </cell>
          <cell r="N328">
            <v>8</v>
          </cell>
          <cell r="O328" t="str">
            <v>TW</v>
          </cell>
          <cell r="Q328" t="str">
            <v>pc</v>
          </cell>
          <cell r="T328">
            <v>1</v>
          </cell>
          <cell r="U328">
            <v>0</v>
          </cell>
          <cell r="V328" t="str">
            <v>15V, High Power PCB, CRI80, 8 LED/ft, Tunable White, 2700 - 5000K, CC</v>
          </cell>
          <cell r="Y328">
            <v>0</v>
          </cell>
          <cell r="Z328">
            <v>1.3</v>
          </cell>
          <cell r="AA328">
            <v>1.41</v>
          </cell>
        </row>
        <row r="329">
          <cell r="D329" t="str">
            <v>PCB</v>
          </cell>
          <cell r="E329" t="str">
            <v>BXH, BHS, BKH</v>
          </cell>
          <cell r="H329" t="str">
            <v>24,30</v>
          </cell>
          <cell r="I329" t="str">
            <v>U,A</v>
          </cell>
          <cell r="N329">
            <v>8</v>
          </cell>
          <cell r="O329" t="str">
            <v>TW</v>
          </cell>
          <cell r="Q329" t="str">
            <v>pc</v>
          </cell>
          <cell r="T329">
            <v>2</v>
          </cell>
          <cell r="U329">
            <v>0</v>
          </cell>
          <cell r="V329" t="str">
            <v>15V, High Power PCB, CRI80, 8 LED/ft, Tunable White, 2700 - 5000K, CC</v>
          </cell>
          <cell r="Y329">
            <v>0</v>
          </cell>
          <cell r="Z329">
            <v>1.3</v>
          </cell>
          <cell r="AA329">
            <v>1.41</v>
          </cell>
        </row>
        <row r="330">
          <cell r="D330" t="str">
            <v>PCB</v>
          </cell>
          <cell r="E330" t="str">
            <v>BXH, BHS, BKH</v>
          </cell>
          <cell r="H330" t="str">
            <v>36,42</v>
          </cell>
          <cell r="I330" t="str">
            <v>U,A</v>
          </cell>
          <cell r="N330">
            <v>8</v>
          </cell>
          <cell r="O330" t="str">
            <v>TW</v>
          </cell>
          <cell r="Q330" t="str">
            <v>pc</v>
          </cell>
          <cell r="T330">
            <v>3</v>
          </cell>
          <cell r="U330">
            <v>0</v>
          </cell>
          <cell r="V330" t="str">
            <v>15V, High Power PCB, CRI80, 8 LED/ft, Tunable White, 2700 - 5000K, CC</v>
          </cell>
          <cell r="Y330">
            <v>0</v>
          </cell>
          <cell r="Z330">
            <v>1.3</v>
          </cell>
          <cell r="AA330">
            <v>1.41</v>
          </cell>
        </row>
        <row r="331">
          <cell r="D331" t="str">
            <v>PCB</v>
          </cell>
          <cell r="E331" t="str">
            <v>BXH, BHS, BKH</v>
          </cell>
          <cell r="H331" t="str">
            <v>48,54</v>
          </cell>
          <cell r="I331" t="str">
            <v>U,A</v>
          </cell>
          <cell r="N331">
            <v>8</v>
          </cell>
          <cell r="O331" t="str">
            <v>TW</v>
          </cell>
          <cell r="Q331" t="str">
            <v>pc</v>
          </cell>
          <cell r="T331">
            <v>4</v>
          </cell>
          <cell r="U331">
            <v>0</v>
          </cell>
          <cell r="V331" t="str">
            <v>15V, High Power PCB, CRI80, 8 LED/ft, Tunable White, 2700 - 5000K, CC</v>
          </cell>
          <cell r="Y331">
            <v>0</v>
          </cell>
          <cell r="Z331">
            <v>1.3</v>
          </cell>
          <cell r="AA331">
            <v>1.41</v>
          </cell>
        </row>
        <row r="332">
          <cell r="D332" t="str">
            <v>PCB</v>
          </cell>
          <cell r="E332" t="str">
            <v>BXH, BHS, BKH</v>
          </cell>
          <cell r="H332">
            <v>60</v>
          </cell>
          <cell r="I332" t="str">
            <v>U,A</v>
          </cell>
          <cell r="N332">
            <v>8</v>
          </cell>
          <cell r="O332" t="str">
            <v>TW</v>
          </cell>
          <cell r="Q332" t="str">
            <v>pc</v>
          </cell>
          <cell r="T332">
            <v>5</v>
          </cell>
          <cell r="U332">
            <v>0</v>
          </cell>
          <cell r="V332" t="str">
            <v>15V, High Power PCB, CRI80, 8 LED/ft, Tunable White, 2700 - 5000K, CC</v>
          </cell>
          <cell r="Y332">
            <v>0</v>
          </cell>
          <cell r="Z332">
            <v>1.3</v>
          </cell>
          <cell r="AA332">
            <v>1.41</v>
          </cell>
        </row>
        <row r="333">
          <cell r="C333" t="str">
            <v>PB17920BLD9TW</v>
          </cell>
          <cell r="D333" t="str">
            <v>PCB</v>
          </cell>
          <cell r="E333" t="str">
            <v>BXH, BHS, BKH</v>
          </cell>
          <cell r="H333" t="str">
            <v>12,18</v>
          </cell>
          <cell r="I333" t="str">
            <v>U,A</v>
          </cell>
          <cell r="N333">
            <v>9</v>
          </cell>
          <cell r="O333" t="str">
            <v>TW</v>
          </cell>
          <cell r="Q333" t="str">
            <v>pc</v>
          </cell>
          <cell r="T333">
            <v>1</v>
          </cell>
          <cell r="U333">
            <v>8.9870000000000001</v>
          </cell>
          <cell r="V333" t="str">
            <v>LED Board, High Power, 15V, CRI90, TW, 300mm, Aluminium, 20 LED from Nichia, 1717 Form Factor, Binning: x, Bold Lighting LLC, E17920</v>
          </cell>
          <cell r="Y333">
            <v>8.17</v>
          </cell>
          <cell r="Z333">
            <v>1.3</v>
          </cell>
          <cell r="AA333">
            <v>1.41</v>
          </cell>
        </row>
        <row r="334">
          <cell r="C334" t="str">
            <v>PB17920BLD9TW</v>
          </cell>
          <cell r="D334" t="str">
            <v>PCB</v>
          </cell>
          <cell r="E334" t="str">
            <v>BXH, BHS, BKH</v>
          </cell>
          <cell r="H334" t="str">
            <v>24,30</v>
          </cell>
          <cell r="I334" t="str">
            <v>U,A</v>
          </cell>
          <cell r="N334">
            <v>9</v>
          </cell>
          <cell r="O334" t="str">
            <v>TW</v>
          </cell>
          <cell r="Q334" t="str">
            <v>pc</v>
          </cell>
          <cell r="T334">
            <v>2</v>
          </cell>
          <cell r="U334">
            <v>8.9870000000000001</v>
          </cell>
          <cell r="V334" t="str">
            <v>LED Board, High Power, 15V, CRI90, TW, 300mm, Aluminium, 20 LED from Nichia, 1717 Form Factor, Binning: x, Bold Lighting LLC, E17920</v>
          </cell>
          <cell r="Y334">
            <v>8.17</v>
          </cell>
          <cell r="Z334">
            <v>1.3</v>
          </cell>
          <cell r="AA334">
            <v>1.41</v>
          </cell>
        </row>
        <row r="335">
          <cell r="C335" t="str">
            <v>PB17920BLD9TW</v>
          </cell>
          <cell r="D335" t="str">
            <v>PCB</v>
          </cell>
          <cell r="E335" t="str">
            <v>BXH, BHS, BKH</v>
          </cell>
          <cell r="H335" t="str">
            <v>36,42</v>
          </cell>
          <cell r="I335" t="str">
            <v>U,A</v>
          </cell>
          <cell r="N335">
            <v>9</v>
          </cell>
          <cell r="O335" t="str">
            <v>TW</v>
          </cell>
          <cell r="Q335" t="str">
            <v>pc</v>
          </cell>
          <cell r="T335">
            <v>3</v>
          </cell>
          <cell r="U335">
            <v>8.9870000000000001</v>
          </cell>
          <cell r="V335" t="str">
            <v>LED Board, High Power, 15V, CRI90, TW, 300mm, Aluminium, 20 LED from Nichia, 1717 Form Factor, Binning: x, Bold Lighting LLC, E17920</v>
          </cell>
          <cell r="Y335">
            <v>8.17</v>
          </cell>
          <cell r="Z335">
            <v>1.3</v>
          </cell>
          <cell r="AA335">
            <v>1.41</v>
          </cell>
        </row>
        <row r="336">
          <cell r="C336" t="str">
            <v>PB17920BLD9TW</v>
          </cell>
          <cell r="D336" t="str">
            <v>PCB</v>
          </cell>
          <cell r="E336" t="str">
            <v>BXH, BHS, BKH</v>
          </cell>
          <cell r="H336" t="str">
            <v>48,54</v>
          </cell>
          <cell r="I336" t="str">
            <v>U,A</v>
          </cell>
          <cell r="N336">
            <v>9</v>
          </cell>
          <cell r="O336" t="str">
            <v>TW</v>
          </cell>
          <cell r="Q336" t="str">
            <v>pc</v>
          </cell>
          <cell r="T336">
            <v>4</v>
          </cell>
          <cell r="U336">
            <v>8.9870000000000001</v>
          </cell>
          <cell r="V336" t="str">
            <v>LED Board, High Power, 15V, CRI90, TW, 300mm, Aluminium, 20 LED from Nichia, 1717 Form Factor, Binning: x, Bold Lighting LLC, E17920</v>
          </cell>
          <cell r="Y336">
            <v>8.17</v>
          </cell>
          <cell r="Z336">
            <v>1.3</v>
          </cell>
          <cell r="AA336">
            <v>1.41</v>
          </cell>
        </row>
        <row r="337">
          <cell r="C337" t="str">
            <v>PB17920BLD9TW</v>
          </cell>
          <cell r="D337" t="str">
            <v>PCB</v>
          </cell>
          <cell r="E337" t="str">
            <v>BXH, BHS, BKH</v>
          </cell>
          <cell r="H337">
            <v>60</v>
          </cell>
          <cell r="I337" t="str">
            <v>U,A</v>
          </cell>
          <cell r="N337">
            <v>9</v>
          </cell>
          <cell r="O337" t="str">
            <v>TW</v>
          </cell>
          <cell r="Q337" t="str">
            <v>pc</v>
          </cell>
          <cell r="T337">
            <v>5</v>
          </cell>
          <cell r="U337">
            <v>8.9870000000000001</v>
          </cell>
          <cell r="V337" t="str">
            <v>LED Board, High Power, 15V, CRI90, TW, 300mm, Aluminium, 20 LED from Nichia, 1717 Form Factor, Binning: x, Bold Lighting LLC, E17920</v>
          </cell>
          <cell r="Y337">
            <v>8.17</v>
          </cell>
          <cell r="Z337">
            <v>1.3</v>
          </cell>
          <cell r="AA337">
            <v>1.41</v>
          </cell>
        </row>
        <row r="339">
          <cell r="C339" t="str">
            <v>PB17410BLD827</v>
          </cell>
          <cell r="D339" t="str">
            <v>PCB</v>
          </cell>
          <cell r="E339" t="str">
            <v>BIO, BOO, BJO, BXO, BHO, BKO</v>
          </cell>
          <cell r="I339" t="str">
            <v>L,M</v>
          </cell>
          <cell r="N339">
            <v>8</v>
          </cell>
          <cell r="O339">
            <v>27</v>
          </cell>
          <cell r="Q339" t="str">
            <v>pc</v>
          </cell>
          <cell r="S339">
            <v>0.33333333333333331</v>
          </cell>
          <cell r="U339">
            <v>0</v>
          </cell>
          <cell r="V339" t="str">
            <v>LED Board, Medium Power, 12V, CRI80, 2700K, 891mm, Aluminium, 84 LED from Cree, 2835 Form Factor, Binning: x, Bold Lighting LLC, E17410</v>
          </cell>
          <cell r="Y339">
            <v>0</v>
          </cell>
          <cell r="Z339">
            <v>1.3</v>
          </cell>
          <cell r="AA339">
            <v>1.41</v>
          </cell>
        </row>
        <row r="340">
          <cell r="C340" t="str">
            <v>PB17410BLD830</v>
          </cell>
          <cell r="D340" t="str">
            <v>PCB</v>
          </cell>
          <cell r="E340" t="str">
            <v>BIO, BOO, BJO, BXO, BHO, BKO</v>
          </cell>
          <cell r="I340" t="str">
            <v>L,M</v>
          </cell>
          <cell r="N340">
            <v>8</v>
          </cell>
          <cell r="O340">
            <v>30</v>
          </cell>
          <cell r="Q340" t="str">
            <v>pc</v>
          </cell>
          <cell r="S340">
            <v>0.33333333333333331</v>
          </cell>
          <cell r="U340">
            <v>0</v>
          </cell>
          <cell r="V340" t="str">
            <v>LED Board, Medium Power, 12V, CRI80, 3000K, 891mm, Aluminium, 84 LED from Cree, 2835 Form Factor, Binning: x, Bold Lighting LLC, E17410</v>
          </cell>
          <cell r="Y340">
            <v>0</v>
          </cell>
          <cell r="Z340">
            <v>1.3</v>
          </cell>
          <cell r="AA340">
            <v>1.41</v>
          </cell>
        </row>
        <row r="341">
          <cell r="C341" t="str">
            <v>PB17410BLD835</v>
          </cell>
          <cell r="D341" t="str">
            <v>PCB</v>
          </cell>
          <cell r="E341" t="str">
            <v>BIO, BOO, BJO, BXO, BHO, BKO</v>
          </cell>
          <cell r="I341" t="str">
            <v>L,M</v>
          </cell>
          <cell r="N341">
            <v>8</v>
          </cell>
          <cell r="O341">
            <v>35</v>
          </cell>
          <cell r="Q341" t="str">
            <v>pc</v>
          </cell>
          <cell r="S341">
            <v>0.33333333333333331</v>
          </cell>
          <cell r="U341">
            <v>0</v>
          </cell>
          <cell r="V341" t="str">
            <v>LED Board, Medium Power, 12V, CRI80, 3500K, 891mm, Aluminium, 84 LED from Cree, 2835 Form Factor, Binning: x, Bold Lighting LLC, E17410</v>
          </cell>
          <cell r="Y341">
            <v>0</v>
          </cell>
          <cell r="Z341">
            <v>1.3</v>
          </cell>
          <cell r="AA341">
            <v>1.41</v>
          </cell>
        </row>
        <row r="342">
          <cell r="C342" t="str">
            <v>PB17410BLD840</v>
          </cell>
          <cell r="D342" t="str">
            <v>PCB</v>
          </cell>
          <cell r="E342" t="str">
            <v>BIO, BOO, BJO, BXO, BHO, BKO</v>
          </cell>
          <cell r="I342" t="str">
            <v>L,M</v>
          </cell>
          <cell r="N342">
            <v>8</v>
          </cell>
          <cell r="O342">
            <v>40</v>
          </cell>
          <cell r="Q342" t="str">
            <v>pc</v>
          </cell>
          <cell r="S342">
            <v>0.33333333333333331</v>
          </cell>
          <cell r="U342">
            <v>0</v>
          </cell>
          <cell r="V342" t="str">
            <v>LED Board, Medium Power, 12V, CRI80, 4000K, 891mm, Aluminium, 84 LED from Cree, 2835 Form Factor, Binning: x, Bold Lighting LLC, E17410</v>
          </cell>
          <cell r="Y342">
            <v>0</v>
          </cell>
          <cell r="Z342">
            <v>1.3</v>
          </cell>
          <cell r="AA342">
            <v>1.41</v>
          </cell>
        </row>
        <row r="343">
          <cell r="C343" t="str">
            <v>PB17410BLD927</v>
          </cell>
          <cell r="D343" t="str">
            <v>PCB</v>
          </cell>
          <cell r="E343" t="str">
            <v>BIO, BOO, BJO, BXO, BHO, BKO</v>
          </cell>
          <cell r="I343" t="str">
            <v>L,M</v>
          </cell>
          <cell r="N343">
            <v>9</v>
          </cell>
          <cell r="O343">
            <v>27</v>
          </cell>
          <cell r="Q343" t="str">
            <v>pc</v>
          </cell>
          <cell r="S343">
            <v>0.33333333333333331</v>
          </cell>
          <cell r="U343">
            <v>3.5200000000000005</v>
          </cell>
          <cell r="V343" t="str">
            <v>LED Board, Medium Power, 12V, CRI90, 2700K, 891mm, Aluminium, 84 LED from Cree, 2835 Form Factor, Binning: x, Bold Lighting LLC, E17410</v>
          </cell>
          <cell r="Y343">
            <v>3.2</v>
          </cell>
          <cell r="Z343">
            <v>1.3</v>
          </cell>
          <cell r="AA343">
            <v>1.41</v>
          </cell>
        </row>
        <row r="344">
          <cell r="C344" t="str">
            <v>PB17410BLD930</v>
          </cell>
          <cell r="D344" t="str">
            <v>PCB</v>
          </cell>
          <cell r="E344" t="str">
            <v>BIO, BOO, BJO, BXO, BHO, BKO</v>
          </cell>
          <cell r="I344" t="str">
            <v>L,M</v>
          </cell>
          <cell r="N344">
            <v>9</v>
          </cell>
          <cell r="O344">
            <v>30</v>
          </cell>
          <cell r="Q344" t="str">
            <v>pc</v>
          </cell>
          <cell r="S344">
            <v>0.33333333333333331</v>
          </cell>
          <cell r="U344">
            <v>3.5200000000000005</v>
          </cell>
          <cell r="V344" t="str">
            <v>LED Board, Medium Power, 12V, CRI90, 3000K, 891mm, Aluminium, 84 LED from Cree, 2835 Form Factor, Binning: x, Bold Lighting LLC, E17410</v>
          </cell>
          <cell r="Y344">
            <v>3.2</v>
          </cell>
          <cell r="Z344">
            <v>1.3</v>
          </cell>
          <cell r="AA344">
            <v>1.41</v>
          </cell>
        </row>
        <row r="345">
          <cell r="C345" t="str">
            <v>PB17410BLD935</v>
          </cell>
          <cell r="D345" t="str">
            <v>PCB</v>
          </cell>
          <cell r="E345" t="str">
            <v>BIO, BOO, BJO, BXO, BHO, BKO</v>
          </cell>
          <cell r="I345" t="str">
            <v>L,M</v>
          </cell>
          <cell r="N345">
            <v>9</v>
          </cell>
          <cell r="O345">
            <v>35</v>
          </cell>
          <cell r="Q345" t="str">
            <v>pc</v>
          </cell>
          <cell r="S345">
            <v>0.33333333333333331</v>
          </cell>
          <cell r="U345">
            <v>3.5200000000000005</v>
          </cell>
          <cell r="V345" t="str">
            <v>LED Board, Medium Power, 12V, CRI90, 3500K, 891mm, Aluminium, 84 LED from Cree, 2835 Form Factor, Binning: x, Bold Lighting LLC, E17410</v>
          </cell>
          <cell r="Y345">
            <v>3.2</v>
          </cell>
          <cell r="Z345">
            <v>1.3</v>
          </cell>
          <cell r="AA345">
            <v>1.41</v>
          </cell>
        </row>
        <row r="346">
          <cell r="C346" t="str">
            <v>PB17410BLD940</v>
          </cell>
          <cell r="D346" t="str">
            <v>PCB</v>
          </cell>
          <cell r="E346" t="str">
            <v>BIO, BOO, BJO, BXO, BHO, BKO</v>
          </cell>
          <cell r="I346" t="str">
            <v>L,M</v>
          </cell>
          <cell r="N346">
            <v>9</v>
          </cell>
          <cell r="O346">
            <v>40</v>
          </cell>
          <cell r="Q346" t="str">
            <v>pc</v>
          </cell>
          <cell r="S346">
            <v>0.33333333333333331</v>
          </cell>
          <cell r="U346">
            <v>3.5200000000000005</v>
          </cell>
          <cell r="V346" t="str">
            <v>LED Board, Medium Power, 12V, CRI90, 4000K, 891mm, Aluminium, 84 LED from Cree, 2835 Form Factor, Binning: x, Bold Lighting LLC, E17410</v>
          </cell>
          <cell r="Y346">
            <v>3.2</v>
          </cell>
          <cell r="Z346">
            <v>1.3</v>
          </cell>
          <cell r="AA346">
            <v>1.41</v>
          </cell>
        </row>
        <row r="347">
          <cell r="C347" t="str">
            <v>PB17410BLD830</v>
          </cell>
          <cell r="D347" t="str">
            <v>PCB</v>
          </cell>
          <cell r="E347" t="str">
            <v>BIO, BOO, BJO, BXO, BHO, BKO</v>
          </cell>
          <cell r="I347" t="str">
            <v>H, V</v>
          </cell>
          <cell r="N347">
            <v>8</v>
          </cell>
          <cell r="O347">
            <v>30</v>
          </cell>
          <cell r="Q347" t="str">
            <v>pc</v>
          </cell>
          <cell r="S347">
            <v>0.66666666666666663</v>
          </cell>
          <cell r="U347">
            <v>0</v>
          </cell>
          <cell r="V347" t="str">
            <v>LED Board, Medium Power, 12V, CRI80, 3000K, 891mm, Aluminium, 84 LED from Cree, 2835 Form Factor, Binning: x, Bold Lighting LLC, E17410</v>
          </cell>
          <cell r="Y347">
            <v>0</v>
          </cell>
          <cell r="Z347">
            <v>1.3</v>
          </cell>
          <cell r="AA347">
            <v>1.41</v>
          </cell>
        </row>
        <row r="348">
          <cell r="C348" t="str">
            <v>PB17410BLD835</v>
          </cell>
          <cell r="D348" t="str">
            <v>PCB</v>
          </cell>
          <cell r="E348" t="str">
            <v>BIO, BOO, BJO, BXO, BHO, BKO</v>
          </cell>
          <cell r="I348" t="str">
            <v>H, V</v>
          </cell>
          <cell r="N348">
            <v>8</v>
          </cell>
          <cell r="O348">
            <v>35</v>
          </cell>
          <cell r="Q348" t="str">
            <v>pc</v>
          </cell>
          <cell r="S348">
            <v>0.66666666666666663</v>
          </cell>
          <cell r="U348">
            <v>0</v>
          </cell>
          <cell r="V348" t="str">
            <v>LED Board, Medium Power, 12V, CRI80, 3500K, 891mm, Aluminium, 84 LED from Cree, 2835 Form Factor, Binning: x, Bold Lighting LLC, E17410</v>
          </cell>
          <cell r="Y348">
            <v>0</v>
          </cell>
          <cell r="Z348">
            <v>1.3</v>
          </cell>
          <cell r="AA348">
            <v>1.41</v>
          </cell>
        </row>
        <row r="349">
          <cell r="C349" t="str">
            <v>PB17410BLD840</v>
          </cell>
          <cell r="D349" t="str">
            <v>PCB</v>
          </cell>
          <cell r="E349" t="str">
            <v>BIO, BOO, BJO, BXO, BHO, BKO</v>
          </cell>
          <cell r="I349" t="str">
            <v>H, V</v>
          </cell>
          <cell r="N349">
            <v>8</v>
          </cell>
          <cell r="O349">
            <v>40</v>
          </cell>
          <cell r="Q349" t="str">
            <v>pc</v>
          </cell>
          <cell r="S349">
            <v>0.66666666666666663</v>
          </cell>
          <cell r="U349">
            <v>0</v>
          </cell>
          <cell r="V349" t="str">
            <v>LED Board, Medium Power, 12V, CRI80, 4000K, 891mm, Aluminium, 84 LED from Cree, 2835 Form Factor, Binning: x, Bold Lighting LLC, E17410</v>
          </cell>
          <cell r="Y349">
            <v>0</v>
          </cell>
          <cell r="Z349">
            <v>1.3</v>
          </cell>
          <cell r="AA349">
            <v>1.41</v>
          </cell>
        </row>
        <row r="350">
          <cell r="C350" t="str">
            <v>PB17410BLD927</v>
          </cell>
          <cell r="D350" t="str">
            <v>PCB</v>
          </cell>
          <cell r="E350" t="str">
            <v>BIO, BOO, BJO, BXO, BHO, BKO</v>
          </cell>
          <cell r="I350" t="str">
            <v>H, V</v>
          </cell>
          <cell r="N350">
            <v>9</v>
          </cell>
          <cell r="O350">
            <v>27</v>
          </cell>
          <cell r="Q350" t="str">
            <v>pc</v>
          </cell>
          <cell r="S350">
            <v>0.66666666666666663</v>
          </cell>
          <cell r="U350">
            <v>3.5200000000000005</v>
          </cell>
          <cell r="V350" t="str">
            <v>LED Board, Medium Power, 12V, CRI90, 2700K, 891mm, Aluminium, 84 LED from Cree, 2835 Form Factor, Binning: x, Bold Lighting LLC, E17410</v>
          </cell>
          <cell r="Y350">
            <v>3.2</v>
          </cell>
          <cell r="Z350">
            <v>1.3</v>
          </cell>
          <cell r="AA350">
            <v>1.41</v>
          </cell>
        </row>
        <row r="351">
          <cell r="C351" t="str">
            <v>PB17410BLD930</v>
          </cell>
          <cell r="D351" t="str">
            <v>PCB</v>
          </cell>
          <cell r="E351" t="str">
            <v>BIO, BOO, BJO, BXO, BHO, BKO</v>
          </cell>
          <cell r="I351" t="str">
            <v>H, V</v>
          </cell>
          <cell r="N351">
            <v>9</v>
          </cell>
          <cell r="O351">
            <v>30</v>
          </cell>
          <cell r="Q351" t="str">
            <v>pc</v>
          </cell>
          <cell r="S351">
            <v>0.66666666666666663</v>
          </cell>
          <cell r="U351">
            <v>3.5200000000000005</v>
          </cell>
          <cell r="V351" t="str">
            <v>LED Board, Medium Power, 12V, CRI90, 3000K, 891mm, Aluminium, 84 LED from Cree, 2835 Form Factor, Binning: x, Bold Lighting LLC, E17410</v>
          </cell>
          <cell r="Y351">
            <v>3.2</v>
          </cell>
          <cell r="Z351">
            <v>1.3</v>
          </cell>
          <cell r="AA351">
            <v>1.41</v>
          </cell>
        </row>
        <row r="352">
          <cell r="C352" t="str">
            <v>PB17410BLD935</v>
          </cell>
          <cell r="D352" t="str">
            <v>PCB</v>
          </cell>
          <cell r="E352" t="str">
            <v>BIO, BOO, BJO, BXO, BHO, BKO</v>
          </cell>
          <cell r="I352" t="str">
            <v>H, V</v>
          </cell>
          <cell r="N352">
            <v>9</v>
          </cell>
          <cell r="O352">
            <v>35</v>
          </cell>
          <cell r="Q352" t="str">
            <v>pc</v>
          </cell>
          <cell r="S352">
            <v>0.66666666666666663</v>
          </cell>
          <cell r="U352">
            <v>3.5200000000000005</v>
          </cell>
          <cell r="V352" t="str">
            <v>LED Board, Medium Power, 12V, CRI90, 3500K, 891mm, Aluminium, 84 LED from Cree, 2835 Form Factor, Binning: x, Bold Lighting LLC, E17410</v>
          </cell>
          <cell r="Y352">
            <v>3.2</v>
          </cell>
          <cell r="Z352">
            <v>1.3</v>
          </cell>
          <cell r="AA352">
            <v>1.41</v>
          </cell>
        </row>
        <row r="353">
          <cell r="C353" t="str">
            <v>PB17410BLD940</v>
          </cell>
          <cell r="D353" t="str">
            <v>PCB</v>
          </cell>
          <cell r="E353" t="str">
            <v>BIO, BOO, BJO, BXO, BHO, BKO</v>
          </cell>
          <cell r="I353" t="str">
            <v>H, V</v>
          </cell>
          <cell r="N353">
            <v>9</v>
          </cell>
          <cell r="O353">
            <v>40</v>
          </cell>
          <cell r="Q353" t="str">
            <v>pc</v>
          </cell>
          <cell r="S353">
            <v>0.66666666666666663</v>
          </cell>
          <cell r="U353">
            <v>3.5200000000000005</v>
          </cell>
          <cell r="V353" t="str">
            <v>LED Board, Medium Power, 12V, CRI90, 4000K, 891mm, Aluminium, 84 LED from Cree, 2835 Form Factor, Binning: x, Bold Lighting LLC, E17410</v>
          </cell>
          <cell r="Y353">
            <v>3.2</v>
          </cell>
          <cell r="Z353">
            <v>1.3</v>
          </cell>
          <cell r="AA353">
            <v>1.41</v>
          </cell>
        </row>
        <row r="354">
          <cell r="C354" t="str">
            <v>PBdummyBLD9TW</v>
          </cell>
          <cell r="D354" t="str">
            <v>PCB</v>
          </cell>
          <cell r="E354" t="str">
            <v>BIO, BOO, BJO, BXO, BHO, BKO</v>
          </cell>
          <cell r="I354" t="str">
            <v>U</v>
          </cell>
          <cell r="N354">
            <v>9</v>
          </cell>
          <cell r="O354" t="str">
            <v>TW</v>
          </cell>
          <cell r="Q354" t="str">
            <v>pc</v>
          </cell>
          <cell r="S354">
            <v>0.33333333333333331</v>
          </cell>
          <cell r="U354">
            <v>5.7200000000000006</v>
          </cell>
          <cell r="V354" t="str">
            <v>LED Board, Medium Power, 12V, CRI90, 2700K-5000K, 891mm, Aluminium, 84 LED from Cree, 2835 Form Factor, Binning: x, Bold Lighting LLC</v>
          </cell>
          <cell r="Y354">
            <v>5.2</v>
          </cell>
          <cell r="Z354">
            <v>1.3</v>
          </cell>
          <cell r="AA354">
            <v>1.41</v>
          </cell>
        </row>
        <row r="355">
          <cell r="C355" t="str">
            <v>PBdummyBLD9TW</v>
          </cell>
          <cell r="D355" t="str">
            <v>PCB</v>
          </cell>
          <cell r="E355" t="str">
            <v>BIO, BOO, BJO, BXO, BHO, BKO</v>
          </cell>
          <cell r="I355" t="str">
            <v>A</v>
          </cell>
          <cell r="N355">
            <v>9</v>
          </cell>
          <cell r="O355" t="str">
            <v>TW</v>
          </cell>
          <cell r="Q355" t="str">
            <v>pc</v>
          </cell>
          <cell r="S355">
            <v>0.66666666666666663</v>
          </cell>
          <cell r="U355">
            <v>5.7200000000000006</v>
          </cell>
          <cell r="V355" t="str">
            <v>LED Board, Medium Power, 12V, CRI90, 2700K-5000K, 891mm, Aluminium, 84 LED from Cree, 2835 Form Factor, Binning: x, Bold Lighting LLC</v>
          </cell>
          <cell r="Y355">
            <v>5.2</v>
          </cell>
          <cell r="Z355">
            <v>1.3</v>
          </cell>
          <cell r="AA355">
            <v>1.41</v>
          </cell>
        </row>
        <row r="357">
          <cell r="C357" t="str">
            <v>DR002BRI</v>
          </cell>
          <cell r="D357" t="str">
            <v>Drivers</v>
          </cell>
          <cell r="E357" t="str">
            <v>BKH,BHS,BXH</v>
          </cell>
          <cell r="H357" t="str">
            <v>12,18,24,30,36</v>
          </cell>
          <cell r="I357" t="str">
            <v>U</v>
          </cell>
          <cell r="K357" t="str">
            <v>B,I</v>
          </cell>
          <cell r="O357" t="str">
            <v>TW</v>
          </cell>
          <cell r="Q357" t="str">
            <v>pc</v>
          </cell>
          <cell r="T357">
            <v>1</v>
          </cell>
          <cell r="U357">
            <v>18.238</v>
          </cell>
          <cell r="V357" t="str">
            <v>BRIDGELUX , BXDR-46LT-C214A-01-A, Driver, 46W, 0-10V to 1% Dimming, Tunable White, Linear Form, Constant Current, 140-1400mA, 2 Channel, 120-347V Input Voltage</v>
          </cell>
          <cell r="Y357">
            <v>16.579999999999998</v>
          </cell>
          <cell r="Z357">
            <v>1.52</v>
          </cell>
          <cell r="AA357">
            <v>1.59</v>
          </cell>
        </row>
        <row r="358">
          <cell r="C358" t="str">
            <v>DR002BRI</v>
          </cell>
          <cell r="D358" t="str">
            <v>Drivers</v>
          </cell>
          <cell r="E358" t="str">
            <v>BKH,BHS,BXH</v>
          </cell>
          <cell r="H358" t="str">
            <v>48,42,54,60</v>
          </cell>
          <cell r="I358" t="str">
            <v>U</v>
          </cell>
          <cell r="K358" t="str">
            <v>B,I</v>
          </cell>
          <cell r="O358" t="str">
            <v>TW</v>
          </cell>
          <cell r="Q358" t="str">
            <v>pc</v>
          </cell>
          <cell r="T358">
            <v>2</v>
          </cell>
          <cell r="U358">
            <v>18.238</v>
          </cell>
          <cell r="V358" t="str">
            <v>BRIDGELUX , BXDR-46LT-C214A-01-A, Driver, 46W, 0-10V to 1% Dimming, Tunable White, Linear Form, Constant Current, 140-1400mA, 2 Channel, 120-347V Input Voltage</v>
          </cell>
          <cell r="Y358">
            <v>16.579999999999998</v>
          </cell>
          <cell r="Z358">
            <v>1.52</v>
          </cell>
          <cell r="AA358">
            <v>1.5899999999999999</v>
          </cell>
        </row>
        <row r="359">
          <cell r="C359" t="str">
            <v>DR002BRI</v>
          </cell>
          <cell r="D359" t="str">
            <v>Drivers</v>
          </cell>
          <cell r="E359" t="str">
            <v>BIS,BIW,BOS,BOW,BJS,BJW</v>
          </cell>
          <cell r="H359" t="str">
            <v>12,18,24,30,36,42</v>
          </cell>
          <cell r="I359" t="str">
            <v>U</v>
          </cell>
          <cell r="K359" t="str">
            <v>B,I</v>
          </cell>
          <cell r="O359" t="str">
            <v>TW</v>
          </cell>
          <cell r="Q359" t="str">
            <v>pc</v>
          </cell>
          <cell r="T359">
            <v>1</v>
          </cell>
          <cell r="U359">
            <v>18.238</v>
          </cell>
          <cell r="V359" t="str">
            <v>BRIDGELUX , BXDR-46LT-C214A-01-A, Driver, 46W, 0-10V to 1% Dimming, Tunable White, Linear Form, Constant Current, 140-1400mA, 2 Channel, 120-347V Input Voltage</v>
          </cell>
          <cell r="Y359">
            <v>16.579999999999998</v>
          </cell>
          <cell r="Z359">
            <v>1.52</v>
          </cell>
          <cell r="AA359">
            <v>1.5899999999999999</v>
          </cell>
        </row>
        <row r="360">
          <cell r="C360" t="str">
            <v>DR002BRI</v>
          </cell>
          <cell r="D360" t="str">
            <v>Drivers</v>
          </cell>
          <cell r="E360" t="str">
            <v>BIS,BIW,BOS,BOW,BJS,BJW</v>
          </cell>
          <cell r="H360" t="str">
            <v>48,54,60</v>
          </cell>
          <cell r="I360" t="str">
            <v>U</v>
          </cell>
          <cell r="K360" t="str">
            <v>B,I</v>
          </cell>
          <cell r="O360" t="str">
            <v>TW</v>
          </cell>
          <cell r="Q360" t="str">
            <v>pc</v>
          </cell>
          <cell r="T360">
            <v>2</v>
          </cell>
          <cell r="U360">
            <v>18.238</v>
          </cell>
          <cell r="V360" t="str">
            <v>BRIDGELUX , BXDR-46LT-C214A-01-A, Driver, 46W, 0-10V to 1% Dimming, Tunable White, Linear Form, Constant Current, 140-1400mA, 2 Channel, 120-347V Input Voltage</v>
          </cell>
          <cell r="Y360">
            <v>16.579999999999998</v>
          </cell>
          <cell r="Z360">
            <v>1.52</v>
          </cell>
          <cell r="AA360">
            <v>1.5899999999999999</v>
          </cell>
        </row>
        <row r="361">
          <cell r="C361" t="str">
            <v>DR002BRI</v>
          </cell>
          <cell r="D361" t="str">
            <v>Drivers</v>
          </cell>
          <cell r="E361" t="str">
            <v>BIS,BIW,BOS,BOW,BJS,BJW,BKH,BHS,BXH</v>
          </cell>
          <cell r="H361" t="str">
            <v>12,18,24</v>
          </cell>
          <cell r="I361" t="str">
            <v>A</v>
          </cell>
          <cell r="K361" t="str">
            <v>B,I</v>
          </cell>
          <cell r="O361" t="str">
            <v>TW</v>
          </cell>
          <cell r="Q361" t="str">
            <v>pc</v>
          </cell>
          <cell r="T361">
            <v>1</v>
          </cell>
          <cell r="U361">
            <v>18.238</v>
          </cell>
          <cell r="V361" t="str">
            <v>BRIDGELUX , BXDR-46LT-C214A-01-A, Driver, 46W, 0-10V to 1% Dimming, Tunable White, Linear Form, Constant Current, 140-1400mA, 2 Channel, 120-347V Input Voltage</v>
          </cell>
          <cell r="Y361">
            <v>16.579999999999998</v>
          </cell>
          <cell r="Z361">
            <v>1.52</v>
          </cell>
          <cell r="AA361">
            <v>1.5899999999999999</v>
          </cell>
        </row>
        <row r="362">
          <cell r="C362" t="str">
            <v>DR002BRI</v>
          </cell>
          <cell r="D362" t="str">
            <v>Drivers</v>
          </cell>
          <cell r="E362" t="str">
            <v>BIS,BIW,BOS,BOW,BJS,BJW,BKH,BHS,BXH</v>
          </cell>
          <cell r="H362" t="str">
            <v>30,36,42,48</v>
          </cell>
          <cell r="I362" t="str">
            <v>A</v>
          </cell>
          <cell r="K362" t="str">
            <v>B,I</v>
          </cell>
          <cell r="O362" t="str">
            <v>TW</v>
          </cell>
          <cell r="Q362" t="str">
            <v>pc</v>
          </cell>
          <cell r="T362">
            <v>2</v>
          </cell>
          <cell r="U362">
            <v>18.238</v>
          </cell>
          <cell r="V362" t="str">
            <v>BRIDGELUX , BXDR-46LT-C214A-01-A, Driver, 46W, 0-10V to 1% Dimming, Tunable White, Linear Form, Constant Current, 140-1400mA, 2 Channel, 120-347V Input Voltage</v>
          </cell>
          <cell r="Y362">
            <v>16.579999999999998</v>
          </cell>
          <cell r="Z362">
            <v>1.52</v>
          </cell>
          <cell r="AA362">
            <v>1.5899999999999999</v>
          </cell>
        </row>
        <row r="363">
          <cell r="C363" t="str">
            <v>DR002BRI</v>
          </cell>
          <cell r="D363" t="str">
            <v>Drivers</v>
          </cell>
          <cell r="E363" t="str">
            <v>BIS,BIW,BOS,BOW,BJS,BJW,BKH,BHS,BXH</v>
          </cell>
          <cell r="H363" t="str">
            <v>54,60</v>
          </cell>
          <cell r="I363" t="str">
            <v>A</v>
          </cell>
          <cell r="K363" t="str">
            <v>B,I</v>
          </cell>
          <cell r="O363" t="str">
            <v>TW</v>
          </cell>
          <cell r="Q363" t="str">
            <v>pc</v>
          </cell>
          <cell r="T363">
            <v>3</v>
          </cell>
          <cell r="U363">
            <v>18.238</v>
          </cell>
          <cell r="V363" t="str">
            <v>BRIDGELUX , BXDR-46LT-C214A-01-A, Driver, 46W, 0-10V to 1% Dimming, Tunable White, Linear Form, Constant Current, 140-1400mA, 2 Channel, 120-347V Input Voltage</v>
          </cell>
          <cell r="Y363">
            <v>16.579999999999998</v>
          </cell>
          <cell r="Z363">
            <v>1.52</v>
          </cell>
          <cell r="AA363">
            <v>1.5899999999999999</v>
          </cell>
        </row>
        <row r="364">
          <cell r="C364" t="str">
            <v>DR003ACE</v>
          </cell>
          <cell r="D364" t="str">
            <v>Drivers</v>
          </cell>
          <cell r="E364" t="str">
            <v>BIS,BIW,BOS,BOW,BJS,BJW,BXO,BIO,BHO,BOO,BKO,BJO,BIK,BOK,BOP</v>
          </cell>
          <cell r="G364" t="str">
            <v>-</v>
          </cell>
          <cell r="H364" t="str">
            <v>12,18</v>
          </cell>
          <cell r="I364" t="str">
            <v>L</v>
          </cell>
          <cell r="K364" t="str">
            <v>A,B,I,H</v>
          </cell>
          <cell r="O364" t="str">
            <v>27,30,35,40</v>
          </cell>
          <cell r="Q364" t="str">
            <v>PC</v>
          </cell>
          <cell r="T364">
            <v>1</v>
          </cell>
          <cell r="U364">
            <v>18.700000000000003</v>
          </cell>
          <cell r="V364" t="str">
            <v>ACE LEDS , AC30CD700APT7L, Driver, 30W, 0-10V to 1% Dimming, Monochromatic, Linear Form, Constant Current, 125-700mA, 1 Channel, 120-277V Input Voltage</v>
          </cell>
          <cell r="Y364">
            <v>17</v>
          </cell>
          <cell r="Z364">
            <v>1.52</v>
          </cell>
          <cell r="AA364">
            <v>1.5899999999999999</v>
          </cell>
        </row>
        <row r="365">
          <cell r="C365" t="str">
            <v>DR003ACE</v>
          </cell>
          <cell r="D365" t="str">
            <v>Drivers</v>
          </cell>
          <cell r="E365" t="str">
            <v>BIS,BIW,BOS,BOW,BJS,BJW</v>
          </cell>
          <cell r="G365" t="str">
            <v>-</v>
          </cell>
          <cell r="H365" t="str">
            <v>12,18</v>
          </cell>
          <cell r="I365" t="str">
            <v>D</v>
          </cell>
          <cell r="K365" t="str">
            <v>A,B,I,H</v>
          </cell>
          <cell r="O365" t="str">
            <v>WD</v>
          </cell>
          <cell r="Q365" t="str">
            <v>PC</v>
          </cell>
          <cell r="T365">
            <v>1</v>
          </cell>
          <cell r="U365">
            <v>18.700000000000003</v>
          </cell>
          <cell r="V365" t="str">
            <v>ACE LEDS , AC30CD700APT7L, Driver, 30W, 0-10V to 1% Dimming, Monochromatic, Linear Form, Constant Current, 125-700mA, 1 Channel, 120-277V Input Voltage</v>
          </cell>
          <cell r="Y365">
            <v>17</v>
          </cell>
          <cell r="Z365">
            <v>1.52</v>
          </cell>
          <cell r="AA365">
            <v>1.5899999999999999</v>
          </cell>
        </row>
        <row r="366">
          <cell r="C366" t="str">
            <v>DR026TRI</v>
          </cell>
          <cell r="D366" t="str">
            <v>Drivers</v>
          </cell>
          <cell r="E366" t="str">
            <v>BXO, BXH, BIO, BIS, BIW, BKO, BKH, BJO, BJS, BJW</v>
          </cell>
          <cell r="H366">
            <v>12</v>
          </cell>
          <cell r="I366" t="str">
            <v>L,H,V</v>
          </cell>
          <cell r="K366" t="str">
            <v>A,B,I,H</v>
          </cell>
          <cell r="O366" t="str">
            <v>27,30,35,40</v>
          </cell>
          <cell r="Q366" t="str">
            <v>PC</v>
          </cell>
          <cell r="T366">
            <v>1</v>
          </cell>
          <cell r="U366">
            <v>12.111000000000001</v>
          </cell>
          <cell r="V366" t="str">
            <v>Tridonic Inc., LC 35 W 150–1050mA/28004443, Driver, 35W, 0-10V to 1% Dimming, Monochromatic, Linear Form, Constant Current, 150-1050mA, 1 Channel, 100-240V Input Voltage</v>
          </cell>
          <cell r="Y366">
            <v>11.01</v>
          </cell>
          <cell r="Z366">
            <v>1</v>
          </cell>
          <cell r="AA366">
            <v>1.5899999999999999</v>
          </cell>
        </row>
        <row r="367">
          <cell r="C367" t="str">
            <v>DR026TRI</v>
          </cell>
          <cell r="D367" t="str">
            <v>Drivers</v>
          </cell>
          <cell r="E367" t="str">
            <v>BIS,BIW,BOS,BOW,BJS,BJW,BXO,BIO,BHO,BOO,BKO,BJO,BIK,BOK</v>
          </cell>
          <cell r="H367" t="str">
            <v>24,30,36,42,48,54</v>
          </cell>
          <cell r="I367" t="str">
            <v>L</v>
          </cell>
          <cell r="K367" t="str">
            <v>A,B,I,H</v>
          </cell>
          <cell r="O367" t="str">
            <v>27,30,35,40</v>
          </cell>
          <cell r="Q367" t="str">
            <v>pc</v>
          </cell>
          <cell r="T367">
            <v>1</v>
          </cell>
          <cell r="U367">
            <v>12.111000000000001</v>
          </cell>
          <cell r="V367" t="str">
            <v>Tridonic Inc., LC 35 W 150–1050mA/28004443, Driver, 35W, 0-10V to 1% Dimming, Monochromatic, Linear Form, Constant Current, 150-1050mA, 1 Channel, 100-240V Input Voltage</v>
          </cell>
          <cell r="Y367">
            <v>11.01</v>
          </cell>
          <cell r="Z367">
            <v>1</v>
          </cell>
          <cell r="AA367">
            <v>1.5899999999999999</v>
          </cell>
        </row>
        <row r="368">
          <cell r="C368" t="str">
            <v>DR026TRI</v>
          </cell>
          <cell r="D368" t="str">
            <v>Drivers</v>
          </cell>
          <cell r="E368" t="str">
            <v>BIS,BIW,BOS,BOW,BJS,BJW,BXO,BIO,BHO,BOO,BKO,BJO,BIK,BOK</v>
          </cell>
          <cell r="H368">
            <v>60</v>
          </cell>
          <cell r="I368" t="str">
            <v>L</v>
          </cell>
          <cell r="K368" t="str">
            <v>A,B,I,H</v>
          </cell>
          <cell r="O368" t="str">
            <v>27,30,35,40</v>
          </cell>
          <cell r="Q368" t="str">
            <v>pc</v>
          </cell>
          <cell r="T368">
            <v>1</v>
          </cell>
          <cell r="U368">
            <v>12.111000000000001</v>
          </cell>
          <cell r="V368" t="str">
            <v>Tridonic Inc., LC 35 W 150–1050mA/28004443, Driver, 35W, 0-10V to 1% Dimming, Monochromatic, Linear Form, Constant Current, 150-1050mA, 1 Channel, 100-240V Input Voltage</v>
          </cell>
          <cell r="Y368">
            <v>11.01</v>
          </cell>
          <cell r="Z368">
            <v>1</v>
          </cell>
          <cell r="AA368">
            <v>1.5899999999999999</v>
          </cell>
        </row>
        <row r="369">
          <cell r="C369" t="str">
            <v>DR026TRI</v>
          </cell>
          <cell r="D369" t="str">
            <v>Drivers</v>
          </cell>
          <cell r="E369" t="str">
            <v>BXO, BXH,BIO,BIS,BIW,BKO,BKH,BJO,BJS,BJW</v>
          </cell>
          <cell r="H369">
            <v>12</v>
          </cell>
          <cell r="I369" t="str">
            <v>M</v>
          </cell>
          <cell r="K369" t="str">
            <v>A,B,I,H</v>
          </cell>
          <cell r="O369" t="str">
            <v>27,30,35,40</v>
          </cell>
          <cell r="Q369" t="str">
            <v>pc</v>
          </cell>
          <cell r="T369">
            <v>1</v>
          </cell>
          <cell r="U369">
            <v>12.111000000000001</v>
          </cell>
          <cell r="V369" t="str">
            <v>Tridonic Inc., LC 35 W 150–1050mA/28004443, Driver, 35W, 0-10V to 1% Dimming, Monochromatic, Linear Form, Constant Current, 150-1050mA, 1 Channel, 100-240V Input Voltage</v>
          </cell>
          <cell r="Y369">
            <v>11.01</v>
          </cell>
          <cell r="Z369">
            <v>1</v>
          </cell>
          <cell r="AA369">
            <v>1.5899999999999999</v>
          </cell>
        </row>
        <row r="370">
          <cell r="C370" t="str">
            <v>DR026TRI</v>
          </cell>
          <cell r="D370" t="str">
            <v>Drivers</v>
          </cell>
          <cell r="E370" t="str">
            <v>BIS,BIW,BOS,BOW,BJS,BJW,BXO,BIO,BHO,BOO,BKO,BJO,BIK,BOK</v>
          </cell>
          <cell r="H370" t="str">
            <v>24,30,36</v>
          </cell>
          <cell r="I370" t="str">
            <v>M</v>
          </cell>
          <cell r="K370" t="str">
            <v>A,B,I,H</v>
          </cell>
          <cell r="O370" t="str">
            <v>27,30,35,40</v>
          </cell>
          <cell r="Q370" t="str">
            <v>pc</v>
          </cell>
          <cell r="T370">
            <v>1</v>
          </cell>
          <cell r="U370">
            <v>12.111000000000001</v>
          </cell>
          <cell r="V370" t="str">
            <v>Tridonic Inc., LC 35 W 150–1050mA/28004443, Driver, 35W, 0-10V to 1% Dimming, Monochromatic, Linear Form, Constant Current, 150-1050mA, 1 Channel, 100-240V Input Voltage</v>
          </cell>
          <cell r="Y370">
            <v>11.01</v>
          </cell>
          <cell r="Z370">
            <v>1</v>
          </cell>
          <cell r="AA370">
            <v>1.5899999999999999</v>
          </cell>
        </row>
        <row r="371">
          <cell r="C371" t="str">
            <v>DR026TRI</v>
          </cell>
          <cell r="D371" t="str">
            <v>Drivers</v>
          </cell>
          <cell r="E371" t="str">
            <v>BKH,BHS,BXH</v>
          </cell>
          <cell r="H371" t="str">
            <v>24,36,48</v>
          </cell>
          <cell r="I371" t="str">
            <v>L</v>
          </cell>
          <cell r="K371" t="str">
            <v>A,B,I,H</v>
          </cell>
          <cell r="O371" t="str">
            <v>27,30,35,40</v>
          </cell>
          <cell r="Q371" t="str">
            <v>pc</v>
          </cell>
          <cell r="T371">
            <v>1</v>
          </cell>
          <cell r="U371">
            <v>12.111000000000001</v>
          </cell>
          <cell r="V371" t="str">
            <v>Tridonic Inc., LC 35 W 150–1050mA/28004443, Driver, 35W, 0-10V to 1% Dimming, Monochromatic, Linear Form, Constant Current, 150-1050mA, 1 Channel, 100-240V Input Voltage</v>
          </cell>
          <cell r="Y371">
            <v>11.01</v>
          </cell>
          <cell r="Z371">
            <v>1</v>
          </cell>
          <cell r="AA371">
            <v>1.5899999999999999</v>
          </cell>
        </row>
        <row r="372">
          <cell r="C372" t="str">
            <v>DR026TRI</v>
          </cell>
          <cell r="D372" t="str">
            <v>Drivers</v>
          </cell>
          <cell r="E372" t="str">
            <v>BKH,BHS,BXH</v>
          </cell>
          <cell r="H372" t="str">
            <v>24,36</v>
          </cell>
          <cell r="I372" t="str">
            <v>M</v>
          </cell>
          <cell r="K372" t="str">
            <v>A,B,I,H</v>
          </cell>
          <cell r="O372" t="str">
            <v>27,30,35,40</v>
          </cell>
          <cell r="Q372" t="str">
            <v>pc</v>
          </cell>
          <cell r="T372">
            <v>1</v>
          </cell>
          <cell r="U372">
            <v>12.111000000000001</v>
          </cell>
          <cell r="V372" t="str">
            <v>Tridonic Inc., LC 35 W 150–1050mA/28004443, Driver, 35W, 0-10V to 1% Dimming, Monochromatic, Linear Form, Constant Current, 150-1050mA, 1 Channel, 100-240V Input Voltage</v>
          </cell>
          <cell r="Y372">
            <v>11.01</v>
          </cell>
          <cell r="Z372">
            <v>1</v>
          </cell>
          <cell r="AA372">
            <v>1.5899999999999999</v>
          </cell>
        </row>
        <row r="373">
          <cell r="C373" t="str">
            <v>DR026TRI</v>
          </cell>
          <cell r="D373" t="str">
            <v>Drivers</v>
          </cell>
          <cell r="E373" t="str">
            <v>BKH,BHS,BXH</v>
          </cell>
          <cell r="H373">
            <v>60</v>
          </cell>
          <cell r="I373" t="str">
            <v>M</v>
          </cell>
          <cell r="K373" t="str">
            <v>A,B,I,H</v>
          </cell>
          <cell r="O373" t="str">
            <v>27,30,35,40</v>
          </cell>
          <cell r="Q373" t="str">
            <v>pc</v>
          </cell>
          <cell r="T373">
            <v>2</v>
          </cell>
          <cell r="U373">
            <v>12.111000000000001</v>
          </cell>
          <cell r="V373" t="str">
            <v>Tridonic Inc., LC 35 W 150–1050mA/28004443, Driver, 35W, 0-10V to 1% Dimming, Monochromatic, Linear Form, Constant Current, 150-1050mA, 1 Channel, 100-240V Input Voltage</v>
          </cell>
          <cell r="Y373">
            <v>11.01</v>
          </cell>
          <cell r="Z373">
            <v>1</v>
          </cell>
          <cell r="AA373">
            <v>1.5899999999999999</v>
          </cell>
        </row>
        <row r="374">
          <cell r="C374" t="str">
            <v>DR026TRI</v>
          </cell>
          <cell r="D374" t="str">
            <v>Drivers</v>
          </cell>
          <cell r="E374" t="str">
            <v>BKH,BHS,BXH</v>
          </cell>
          <cell r="H374">
            <v>24</v>
          </cell>
          <cell r="I374" t="str">
            <v>H</v>
          </cell>
          <cell r="K374" t="str">
            <v>A,B,I,H</v>
          </cell>
          <cell r="O374" t="str">
            <v>27,30,35,40</v>
          </cell>
          <cell r="Q374" t="str">
            <v>pc</v>
          </cell>
          <cell r="T374">
            <v>1</v>
          </cell>
          <cell r="U374">
            <v>12.111000000000001</v>
          </cell>
          <cell r="V374" t="str">
            <v>Tridonic Inc., LC 35 W 150–1050mA/28004443, Driver, 35W, 0-10V to 1% Dimming, Monochromatic, Linear Form, Constant Current, 150-1050mA, 1 Channel, 100-240V Input Voltage</v>
          </cell>
          <cell r="Y374">
            <v>11.01</v>
          </cell>
          <cell r="Z374">
            <v>1</v>
          </cell>
          <cell r="AA374">
            <v>1.5899999999999999</v>
          </cell>
        </row>
        <row r="375">
          <cell r="C375" t="str">
            <v>DR026TRI</v>
          </cell>
          <cell r="D375" t="str">
            <v>Drivers</v>
          </cell>
          <cell r="E375" t="str">
            <v>BKH,BHS,BXH</v>
          </cell>
          <cell r="H375">
            <v>60</v>
          </cell>
          <cell r="I375" t="str">
            <v>L</v>
          </cell>
          <cell r="K375" t="str">
            <v>A,B,I,H</v>
          </cell>
          <cell r="O375" t="str">
            <v>27,30,35,40</v>
          </cell>
          <cell r="Q375" t="str">
            <v>pc</v>
          </cell>
          <cell r="T375">
            <v>2</v>
          </cell>
          <cell r="U375">
            <v>12.111000000000001</v>
          </cell>
          <cell r="V375" t="str">
            <v>Tridonic Inc., LC 35 W 150–1050mA/28004443, Driver, 35W, 0-10V to 1% Dimming, Monochromatic, Linear Form, Constant Current, 150-1050mA, 1 Channel, 100-240V Input Voltage</v>
          </cell>
          <cell r="Y375">
            <v>11.01</v>
          </cell>
          <cell r="Z375">
            <v>1</v>
          </cell>
          <cell r="AA375">
            <v>1.5899999999999999</v>
          </cell>
        </row>
        <row r="376">
          <cell r="C376" t="str">
            <v>DR026TRI</v>
          </cell>
          <cell r="D376" t="str">
            <v>Drivers</v>
          </cell>
          <cell r="E376" t="str">
            <v>BIS,BIW,BOS,BOW,BJS,BJW</v>
          </cell>
          <cell r="H376" t="str">
            <v>24,36</v>
          </cell>
          <cell r="I376" t="str">
            <v>D</v>
          </cell>
          <cell r="K376" t="str">
            <v>A,B,I,H</v>
          </cell>
          <cell r="O376" t="str">
            <v>WD</v>
          </cell>
          <cell r="Q376" t="str">
            <v>pc</v>
          </cell>
          <cell r="T376">
            <v>1</v>
          </cell>
          <cell r="U376">
            <v>12.111000000000001</v>
          </cell>
          <cell r="V376" t="str">
            <v>Tridonic Inc., LC 35 W 150–1050mA/28004443, Driver, 35W, 0-10V to 1% Dimming, Monochromatic, Linear Form, Constant Current, 150-1050mA, 1 Channel, 100-240V Input Voltage</v>
          </cell>
          <cell r="Y376">
            <v>11.01</v>
          </cell>
          <cell r="Z376">
            <v>1</v>
          </cell>
          <cell r="AA376">
            <v>1.5899999999999999</v>
          </cell>
        </row>
        <row r="377">
          <cell r="C377" t="str">
            <v>DR027TRI</v>
          </cell>
          <cell r="D377" t="str">
            <v>Drivers</v>
          </cell>
          <cell r="E377" t="str">
            <v>BIS,BIW,BOS,BOW,BJS,BJW,BXO,BIO,BHO,BOO,BKO,BJO,BIK,BOK</v>
          </cell>
          <cell r="H377" t="str">
            <v>42,48,54</v>
          </cell>
          <cell r="I377" t="str">
            <v>M</v>
          </cell>
          <cell r="K377" t="str">
            <v>A,B,I,H</v>
          </cell>
          <cell r="O377" t="str">
            <v>27,30,35,40</v>
          </cell>
          <cell r="Q377" t="str">
            <v>pc</v>
          </cell>
          <cell r="T377">
            <v>1</v>
          </cell>
          <cell r="U377">
            <v>12.111000000000001</v>
          </cell>
          <cell r="V377" t="str">
            <v>Tridonic Inc., LC 50-400–1400mA/28004444, Driver, 50W, 0-10V to 1% Dimming, Monochromatic, Linear Form, Constant Current, 400-1400mA, 1 Channel, 100-240V Input Voltage</v>
          </cell>
          <cell r="Y377">
            <v>11.01</v>
          </cell>
          <cell r="Z377">
            <v>1</v>
          </cell>
          <cell r="AA377">
            <v>1.5899999999999999</v>
          </cell>
        </row>
        <row r="378">
          <cell r="C378" t="str">
            <v>DR027TRI</v>
          </cell>
          <cell r="D378" t="str">
            <v>Drivers</v>
          </cell>
          <cell r="E378" t="str">
            <v>BIS,BIW,BOS,BOW,BJS,BJW,BXO,BIO,BHO,BOO,BKO,BJO,BIK,BOK</v>
          </cell>
          <cell r="H378" t="str">
            <v>24,30,36</v>
          </cell>
          <cell r="I378" t="str">
            <v>H</v>
          </cell>
          <cell r="K378" t="str">
            <v>A,B,I,H</v>
          </cell>
          <cell r="O378" t="str">
            <v>27,30,35,40</v>
          </cell>
          <cell r="Q378" t="str">
            <v>pc</v>
          </cell>
          <cell r="T378">
            <v>1</v>
          </cell>
          <cell r="U378">
            <v>12.111000000000001</v>
          </cell>
          <cell r="V378" t="str">
            <v>Tridonic Inc., LC 50-400–1400mA/28004444, Driver, 50W, 0-10V to 1% Dimming, Monochromatic, Linear Form, Constant Current, 400-1400mA, 1 Channel, 100-240V Input Voltage</v>
          </cell>
          <cell r="Y378">
            <v>11.01</v>
          </cell>
          <cell r="Z378">
            <v>1</v>
          </cell>
          <cell r="AA378">
            <v>1.5899999999999999</v>
          </cell>
        </row>
        <row r="379">
          <cell r="C379" t="str">
            <v>DR027TRI</v>
          </cell>
          <cell r="D379" t="str">
            <v>Drivers</v>
          </cell>
          <cell r="E379" t="str">
            <v>BIS,BIW,BOS,BOW,BJS,BJW,BXO,BIO,BHO,BOO,BKO,BJO,BIK,BOK</v>
          </cell>
          <cell r="H379">
            <v>24</v>
          </cell>
          <cell r="I379" t="str">
            <v>V</v>
          </cell>
          <cell r="K379" t="str">
            <v>A,B,I,H</v>
          </cell>
          <cell r="O379" t="str">
            <v>27,30,35,40</v>
          </cell>
          <cell r="Q379" t="str">
            <v>pc</v>
          </cell>
          <cell r="T379">
            <v>1</v>
          </cell>
          <cell r="U379">
            <v>12.111000000000001</v>
          </cell>
          <cell r="V379" t="str">
            <v>Tridonic Inc., LC 50-400–1400mA/28004444, Driver, 50W, 0-10V to 1% Dimming, Monochromatic, Linear Form, Constant Current, 400-1400mA, 1 Channel, 100-240V Input Voltage</v>
          </cell>
          <cell r="Y379">
            <v>11.01</v>
          </cell>
          <cell r="Z379">
            <v>1</v>
          </cell>
          <cell r="AA379">
            <v>1.5899999999999999</v>
          </cell>
        </row>
        <row r="380">
          <cell r="C380" t="str">
            <v>DR027TRI</v>
          </cell>
          <cell r="D380" t="str">
            <v>Drivers</v>
          </cell>
          <cell r="E380" t="str">
            <v>BIS,BIW,BOS,BOW,BJS,BJW,BXO,BIO,BHO,BOO,BKO,BJO,BIK,BOK</v>
          </cell>
          <cell r="H380">
            <v>60</v>
          </cell>
          <cell r="I380" t="str">
            <v>H</v>
          </cell>
          <cell r="K380" t="str">
            <v>A,B,I,H</v>
          </cell>
          <cell r="O380" t="str">
            <v>27,30,35,40</v>
          </cell>
          <cell r="Q380" t="str">
            <v>pc</v>
          </cell>
          <cell r="T380">
            <v>2</v>
          </cell>
          <cell r="U380">
            <v>12.111000000000001</v>
          </cell>
          <cell r="V380" t="str">
            <v>Tridonic Inc., LC 50-400–1400mA/28004444, Driver, 50W, 0-10V to 1% Dimming, Monochromatic, Linear Form, Constant Current, 400-1400mA, 1 Channel, 100-240V Input Voltage</v>
          </cell>
          <cell r="Y380">
            <v>11.01</v>
          </cell>
          <cell r="Z380">
            <v>1</v>
          </cell>
          <cell r="AA380">
            <v>1.5899999999999999</v>
          </cell>
        </row>
        <row r="381">
          <cell r="C381" t="str">
            <v>DR027TRI</v>
          </cell>
          <cell r="D381" t="str">
            <v>Drivers</v>
          </cell>
          <cell r="E381" t="str">
            <v>BKH,BHS,BXH</v>
          </cell>
          <cell r="H381">
            <v>48</v>
          </cell>
          <cell r="I381" t="str">
            <v>M</v>
          </cell>
          <cell r="K381" t="str">
            <v>A,B,I,H</v>
          </cell>
          <cell r="O381" t="str">
            <v>27,30,35,40</v>
          </cell>
          <cell r="Q381" t="str">
            <v>pc</v>
          </cell>
          <cell r="T381">
            <v>1</v>
          </cell>
          <cell r="U381">
            <v>12.111000000000001</v>
          </cell>
          <cell r="V381" t="str">
            <v>Tridonic Inc., LC 50-400–1400mA/28004444, Driver, 50W, 0-10V to 1% Dimming, Monochromatic, Linear Form, Constant Current, 400-1400mA, 1 Channel, 100-240V Input Voltage</v>
          </cell>
          <cell r="Y381">
            <v>11.01</v>
          </cell>
          <cell r="Z381">
            <v>1</v>
          </cell>
          <cell r="AA381">
            <v>1.5899999999999999</v>
          </cell>
        </row>
        <row r="382">
          <cell r="C382" t="str">
            <v>DR027TRI</v>
          </cell>
          <cell r="D382" t="str">
            <v>Drivers</v>
          </cell>
          <cell r="E382" t="str">
            <v>BKH,BHS,BXH</v>
          </cell>
          <cell r="H382">
            <v>36</v>
          </cell>
          <cell r="I382" t="str">
            <v>H</v>
          </cell>
          <cell r="K382" t="str">
            <v>A,B,I,H</v>
          </cell>
          <cell r="O382" t="str">
            <v>27,30,35,40</v>
          </cell>
          <cell r="Q382" t="str">
            <v>pc</v>
          </cell>
          <cell r="T382">
            <v>1</v>
          </cell>
          <cell r="U382">
            <v>12.111000000000001</v>
          </cell>
          <cell r="V382" t="str">
            <v>Tridonic Inc., LC 50-400–1400mA/28004444, Driver, 50W, 0-10V to 1% Dimming, Monochromatic, Linear Form, Constant Current, 400-1400mA, 1 Channel, 100-240V Input Voltage</v>
          </cell>
          <cell r="Y382">
            <v>11.01</v>
          </cell>
          <cell r="Z382">
            <v>1</v>
          </cell>
          <cell r="AA382">
            <v>1.5899999999999999</v>
          </cell>
        </row>
        <row r="383">
          <cell r="C383" t="str">
            <v>DR027TRI</v>
          </cell>
          <cell r="D383" t="str">
            <v>Drivers</v>
          </cell>
          <cell r="E383" t="str">
            <v>BKH,BHS,BXH</v>
          </cell>
          <cell r="H383">
            <v>60</v>
          </cell>
          <cell r="I383" t="str">
            <v>H</v>
          </cell>
          <cell r="K383" t="str">
            <v>A,B,I,H</v>
          </cell>
          <cell r="O383" t="str">
            <v>27,30,35,40</v>
          </cell>
          <cell r="Q383" t="str">
            <v>pc</v>
          </cell>
          <cell r="T383">
            <v>2</v>
          </cell>
          <cell r="U383">
            <v>12.111000000000001</v>
          </cell>
          <cell r="V383" t="str">
            <v>Tridonic Inc., LC 50-400–1400mA/28004444, Driver, 50W, 0-10V to 1% Dimming, Monochromatic, Linear Form, Constant Current, 400-1400mA, 1 Channel, 100-240V Input Voltage</v>
          </cell>
          <cell r="Y383">
            <v>11.01</v>
          </cell>
          <cell r="Z383">
            <v>1</v>
          </cell>
          <cell r="AA383">
            <v>1.5899999999999999</v>
          </cell>
        </row>
        <row r="384">
          <cell r="C384" t="str">
            <v>DR027TRI</v>
          </cell>
          <cell r="D384" t="str">
            <v>Drivers</v>
          </cell>
          <cell r="E384" t="str">
            <v>BKH,BHS,BXH</v>
          </cell>
          <cell r="H384">
            <v>48</v>
          </cell>
          <cell r="I384" t="str">
            <v>V</v>
          </cell>
          <cell r="K384" t="str">
            <v>A,B,I,H</v>
          </cell>
          <cell r="O384" t="str">
            <v>27,30,35,41</v>
          </cell>
          <cell r="Q384" t="str">
            <v>pc</v>
          </cell>
          <cell r="T384">
            <v>2</v>
          </cell>
          <cell r="U384">
            <v>12.111000000000001</v>
          </cell>
          <cell r="V384" t="str">
            <v>Tridonic Inc., LC 50-400–1400mA/28004444, Driver, 50W, 0-10V to 1% Dimming, Monochromatic, Linear Form, Constant Current, 400-1400mA, 1 Channel, 100-240V Input Voltage</v>
          </cell>
          <cell r="Y384">
            <v>11.01</v>
          </cell>
          <cell r="Z384">
            <v>1</v>
          </cell>
          <cell r="AA384">
            <v>1.5899999999999999</v>
          </cell>
        </row>
        <row r="385">
          <cell r="C385" t="str">
            <v>DR027TRI</v>
          </cell>
          <cell r="D385" t="str">
            <v>Drivers</v>
          </cell>
          <cell r="E385" t="str">
            <v>BKH,BHS,BXH</v>
          </cell>
          <cell r="H385" t="str">
            <v>24,36</v>
          </cell>
          <cell r="I385" t="str">
            <v>V</v>
          </cell>
          <cell r="K385" t="str">
            <v>A,B,I,H</v>
          </cell>
          <cell r="O385" t="str">
            <v>27,30,35,40</v>
          </cell>
          <cell r="Q385" t="str">
            <v>pc</v>
          </cell>
          <cell r="T385">
            <v>1</v>
          </cell>
          <cell r="U385">
            <v>12.111000000000001</v>
          </cell>
          <cell r="V385" t="str">
            <v>Tridonic Inc., LC 50-400–1400mA/28004444, Driver, 50W, 0-10V to 1% Dimming, Monochromatic, Linear Form, Constant Current, 400-1400mA, 1 Channel, 100-240V Input Voltage</v>
          </cell>
          <cell r="Y385">
            <v>11.01</v>
          </cell>
          <cell r="Z385">
            <v>1</v>
          </cell>
          <cell r="AA385">
            <v>1.5899999999999999</v>
          </cell>
        </row>
        <row r="386">
          <cell r="C386" t="str">
            <v>DR027TRI</v>
          </cell>
          <cell r="D386" t="str">
            <v>Drivers</v>
          </cell>
          <cell r="E386" t="str">
            <v>BIS,BIW,BOS,BOW,BJS,BJW</v>
          </cell>
          <cell r="H386" t="str">
            <v>48,60</v>
          </cell>
          <cell r="I386" t="str">
            <v>D</v>
          </cell>
          <cell r="K386" t="str">
            <v>A,B,I,H</v>
          </cell>
          <cell r="O386" t="str">
            <v>WD</v>
          </cell>
          <cell r="Q386" t="str">
            <v>pc</v>
          </cell>
          <cell r="T386">
            <v>1</v>
          </cell>
          <cell r="U386">
            <v>12.111000000000001</v>
          </cell>
          <cell r="V386" t="str">
            <v>Tridonic Inc., LC 50-400–1400mA/28004444, Driver, 50W, 0-10V to 1% Dimming, Monochromatic, Linear Form, Constant Current, 400-1400mA, 1 Channel, 100-240V Input Voltage</v>
          </cell>
          <cell r="Y386">
            <v>11.01</v>
          </cell>
          <cell r="Z386">
            <v>1</v>
          </cell>
          <cell r="AA386">
            <v>1.5899999999999999</v>
          </cell>
        </row>
        <row r="387">
          <cell r="C387" t="str">
            <v>DR027TRI</v>
          </cell>
          <cell r="D387" t="str">
            <v>Drivers</v>
          </cell>
          <cell r="E387" t="str">
            <v>BIS,BIW,BOS,BOW,BJS,BJW</v>
          </cell>
          <cell r="H387">
            <v>24</v>
          </cell>
          <cell r="I387" t="str">
            <v>W</v>
          </cell>
          <cell r="K387" t="str">
            <v>A,B,I,H</v>
          </cell>
          <cell r="O387" t="str">
            <v>WD</v>
          </cell>
          <cell r="Q387" t="str">
            <v>pc</v>
          </cell>
          <cell r="T387">
            <v>1</v>
          </cell>
          <cell r="U387">
            <v>12.111000000000001</v>
          </cell>
          <cell r="V387" t="str">
            <v>Tridonic Inc., LC 50-400–1400mA/28004444, Driver, 50W, 0-10V to 1% Dimming, Monochromatic, Linear Form, Constant Current, 400-1400mA, 1 Channel, 100-240V Input Voltage</v>
          </cell>
          <cell r="Y387">
            <v>11.01</v>
          </cell>
          <cell r="Z387">
            <v>1</v>
          </cell>
          <cell r="AA387">
            <v>1.5899999999999999</v>
          </cell>
        </row>
        <row r="388">
          <cell r="C388" t="str">
            <v>DR027TRI</v>
          </cell>
          <cell r="D388" t="str">
            <v>Drivers</v>
          </cell>
          <cell r="E388" t="str">
            <v>BIS,BIW,BOS,BOW,BJS,BJW</v>
          </cell>
          <cell r="H388">
            <v>60</v>
          </cell>
          <cell r="I388" t="str">
            <v>W</v>
          </cell>
          <cell r="K388" t="str">
            <v>A,B,I,H</v>
          </cell>
          <cell r="O388" t="str">
            <v>WD</v>
          </cell>
          <cell r="Q388" t="str">
            <v>pc</v>
          </cell>
          <cell r="T388">
            <v>2</v>
          </cell>
          <cell r="U388">
            <v>12.111000000000001</v>
          </cell>
          <cell r="V388" t="str">
            <v>Tridonic Inc., LC 50-400–1400mA/28004444, Driver, 50W, 0-10V to 1% Dimming, Monochromatic, Linear Form, Constant Current, 400-1400mA, 1 Channel, 100-240V Input Voltage</v>
          </cell>
          <cell r="Y388">
            <v>11.01</v>
          </cell>
          <cell r="Z388">
            <v>1</v>
          </cell>
          <cell r="AA388">
            <v>1.5899999999999999</v>
          </cell>
        </row>
        <row r="389">
          <cell r="C389" t="str">
            <v>DR028TRI</v>
          </cell>
          <cell r="D389" t="str">
            <v>Drivers</v>
          </cell>
          <cell r="E389" t="str">
            <v>BIS,BIW,BOS,BOW,BJS,BJW,BXO,BIO,BHO,BOO,BKO,BJO,BIK,BOK</v>
          </cell>
          <cell r="H389">
            <v>60</v>
          </cell>
          <cell r="I389" t="str">
            <v>M</v>
          </cell>
          <cell r="K389" t="str">
            <v>A,B,I,H</v>
          </cell>
          <cell r="O389" t="str">
            <v>27,30,35,40</v>
          </cell>
          <cell r="Q389" t="str">
            <v>pc</v>
          </cell>
          <cell r="T389">
            <v>1</v>
          </cell>
          <cell r="U389">
            <v>16.984000000000002</v>
          </cell>
          <cell r="V389" t="str">
            <v>Tridonic Inc., LC 85-700–2300mA/28004445, Driver, 85W, 0-10V to 1% Dimming, Monochromatic, Linear Form, Constant Current, 700-2300mA, 1 Channel, 100-240V Input Voltage</v>
          </cell>
          <cell r="Y389">
            <v>15.44</v>
          </cell>
          <cell r="Z389">
            <v>1</v>
          </cell>
          <cell r="AA389">
            <v>1.5899999999999999</v>
          </cell>
        </row>
        <row r="390">
          <cell r="C390" t="str">
            <v>DR028TRI</v>
          </cell>
          <cell r="D390" t="str">
            <v>Drivers</v>
          </cell>
          <cell r="E390" t="str">
            <v>BIS,BIW,BOS,BOW,BJS,BJW,BXO,BIO,BHO,BOO,BKO,BJO,BIK,BOK</v>
          </cell>
          <cell r="H390" t="str">
            <v>42,48,54</v>
          </cell>
          <cell r="I390" t="str">
            <v>H</v>
          </cell>
          <cell r="K390" t="str">
            <v>A,B,I,H</v>
          </cell>
          <cell r="O390" t="str">
            <v>27,30,35,40</v>
          </cell>
          <cell r="Q390" t="str">
            <v>pc</v>
          </cell>
          <cell r="T390">
            <v>1</v>
          </cell>
          <cell r="U390">
            <v>16.984000000000002</v>
          </cell>
          <cell r="V390" t="str">
            <v>Tridonic Inc., LC 85-700–2300mA/28004445, Driver, 85W, 0-10V to 1% Dimming, Monochromatic, Linear Form, Constant Current, 700-2300mA, 1 Channel, 100-240V Input Voltage</v>
          </cell>
          <cell r="Y390">
            <v>15.44</v>
          </cell>
          <cell r="Z390">
            <v>1</v>
          </cell>
          <cell r="AA390">
            <v>1.5899999999999999</v>
          </cell>
        </row>
        <row r="391">
          <cell r="C391" t="str">
            <v>DR028TRI</v>
          </cell>
          <cell r="D391" t="str">
            <v>Drivers</v>
          </cell>
          <cell r="E391" t="str">
            <v>BIS,BIW,BOS,BOW,BJS,BJW,BXO,BIO,BHO,BOO,BKO,BJO,BIK,BOK</v>
          </cell>
          <cell r="H391" t="str">
            <v>30,36,42,48</v>
          </cell>
          <cell r="I391" t="str">
            <v>V</v>
          </cell>
          <cell r="K391" t="str">
            <v>A,B,I,H</v>
          </cell>
          <cell r="O391" t="str">
            <v>27,30,35,40</v>
          </cell>
          <cell r="Q391" t="str">
            <v>pc</v>
          </cell>
          <cell r="T391">
            <v>1</v>
          </cell>
          <cell r="U391">
            <v>16.984000000000002</v>
          </cell>
          <cell r="V391" t="str">
            <v>Tridonic Inc., LC 85-700–2300mA/28004445, Driver, 85W, 0-10V to 1% Dimming, Monochromatic, Linear Form, Constant Current, 700-2300mA, 1 Channel, 100-240V Input Voltage</v>
          </cell>
          <cell r="Y391">
            <v>15.44</v>
          </cell>
          <cell r="Z391">
            <v>1</v>
          </cell>
          <cell r="AA391">
            <v>1.5899999999999999</v>
          </cell>
        </row>
        <row r="392">
          <cell r="C392" t="str">
            <v>DR028TRI</v>
          </cell>
          <cell r="D392" t="str">
            <v>Drivers</v>
          </cell>
          <cell r="E392" t="str">
            <v>BIS,BIW,BOS,BOW,BJS,BJW,BXO,BIO,BHO,BOO,BKO,BJO,BIK,BOK</v>
          </cell>
          <cell r="H392" t="str">
            <v>54,60</v>
          </cell>
          <cell r="I392" t="str">
            <v>V</v>
          </cell>
          <cell r="K392" t="str">
            <v>A,B,I,H</v>
          </cell>
          <cell r="O392" t="str">
            <v>27,30,35,40</v>
          </cell>
          <cell r="Q392" t="str">
            <v>pc</v>
          </cell>
          <cell r="T392">
            <v>2</v>
          </cell>
          <cell r="U392">
            <v>16.984000000000002</v>
          </cell>
          <cell r="V392" t="str">
            <v>Tridonic Inc., LC 85-700–2300mA/28004445, Driver, 85W, 0-10V to 1% Dimming, Monochromatic, Linear Form, Constant Current, 700-2300mA, 1 Channel, 100-240V Input Voltage</v>
          </cell>
          <cell r="Y392">
            <v>15.44</v>
          </cell>
          <cell r="Z392">
            <v>1</v>
          </cell>
          <cell r="AA392">
            <v>1.5899999999999999</v>
          </cell>
        </row>
        <row r="393">
          <cell r="C393" t="str">
            <v>DR028TRI</v>
          </cell>
          <cell r="D393" t="str">
            <v>Drivers</v>
          </cell>
          <cell r="E393" t="str">
            <v>BKH,BHS,BXH</v>
          </cell>
          <cell r="H393">
            <v>48</v>
          </cell>
          <cell r="I393" t="str">
            <v>H</v>
          </cell>
          <cell r="K393" t="str">
            <v>A,B,I,H</v>
          </cell>
          <cell r="O393" t="str">
            <v>27,30,35,40</v>
          </cell>
          <cell r="Q393" t="str">
            <v>pc</v>
          </cell>
          <cell r="T393">
            <v>1</v>
          </cell>
          <cell r="U393">
            <v>16.984000000000002</v>
          </cell>
          <cell r="V393" t="str">
            <v>Tridonic Inc., LC 85-700–2300mA/28004445, Driver, 85W, 0-10V to 1% Dimming, Monochromatic, Linear Form, Constant Current, 700-2300mA, 1 Channel, 100-240V Input Voltage</v>
          </cell>
          <cell r="Y393">
            <v>15.44</v>
          </cell>
          <cell r="Z393">
            <v>1</v>
          </cell>
          <cell r="AA393">
            <v>1.5899999999999999</v>
          </cell>
        </row>
        <row r="394">
          <cell r="C394" t="str">
            <v>DR028TRI</v>
          </cell>
          <cell r="D394" t="str">
            <v>Drivers</v>
          </cell>
          <cell r="E394" t="str">
            <v>BKH,BHS,BXH</v>
          </cell>
          <cell r="H394">
            <v>60</v>
          </cell>
          <cell r="I394" t="str">
            <v>V</v>
          </cell>
          <cell r="K394" t="str">
            <v>A,B,I,H</v>
          </cell>
          <cell r="O394" t="str">
            <v>27,30,35,40</v>
          </cell>
          <cell r="Q394" t="str">
            <v>pc</v>
          </cell>
          <cell r="T394">
            <v>2</v>
          </cell>
          <cell r="U394">
            <v>16.984000000000002</v>
          </cell>
          <cell r="V394" t="str">
            <v>Tridonic Inc., LC 85-700–2300mA/28004445, Driver, 85W, 0-10V to 1% Dimming, Monochromatic, Linear Form, Constant Current, 700-2300mA, 1 Channel, 100-240V Input Voltage</v>
          </cell>
          <cell r="Y394">
            <v>15.44</v>
          </cell>
          <cell r="Z394">
            <v>1</v>
          </cell>
          <cell r="AA394">
            <v>1.5899999999999999</v>
          </cell>
        </row>
        <row r="395">
          <cell r="C395" t="str">
            <v>DR028TRI</v>
          </cell>
          <cell r="D395" t="str">
            <v>Drivers</v>
          </cell>
          <cell r="E395" t="str">
            <v>BIS,BIW,BOS,BOW,BJS,BJW</v>
          </cell>
          <cell r="H395" t="str">
            <v>36,48</v>
          </cell>
          <cell r="I395" t="str">
            <v>W</v>
          </cell>
          <cell r="K395" t="str">
            <v>A,B,I,H</v>
          </cell>
          <cell r="O395" t="str">
            <v>WD</v>
          </cell>
          <cell r="Q395" t="str">
            <v>pc</v>
          </cell>
          <cell r="T395">
            <v>1</v>
          </cell>
          <cell r="U395">
            <v>16.984000000000002</v>
          </cell>
          <cell r="V395" t="str">
            <v>Tridonic Inc., LC 85-700–2300mA/28004445, Driver, 85W, 0-10V to 1% Dimming, Monochromatic, Linear Form, Constant Current, 700-2300mA, 1 Channel, 100-240V Input Voltage</v>
          </cell>
          <cell r="Y395">
            <v>15.44</v>
          </cell>
          <cell r="Z395">
            <v>1</v>
          </cell>
          <cell r="AA395">
            <v>1.5899999999999999</v>
          </cell>
        </row>
        <row r="396">
          <cell r="C396" t="str">
            <v>DR006EUC</v>
          </cell>
          <cell r="D396" t="str">
            <v>Drivers</v>
          </cell>
          <cell r="E396" t="str">
            <v>BIS,BIW,BOS,BOW,BJS,BJW,BXO,BIO,BHO,BOO,BKO,BJO,BKH,BHS,BXH,BIK,BOK,BOP</v>
          </cell>
          <cell r="H396">
            <v>12</v>
          </cell>
          <cell r="I396" t="str">
            <v>L,M</v>
          </cell>
          <cell r="K396" t="str">
            <v>A,H,E,L,</v>
          </cell>
          <cell r="O396" t="str">
            <v>27,30,35,40</v>
          </cell>
          <cell r="Q396" t="str">
            <v>pc</v>
          </cell>
          <cell r="T396">
            <v>1</v>
          </cell>
          <cell r="U396">
            <v>11.165000000000001</v>
          </cell>
          <cell r="V396" t="str">
            <v>Ningbo Euchips Intelligent Technology Co., Ltd., PUP20T-1LMC, Driver, 20W, ELV Dimming, Monochromatic, Puck Form, Constant Current, 350-700mA, 1 Channel, 120-277V Input Voltage</v>
          </cell>
          <cell r="Y396">
            <v>10.15</v>
          </cell>
          <cell r="Z396">
            <v>1.52</v>
          </cell>
          <cell r="AA396">
            <v>1.5899999999999999</v>
          </cell>
        </row>
        <row r="397">
          <cell r="C397" t="str">
            <v>DR006EUC</v>
          </cell>
          <cell r="D397" t="str">
            <v>Drivers</v>
          </cell>
          <cell r="E397" t="str">
            <v>BIS,BIW,BOS,BOW,BJS,BJW,BXO,BIO,BHO,BOO,BKO,BJO,BKH,BHS,BXH,BIK,BOK,BOP</v>
          </cell>
          <cell r="H397" t="str">
            <v>18,24</v>
          </cell>
          <cell r="I397" t="str">
            <v>L,M</v>
          </cell>
          <cell r="K397" t="str">
            <v>E,L</v>
          </cell>
          <cell r="O397" t="str">
            <v>27,30,35,40</v>
          </cell>
          <cell r="Q397" t="str">
            <v>pc</v>
          </cell>
          <cell r="T397">
            <v>1</v>
          </cell>
          <cell r="U397">
            <v>11.165000000000001</v>
          </cell>
          <cell r="V397" t="str">
            <v>Ningbo Euchips Intelligent Technology Co., Ltd., PUP20T-1LMC, Driver, 20W, ELV Dimming, Monochromatic, Puck Form, Constant Current, 350-700mA, 1 Channel, 120-277V Input Voltage</v>
          </cell>
          <cell r="Y397">
            <v>10.15</v>
          </cell>
          <cell r="Z397">
            <v>1.52</v>
          </cell>
          <cell r="AA397">
            <v>1.5899999999999999</v>
          </cell>
        </row>
        <row r="398">
          <cell r="C398" t="str">
            <v>DR006EUC</v>
          </cell>
          <cell r="D398" t="str">
            <v>Drivers</v>
          </cell>
          <cell r="E398" t="str">
            <v>BIS,BIW,BOS,BOW,BJS,BJW,BXO,BIO,BHO,BOO,BKO,BJO,BKH,BHS,BXH,BIK,BOK,BOP</v>
          </cell>
          <cell r="H398" t="str">
            <v>30,36,42</v>
          </cell>
          <cell r="I398" t="str">
            <v>L</v>
          </cell>
          <cell r="K398" t="str">
            <v>E,L</v>
          </cell>
          <cell r="O398" t="str">
            <v>27,30,35,40</v>
          </cell>
          <cell r="Q398" t="str">
            <v>pc</v>
          </cell>
          <cell r="T398">
            <v>1</v>
          </cell>
          <cell r="U398">
            <v>11.165000000000001</v>
          </cell>
          <cell r="V398" t="str">
            <v>Ningbo Euchips Intelligent Technology Co., Ltd., PUP20T-1LMC, Driver, 20W, ELV Dimming, Monochromatic, Puck Form, Constant Current, 350-700mA, 1 Channel, 120-277V Input Voltage</v>
          </cell>
          <cell r="Y398">
            <v>10.15</v>
          </cell>
          <cell r="Z398">
            <v>1.52</v>
          </cell>
          <cell r="AA398">
            <v>1.5899999999999999</v>
          </cell>
        </row>
        <row r="399">
          <cell r="C399" t="str">
            <v>DR006EUC</v>
          </cell>
          <cell r="D399" t="str">
            <v>Drivers</v>
          </cell>
          <cell r="E399" t="str">
            <v>BIS,BIW,BOS,BOW,BJS,BJW,BXO,BIO,BHO,BOO,BKO,BJO,BKH,BHS,BXH,BIK,BOK,BOP</v>
          </cell>
          <cell r="H399" t="str">
            <v>30,36,42,48</v>
          </cell>
          <cell r="I399" t="str">
            <v>M</v>
          </cell>
          <cell r="K399" t="str">
            <v>E,L</v>
          </cell>
          <cell r="O399" t="str">
            <v>27,30,35,40</v>
          </cell>
          <cell r="Q399" t="str">
            <v>pc</v>
          </cell>
          <cell r="T399">
            <v>2</v>
          </cell>
          <cell r="U399">
            <v>11.165000000000001</v>
          </cell>
          <cell r="V399" t="str">
            <v>Ningbo Euchips Intelligent Technology Co., Ltd., PUP20T-1LMC, Driver, 20W, ELV Dimming, Monochromatic, Puck Form, Constant Current, 350-700mA, 1 Channel, 120-277V Input Voltage</v>
          </cell>
          <cell r="Y399">
            <v>10.15</v>
          </cell>
          <cell r="Z399">
            <v>1.52</v>
          </cell>
          <cell r="AA399">
            <v>1.5899999999999999</v>
          </cell>
        </row>
        <row r="400">
          <cell r="C400" t="str">
            <v>DR006EUC</v>
          </cell>
          <cell r="D400" t="str">
            <v>Drivers</v>
          </cell>
          <cell r="E400" t="str">
            <v>BIS,BIW,BOS,BOW,BJS,BJW,BXO,BIO,BHO,BOO,BKO,BJO,BKH,BHS,BXH,BIK,BOK,BOP</v>
          </cell>
          <cell r="H400">
            <v>48</v>
          </cell>
          <cell r="I400" t="str">
            <v>L</v>
          </cell>
          <cell r="K400" t="str">
            <v>E,L</v>
          </cell>
          <cell r="O400" t="str">
            <v>27,30,35,40</v>
          </cell>
          <cell r="Q400" t="str">
            <v>pc</v>
          </cell>
          <cell r="T400">
            <v>1</v>
          </cell>
          <cell r="U400">
            <v>11.165000000000001</v>
          </cell>
          <cell r="V400" t="str">
            <v>Ningbo Euchips Intelligent Technology Co., Ltd., PUP20T-1LMC, Driver, 20W, ELV Dimming, Monochromatic, Puck Form, Constant Current, 350-700mA, 1 Channel, 120-277V Input Voltage</v>
          </cell>
          <cell r="Y400">
            <v>10.15</v>
          </cell>
          <cell r="Z400">
            <v>1.52</v>
          </cell>
          <cell r="AA400">
            <v>1.5899999999999999</v>
          </cell>
        </row>
        <row r="401">
          <cell r="C401" t="str">
            <v>DR006EUC</v>
          </cell>
          <cell r="D401" t="str">
            <v>Drivers</v>
          </cell>
          <cell r="E401" t="str">
            <v>BIS,BIW,BOS,BOW,BJS,BJW,BXO,BIO,BHO,BOO,BKO,BJO,BKH,BHS,BXH,BIK,BOK,BOP</v>
          </cell>
          <cell r="H401" t="str">
            <v>54,60</v>
          </cell>
          <cell r="I401" t="str">
            <v>L</v>
          </cell>
          <cell r="K401" t="str">
            <v>E,L</v>
          </cell>
          <cell r="O401" t="str">
            <v>27,30,35,40</v>
          </cell>
          <cell r="Q401" t="str">
            <v>pc</v>
          </cell>
          <cell r="T401">
            <v>2</v>
          </cell>
          <cell r="U401">
            <v>11.165000000000001</v>
          </cell>
          <cell r="V401" t="str">
            <v>Ningbo Euchips Intelligent Technology Co., Ltd., PUP20T-1LMC, Driver, 20W, ELV Dimming, Monochromatic, Puck Form, Constant Current, 350-700mA, 1 Channel, 120-277V Input Voltage</v>
          </cell>
          <cell r="Y401">
            <v>10.15</v>
          </cell>
          <cell r="Z401">
            <v>1.52</v>
          </cell>
          <cell r="AA401">
            <v>1.5899999999999999</v>
          </cell>
        </row>
        <row r="402">
          <cell r="C402" t="str">
            <v>DR006EUC</v>
          </cell>
          <cell r="D402" t="str">
            <v>Drivers</v>
          </cell>
          <cell r="E402" t="str">
            <v>BIS,BIW,BOS,BOW,BJS,BJW,BXO,BIO,BHO,BOO,BKO,BJO,BKH,BHS,BXH,BIK,BOK,BOP</v>
          </cell>
          <cell r="H402" t="str">
            <v>54,60</v>
          </cell>
          <cell r="I402" t="str">
            <v>M</v>
          </cell>
          <cell r="K402" t="str">
            <v>E,L</v>
          </cell>
          <cell r="O402" t="str">
            <v>27,30,35,40</v>
          </cell>
          <cell r="Q402" t="str">
            <v>pc</v>
          </cell>
          <cell r="T402">
            <v>3</v>
          </cell>
          <cell r="U402">
            <v>11.165000000000001</v>
          </cell>
          <cell r="V402" t="str">
            <v>Ningbo Euchips Intelligent Technology Co., Ltd., PUP20T-1LMC, Driver, 20W, ELV Dimming, Monochromatic, Puck Form, Constant Current, 350-700mA, 1 Channel, 120-277V Input Voltage</v>
          </cell>
          <cell r="Y402">
            <v>10.15</v>
          </cell>
          <cell r="Z402">
            <v>1.52</v>
          </cell>
          <cell r="AA402">
            <v>1.5899999999999999</v>
          </cell>
        </row>
        <row r="403">
          <cell r="C403" t="str">
            <v>DR007EUC</v>
          </cell>
          <cell r="D403" t="str">
            <v>Drivers</v>
          </cell>
          <cell r="E403" t="str">
            <v>BIS,BIW,BOS,BOW,BJS,BJW,BXO,BIO,BHO,BOO,BKO,BJO,BIK,BOK,BOP</v>
          </cell>
          <cell r="H403" t="str">
            <v>12,18,24,30,36,42,48,54</v>
          </cell>
          <cell r="I403" t="str">
            <v>H,V</v>
          </cell>
          <cell r="K403" t="str">
            <v>E,L,A,H</v>
          </cell>
          <cell r="O403" t="str">
            <v>27,30,35,40</v>
          </cell>
          <cell r="Q403" t="str">
            <v>pc</v>
          </cell>
          <cell r="T403">
            <v>1</v>
          </cell>
          <cell r="U403">
            <v>15.312000000000001</v>
          </cell>
          <cell r="V403" t="str">
            <v>Ningbo Euchips Intelligent Technology Co., Ltd., PUP40T-1LMC-1200, Driver, 40W, ELV Dimming, Monochromatic, Puck Form, Constant Current, 850-1200mA, 1 Channel, 120V Input Voltage</v>
          </cell>
          <cell r="Y403">
            <v>13.92</v>
          </cell>
          <cell r="Z403">
            <v>1.52</v>
          </cell>
          <cell r="AA403">
            <v>1.5899999999999999</v>
          </cell>
        </row>
        <row r="404">
          <cell r="C404" t="str">
            <v>DR007EUC</v>
          </cell>
          <cell r="D404" t="str">
            <v>Drivers</v>
          </cell>
          <cell r="E404" t="str">
            <v>BIS,BIW,BOS,BOW,BJS,BJW,BXO,BIO,BHO,BOO,BKO,BJO,BIK,BOK,BOP</v>
          </cell>
          <cell r="H404">
            <v>60</v>
          </cell>
          <cell r="I404" t="str">
            <v>H</v>
          </cell>
          <cell r="K404" t="str">
            <v>E,L</v>
          </cell>
          <cell r="O404" t="str">
            <v>27,30,35,40</v>
          </cell>
          <cell r="Q404" t="str">
            <v>pc</v>
          </cell>
          <cell r="T404">
            <v>2</v>
          </cell>
          <cell r="U404">
            <v>15.312000000000001</v>
          </cell>
          <cell r="V404" t="str">
            <v>Ningbo Euchips Intelligent Technology Co., Ltd., PUP40T-1LMC-1200, Driver, 40W, ELV Dimming, Monochromatic, Puck Form, Constant Current, 850-1200mA, 1 Channel, 120V Input Voltage</v>
          </cell>
          <cell r="Y404">
            <v>13.92</v>
          </cell>
          <cell r="Z404">
            <v>1.52</v>
          </cell>
          <cell r="AA404">
            <v>1.5899999999999999</v>
          </cell>
        </row>
        <row r="405">
          <cell r="C405" t="str">
            <v>DR007EUC</v>
          </cell>
          <cell r="D405" t="str">
            <v>Drivers</v>
          </cell>
          <cell r="E405" t="str">
            <v>BKH,BHS,BXH</v>
          </cell>
          <cell r="H405" t="str">
            <v>12,18,24,30</v>
          </cell>
          <cell r="I405" t="str">
            <v>H</v>
          </cell>
          <cell r="K405" t="str">
            <v>E,L</v>
          </cell>
          <cell r="O405" t="str">
            <v>27,30,35,40</v>
          </cell>
          <cell r="Q405" t="str">
            <v>pc</v>
          </cell>
          <cell r="T405">
            <v>1</v>
          </cell>
          <cell r="U405">
            <v>15.312000000000001</v>
          </cell>
          <cell r="V405" t="str">
            <v>Ningbo Euchips Intelligent Technology Co., Ltd., PUP40T-1LMC-1200, Driver, 40W, ELV Dimming, Monochromatic, Puck Form, Constant Current, 850-1200mA, 1 Channel, 120V Input Voltage</v>
          </cell>
          <cell r="Y405">
            <v>13.92</v>
          </cell>
          <cell r="Z405">
            <v>1.52</v>
          </cell>
          <cell r="AA405">
            <v>1.5899999999999999</v>
          </cell>
        </row>
        <row r="406">
          <cell r="C406" t="str">
            <v>DR007EUC</v>
          </cell>
          <cell r="D406" t="str">
            <v>Drivers</v>
          </cell>
          <cell r="E406" t="str">
            <v>BKH,BHS,BXH</v>
          </cell>
          <cell r="H406" t="str">
            <v>36,42,48,54,60</v>
          </cell>
          <cell r="I406" t="str">
            <v>H</v>
          </cell>
          <cell r="K406" t="str">
            <v>E,L</v>
          </cell>
          <cell r="O406" t="str">
            <v>27,30,35,40</v>
          </cell>
          <cell r="Q406" t="str">
            <v>pc</v>
          </cell>
          <cell r="T406">
            <v>2</v>
          </cell>
          <cell r="U406">
            <v>15.312000000000001</v>
          </cell>
          <cell r="V406" t="str">
            <v>Ningbo Euchips Intelligent Technology Co., Ltd., PUP40T-1LMC-1200, Driver, 40W, ELV Dimming, Monochromatic, Puck Form, Constant Current, 850-1200mA, 1 Channel, 120V Input Voltage</v>
          </cell>
          <cell r="Y406">
            <v>13.92</v>
          </cell>
          <cell r="Z406">
            <v>1.52</v>
          </cell>
          <cell r="AA406">
            <v>1.5899999999999999</v>
          </cell>
        </row>
        <row r="407">
          <cell r="C407" t="str">
            <v>DR007EUC</v>
          </cell>
          <cell r="D407" t="str">
            <v>Drivers</v>
          </cell>
          <cell r="E407" t="str">
            <v>BIS,BIW,BOS,BOW,BJS,BJW</v>
          </cell>
          <cell r="H407" t="str">
            <v>12,18,24,30,36,42</v>
          </cell>
          <cell r="I407" t="str">
            <v>D</v>
          </cell>
          <cell r="K407" t="str">
            <v>E,L</v>
          </cell>
          <cell r="O407" t="str">
            <v>WD</v>
          </cell>
          <cell r="Q407" t="str">
            <v>pc</v>
          </cell>
          <cell r="T407">
            <v>1</v>
          </cell>
          <cell r="U407">
            <v>15.312000000000001</v>
          </cell>
          <cell r="V407" t="str">
            <v>Ningbo Euchips Intelligent Technology Co., Ltd., PUP40T-1LMC-1200, Driver, 40W, ELV Dimming, Monochromatic, Puck Form, Constant Current, 850-1200mA, 1 Channel, 120V Input Voltage</v>
          </cell>
          <cell r="Y407">
            <v>13.92</v>
          </cell>
          <cell r="Z407">
            <v>1.52</v>
          </cell>
          <cell r="AA407">
            <v>1.5899999999999999</v>
          </cell>
        </row>
        <row r="408">
          <cell r="C408" t="str">
            <v>DR007EUC</v>
          </cell>
          <cell r="D408" t="str">
            <v>Drivers</v>
          </cell>
          <cell r="E408" t="str">
            <v>BIS,BIW,BOS,BOW,BJS,BJW</v>
          </cell>
          <cell r="H408" t="str">
            <v>48,54,60</v>
          </cell>
          <cell r="I408" t="str">
            <v>D</v>
          </cell>
          <cell r="K408" t="str">
            <v>E,L</v>
          </cell>
          <cell r="O408" t="str">
            <v>WD</v>
          </cell>
          <cell r="Q408" t="str">
            <v>pc</v>
          </cell>
          <cell r="T408">
            <v>2</v>
          </cell>
          <cell r="U408">
            <v>15.312000000000001</v>
          </cell>
          <cell r="V408" t="str">
            <v>Ningbo Euchips Intelligent Technology Co., Ltd., PUP40T-1LMC-1200, Driver, 40W, ELV Dimming, Monochromatic, Puck Form, Constant Current, 850-1200mA, 1 Channel, 120V Input Voltage</v>
          </cell>
          <cell r="Y408">
            <v>13.92</v>
          </cell>
          <cell r="Z408">
            <v>1.52</v>
          </cell>
          <cell r="AA408">
            <v>1.5899999999999999</v>
          </cell>
        </row>
        <row r="409">
          <cell r="C409" t="str">
            <v>DR007EUC</v>
          </cell>
          <cell r="D409" t="str">
            <v>Drivers</v>
          </cell>
          <cell r="E409" t="str">
            <v>BIS,BIW,BOS,BOW,BJS,BJW</v>
          </cell>
          <cell r="H409" t="str">
            <v>12,18,24</v>
          </cell>
          <cell r="I409" t="str">
            <v>W</v>
          </cell>
          <cell r="K409" t="str">
            <v>E,L</v>
          </cell>
          <cell r="O409" t="str">
            <v>WD</v>
          </cell>
          <cell r="Q409" t="str">
            <v>pc</v>
          </cell>
          <cell r="T409">
            <v>1</v>
          </cell>
          <cell r="U409">
            <v>15.312000000000001</v>
          </cell>
          <cell r="V409" t="str">
            <v>Ningbo Euchips Intelligent Technology Co., Ltd., PUP40T-1LMC-1200, Driver, 40W, ELV Dimming, Monochromatic, Puck Form, Constant Current, 850-1200mA, 1 Channel, 120V Input Voltage</v>
          </cell>
          <cell r="Y409">
            <v>13.92</v>
          </cell>
          <cell r="Z409">
            <v>1.52</v>
          </cell>
          <cell r="AA409">
            <v>1.5899999999999999</v>
          </cell>
        </row>
        <row r="410">
          <cell r="C410" t="str">
            <v>DR007EUC</v>
          </cell>
          <cell r="D410" t="str">
            <v>Drivers</v>
          </cell>
          <cell r="E410" t="str">
            <v>BIS,BIW,BOS,BOW,BJS,BJW</v>
          </cell>
          <cell r="H410" t="str">
            <v>30,36,42,48</v>
          </cell>
          <cell r="I410" t="str">
            <v>W</v>
          </cell>
          <cell r="K410" t="str">
            <v>E,L</v>
          </cell>
          <cell r="O410" t="str">
            <v>WD</v>
          </cell>
          <cell r="Q410" t="str">
            <v>pc</v>
          </cell>
          <cell r="T410">
            <v>2</v>
          </cell>
          <cell r="U410">
            <v>15.312000000000001</v>
          </cell>
          <cell r="V410" t="str">
            <v>Ningbo Euchips Intelligent Technology Co., Ltd., PUP40T-1LMC-1200, Driver, 40W, ELV Dimming, Monochromatic, Puck Form, Constant Current, 850-1200mA, 1 Channel, 120V Input Voltage</v>
          </cell>
          <cell r="Y410">
            <v>13.92</v>
          </cell>
          <cell r="Z410">
            <v>1.52</v>
          </cell>
          <cell r="AA410">
            <v>1.5899999999999999</v>
          </cell>
        </row>
        <row r="411">
          <cell r="C411" t="str">
            <v>DR007EUC</v>
          </cell>
          <cell r="D411" t="str">
            <v>Drivers</v>
          </cell>
          <cell r="E411" t="str">
            <v>BIS,BIW,BOS,BOW,BJS,BJW</v>
          </cell>
          <cell r="H411" t="str">
            <v>54,60</v>
          </cell>
          <cell r="I411" t="str">
            <v>W</v>
          </cell>
          <cell r="K411" t="str">
            <v>E,L</v>
          </cell>
          <cell r="O411" t="str">
            <v>WD</v>
          </cell>
          <cell r="Q411" t="str">
            <v>pc</v>
          </cell>
          <cell r="T411">
            <v>3</v>
          </cell>
          <cell r="U411">
            <v>15.312000000000001</v>
          </cell>
          <cell r="V411" t="str">
            <v>Ningbo Euchips Intelligent Technology Co., Ltd., PUP40T-1LMC-1200, Driver, 40W, ELV Dimming, Monochromatic, Puck Form, Constant Current, 850-1200mA, 1 Channel, 120V Input Voltage</v>
          </cell>
          <cell r="Y411">
            <v>13.92</v>
          </cell>
          <cell r="Z411">
            <v>1.52</v>
          </cell>
          <cell r="AA411">
            <v>1.5899999999999999</v>
          </cell>
        </row>
        <row r="412">
          <cell r="C412" t="str">
            <v>DR008SUN</v>
          </cell>
          <cell r="D412" t="str">
            <v>Drivers</v>
          </cell>
          <cell r="E412" t="str">
            <v>BIS,BIW,BOS,BOW,BJS,BJW,BXO,BIO,BHO,BOO,BKO,BJO,BKH,BHS,BXH,BIK,BOK</v>
          </cell>
          <cell r="H412" t="str">
            <v>12,18,24,30</v>
          </cell>
          <cell r="I412" t="str">
            <v>L,M,H,V,D,W</v>
          </cell>
          <cell r="K412" t="str">
            <v>D,K</v>
          </cell>
          <cell r="O412" t="str">
            <v>27,30,35,40,WD</v>
          </cell>
          <cell r="Q412" t="str">
            <v>pc</v>
          </cell>
          <cell r="T412">
            <v>1</v>
          </cell>
          <cell r="U412">
            <v>14.850000000000001</v>
          </cell>
          <cell r="V412" t="str">
            <v>Shenzhen Sunricher Technology Co. Ltd, SRPL-2305N-50CC650-1300U, Driver, 50W, Dali DT6 Dimming, Monochromatic, Linear Form, Constant Current, 650-1300mA, 1 Channel, 220-240V Input Voltage</v>
          </cell>
          <cell r="Y412">
            <v>13.5</v>
          </cell>
          <cell r="Z412">
            <v>1.52</v>
          </cell>
          <cell r="AA412">
            <v>1.5899999999999999</v>
          </cell>
        </row>
        <row r="413">
          <cell r="C413" t="str">
            <v>DR008SUN</v>
          </cell>
          <cell r="D413" t="str">
            <v>Drivers</v>
          </cell>
          <cell r="E413" t="str">
            <v>BIS,BIW,BOS,BOW,BJS,BJW,BXO,BIO,BHO,BOO,BKO,BJO,BKH,BHS,BXH,BIK,BOK</v>
          </cell>
          <cell r="H413">
            <v>36</v>
          </cell>
          <cell r="I413" t="str">
            <v>L,M,H,D</v>
          </cell>
          <cell r="K413" t="str">
            <v>D,K</v>
          </cell>
          <cell r="O413" t="str">
            <v>27,30,35,40,WD</v>
          </cell>
          <cell r="Q413" t="str">
            <v>pc</v>
          </cell>
          <cell r="T413">
            <v>1</v>
          </cell>
          <cell r="U413">
            <v>14.850000000000001</v>
          </cell>
          <cell r="V413" t="str">
            <v>Shenzhen Sunricher Technology Co. Ltd, SRPL-2305N-50CC650-1300U, Driver, 50W, Dali DT6 Dimming, Monochromatic, Linear Form, Constant Current, 650-1300mA, 1 Channel, 220-240V Input Voltage</v>
          </cell>
          <cell r="Y413">
            <v>13.5</v>
          </cell>
          <cell r="Z413">
            <v>1.52</v>
          </cell>
          <cell r="AA413">
            <v>1.5899999999999999</v>
          </cell>
        </row>
        <row r="414">
          <cell r="C414" t="str">
            <v>DR008SUN</v>
          </cell>
          <cell r="D414" t="str">
            <v>Drivers</v>
          </cell>
          <cell r="E414" t="str">
            <v>BIS,BIW,BOS,BOW,BJS,BJW,BXO,BIO,BHO,BOO,BKO,BJO,BKH,BHS,BXH,BIK,BOK</v>
          </cell>
          <cell r="H414">
            <v>36</v>
          </cell>
          <cell r="I414" t="str">
            <v>V,W</v>
          </cell>
          <cell r="K414" t="str">
            <v>D,K</v>
          </cell>
          <cell r="O414" t="str">
            <v>27,30,35,40,WD</v>
          </cell>
          <cell r="Q414" t="str">
            <v>pc</v>
          </cell>
          <cell r="T414">
            <v>2</v>
          </cell>
          <cell r="U414">
            <v>14.850000000000001</v>
          </cell>
          <cell r="V414" t="str">
            <v>Shenzhen Sunricher Technology Co. Ltd, SRPL-2305N-50CC650-1300U, Driver, 50W, Dali DT6 Dimming, Monochromatic, Linear Form, Constant Current, 650-1300mA, 1 Channel, 220-240V Input Voltage</v>
          </cell>
          <cell r="Y414">
            <v>13.5</v>
          </cell>
          <cell r="Z414">
            <v>1.52</v>
          </cell>
          <cell r="AA414">
            <v>1.5899999999999999</v>
          </cell>
        </row>
        <row r="415">
          <cell r="C415" t="str">
            <v>DR008SUN</v>
          </cell>
          <cell r="D415" t="str">
            <v>Drivers</v>
          </cell>
          <cell r="E415" t="str">
            <v>BIS,BIW,BOS,BOW,BJS,BJW,BXO,BIO,BHO,BOO,BKO,BJO,BKH,BHS,BXH,BIK,BOK</v>
          </cell>
          <cell r="H415">
            <v>42</v>
          </cell>
          <cell r="I415" t="str">
            <v>L,M,W</v>
          </cell>
          <cell r="K415" t="str">
            <v>D,K</v>
          </cell>
          <cell r="O415" t="str">
            <v>27,30,35,40,WD</v>
          </cell>
          <cell r="Q415" t="str">
            <v>pc</v>
          </cell>
          <cell r="T415">
            <v>1</v>
          </cell>
          <cell r="U415">
            <v>14.850000000000001</v>
          </cell>
          <cell r="V415" t="str">
            <v>Shenzhen Sunricher Technology Co. Ltd, SRPL-2305N-50CC650-1300U, Driver, 50W, Dali DT6 Dimming, Monochromatic, Linear Form, Constant Current, 650-1300mA, 1 Channel, 220-240V Input Voltage</v>
          </cell>
          <cell r="Y415">
            <v>13.5</v>
          </cell>
          <cell r="Z415">
            <v>1.52</v>
          </cell>
          <cell r="AA415">
            <v>1.5899999999999999</v>
          </cell>
        </row>
        <row r="416">
          <cell r="C416" t="str">
            <v>DR008SUN</v>
          </cell>
          <cell r="D416" t="str">
            <v>Drivers</v>
          </cell>
          <cell r="E416" t="str">
            <v>BIS,BIW,BOS,BOW,BJS,BJW,BXO,BIO,BHO,BOO,BKO,BJO,BKH,BHS,BXH,BIK,BOK</v>
          </cell>
          <cell r="H416">
            <v>42</v>
          </cell>
          <cell r="I416" t="str">
            <v>H,V,W</v>
          </cell>
          <cell r="K416" t="str">
            <v>D,K</v>
          </cell>
          <cell r="O416" t="str">
            <v>27,30,35,40,WD</v>
          </cell>
          <cell r="Q416" t="str">
            <v>pc</v>
          </cell>
          <cell r="T416">
            <v>2</v>
          </cell>
          <cell r="U416">
            <v>14.850000000000001</v>
          </cell>
          <cell r="V416" t="str">
            <v>Shenzhen Sunricher Technology Co. Ltd, SRPL-2305N-50CC650-1300U, Driver, 50W, Dali DT6 Dimming, Monochromatic, Linear Form, Constant Current, 650-1300mA, 1 Channel, 220-240V Input Voltage</v>
          </cell>
          <cell r="Y416">
            <v>13.5</v>
          </cell>
          <cell r="Z416">
            <v>1.52</v>
          </cell>
          <cell r="AA416">
            <v>1.5899999999999999</v>
          </cell>
        </row>
        <row r="417">
          <cell r="C417" t="str">
            <v>DR008SUN</v>
          </cell>
          <cell r="D417" t="str">
            <v>Drivers</v>
          </cell>
          <cell r="E417" t="str">
            <v>BIS,BIW,BOS,BOW,BJS,BJW,BXO,BIO,BHO,BOO,BKO,BJO,BKH,BHS,BXH,BIK,BOK</v>
          </cell>
          <cell r="H417" t="str">
            <v>48,54</v>
          </cell>
          <cell r="I417" t="str">
            <v>L,M,D</v>
          </cell>
          <cell r="K417" t="str">
            <v>D,K</v>
          </cell>
          <cell r="O417" t="str">
            <v>27,30,35,40,WD</v>
          </cell>
          <cell r="Q417" t="str">
            <v>pc</v>
          </cell>
          <cell r="T417">
            <v>1</v>
          </cell>
          <cell r="U417">
            <v>14.850000000000001</v>
          </cell>
          <cell r="V417" t="str">
            <v>Shenzhen Sunricher Technology Co. Ltd, SRPL-2305N-50CC650-1300U, Driver, 50W, Dali DT6 Dimming, Monochromatic, Linear Form, Constant Current, 650-1300mA, 1 Channel, 220-240V Input Voltage</v>
          </cell>
          <cell r="Y417">
            <v>13.5</v>
          </cell>
          <cell r="Z417">
            <v>1.52</v>
          </cell>
          <cell r="AA417">
            <v>1.5899999999999999</v>
          </cell>
        </row>
        <row r="418">
          <cell r="C418" t="str">
            <v>DR008SUN</v>
          </cell>
          <cell r="D418" t="str">
            <v>Drivers</v>
          </cell>
          <cell r="E418" t="str">
            <v>BIS,BIW,BOS,BOW,BJS,BJW,BXO,BIO,BHO,BOO,BKO,BJO,BKH,BHS,BXH,BIK,BOK</v>
          </cell>
          <cell r="H418">
            <v>48</v>
          </cell>
          <cell r="I418" t="str">
            <v>H,V,W</v>
          </cell>
          <cell r="K418" t="str">
            <v>D,K</v>
          </cell>
          <cell r="O418" t="str">
            <v>27,30,35,40,WD</v>
          </cell>
          <cell r="Q418" t="str">
            <v>pc</v>
          </cell>
          <cell r="T418">
            <v>2</v>
          </cell>
          <cell r="U418">
            <v>14.850000000000001</v>
          </cell>
          <cell r="V418" t="str">
            <v>Shenzhen Sunricher Technology Co. Ltd, SRPL-2305N-50CC650-1300U, Driver, 50W, Dali DT6 Dimming, Monochromatic, Linear Form, Constant Current, 650-1300mA, 1 Channel, 220-240V Input Voltage</v>
          </cell>
          <cell r="Y418">
            <v>13.5</v>
          </cell>
          <cell r="Z418">
            <v>1.52</v>
          </cell>
          <cell r="AA418">
            <v>1.5899999999999999</v>
          </cell>
        </row>
        <row r="419">
          <cell r="C419" t="str">
            <v>DR008SUN</v>
          </cell>
          <cell r="D419" t="str">
            <v>Drivers</v>
          </cell>
          <cell r="E419" t="str">
            <v>BIS,BIW,BOS,BOW,BJS,BJW,BXO,BIO,BHO,BOO,BKO,BJO,BKH,BHS,BXH,BIK,BOK</v>
          </cell>
          <cell r="H419">
            <v>54</v>
          </cell>
          <cell r="I419" t="str">
            <v>M,H,D,W</v>
          </cell>
          <cell r="K419" t="str">
            <v>D,K</v>
          </cell>
          <cell r="O419" t="str">
            <v>27,30,35,40,WD</v>
          </cell>
          <cell r="Q419" t="str">
            <v>pc</v>
          </cell>
          <cell r="T419">
            <v>2</v>
          </cell>
          <cell r="U419">
            <v>14.850000000000001</v>
          </cell>
          <cell r="V419" t="str">
            <v>Shenzhen Sunricher Technology Co. Ltd, SRPL-2305N-50CC650-1300U, Driver, 50W, Dali DT6 Dimming, Monochromatic, Linear Form, Constant Current, 650-1300mA, 1 Channel, 220-240V Input Voltage</v>
          </cell>
          <cell r="Y419">
            <v>13.5</v>
          </cell>
          <cell r="Z419">
            <v>1.52</v>
          </cell>
          <cell r="AA419">
            <v>1.5899999999999999</v>
          </cell>
        </row>
        <row r="420">
          <cell r="C420" t="str">
            <v>DR008SUN</v>
          </cell>
          <cell r="D420" t="str">
            <v>Drivers</v>
          </cell>
          <cell r="E420" t="str">
            <v>BIS,BIW,BOS,BOW,BJS,BJW,BXO,BIO,BHO,BOO,BKO,BJO,BKH,BHS,BXH,BIK,BOK</v>
          </cell>
          <cell r="H420">
            <v>54</v>
          </cell>
          <cell r="I420" t="str">
            <v>V,W</v>
          </cell>
          <cell r="K420" t="str">
            <v>D,K</v>
          </cell>
          <cell r="O420" t="str">
            <v>27,30,35,40,WD</v>
          </cell>
          <cell r="Q420" t="str">
            <v>pc</v>
          </cell>
          <cell r="T420">
            <v>3</v>
          </cell>
          <cell r="U420">
            <v>14.850000000000001</v>
          </cell>
          <cell r="V420" t="str">
            <v>Shenzhen Sunricher Technology Co. Ltd, SRPL-2305N-50CC650-1300U, Driver, 50W, Dali DT6 Dimming, Monochromatic, Linear Form, Constant Current, 650-1300mA, 1 Channel, 220-240V Input Voltage</v>
          </cell>
          <cell r="Y420">
            <v>13.5</v>
          </cell>
          <cell r="Z420">
            <v>1.52</v>
          </cell>
          <cell r="AA420">
            <v>1.5899999999999999</v>
          </cell>
        </row>
        <row r="421">
          <cell r="C421" t="str">
            <v>DR008SUN</v>
          </cell>
          <cell r="D421" t="str">
            <v>Drivers</v>
          </cell>
          <cell r="E421" t="str">
            <v>BIS,BIW,BOS,BOW,BJS,BJW,BXO,BIO,BHO,BOO,BKO,BJO,BKH,BHS,BXH,BIK,BOK</v>
          </cell>
          <cell r="H421">
            <v>60</v>
          </cell>
          <cell r="I421" t="str">
            <v>L,M,H,D,W</v>
          </cell>
          <cell r="K421" t="str">
            <v>D,K</v>
          </cell>
          <cell r="O421" t="str">
            <v>27,30,35,40,WD</v>
          </cell>
          <cell r="Q421" t="str">
            <v>pc</v>
          </cell>
          <cell r="T421">
            <v>2</v>
          </cell>
          <cell r="U421">
            <v>14.850000000000001</v>
          </cell>
          <cell r="V421" t="str">
            <v>Shenzhen Sunricher Technology Co. Ltd, SRPL-2305N-50CC650-1300U, Driver, 50W, Dali DT6 Dimming, Monochromatic, Linear Form, Constant Current, 650-1300mA, 1 Channel, 220-240V Input Voltage</v>
          </cell>
          <cell r="Y421">
            <v>13.5</v>
          </cell>
          <cell r="Z421">
            <v>1.52</v>
          </cell>
          <cell r="AA421">
            <v>1.5899999999999999</v>
          </cell>
        </row>
        <row r="422">
          <cell r="C422" t="str">
            <v>DR008SUN</v>
          </cell>
          <cell r="D422" t="str">
            <v>Drivers</v>
          </cell>
          <cell r="E422" t="str">
            <v>BIS,BIW,BOS,BOW,BJS,BJW,BXO,BIO,BHO,BOO,BKO,BJO,BKH,BHS,BXH,BIK,BOK</v>
          </cell>
          <cell r="H422">
            <v>60</v>
          </cell>
          <cell r="I422" t="str">
            <v>V,W</v>
          </cell>
          <cell r="K422" t="str">
            <v>D,K</v>
          </cell>
          <cell r="O422" t="str">
            <v>27,30,35,40,WD</v>
          </cell>
          <cell r="Q422" t="str">
            <v>pc</v>
          </cell>
          <cell r="T422">
            <v>3</v>
          </cell>
          <cell r="U422">
            <v>14.850000000000001</v>
          </cell>
          <cell r="V422" t="str">
            <v>Shenzhen Sunricher Technology Co. Ltd, SRPL-2305N-50CC650-1300U, Driver, 50W, Dali DT6 Dimming, Monochromatic, Linear Form, Constant Current, 650-1300mA, 1 Channel, 220-240V Input Voltage</v>
          </cell>
          <cell r="Y422">
            <v>13.5</v>
          </cell>
          <cell r="Z422">
            <v>1.52</v>
          </cell>
          <cell r="AA422">
            <v>1.5899999999999999</v>
          </cell>
        </row>
        <row r="423">
          <cell r="C423" t="str">
            <v>DR009SUN</v>
          </cell>
          <cell r="D423" t="str">
            <v>Drivers</v>
          </cell>
          <cell r="E423" t="str">
            <v>BKH,BHS,BXH</v>
          </cell>
          <cell r="H423" t="str">
            <v>12,18,24,30,36,42</v>
          </cell>
          <cell r="I423" t="str">
            <v>U</v>
          </cell>
          <cell r="K423" t="str">
            <v>D,K</v>
          </cell>
          <cell r="O423" t="str">
            <v>TW</v>
          </cell>
          <cell r="Q423" t="str">
            <v>pc</v>
          </cell>
          <cell r="T423">
            <v>1</v>
          </cell>
          <cell r="U423">
            <v>14.850000000000001</v>
          </cell>
          <cell r="V423" t="str">
            <v>Shenzhen Sunricher Technology Co. Ltd, SRPL-2309N-50CCT650-1300U, Driver, 50W, Dali DT8 Dimming, Tunable White, Linear Form, Constant Current, 650-1300mA, 2 Channel, 220-240V Input Voltage</v>
          </cell>
          <cell r="Y423">
            <v>13.5</v>
          </cell>
          <cell r="Z423">
            <v>1.52</v>
          </cell>
          <cell r="AA423">
            <v>1.5899999999999999</v>
          </cell>
        </row>
        <row r="424">
          <cell r="C424" t="str">
            <v>DR009SUN</v>
          </cell>
          <cell r="D424" t="str">
            <v>Drivers</v>
          </cell>
          <cell r="E424" t="str">
            <v>BKH,BHS,BXH,BIO,BOO,BHO,BXO</v>
          </cell>
          <cell r="H424" t="str">
            <v>48,54,60</v>
          </cell>
          <cell r="I424" t="str">
            <v>U</v>
          </cell>
          <cell r="K424" t="str">
            <v>D,K</v>
          </cell>
          <cell r="O424" t="str">
            <v>TW</v>
          </cell>
          <cell r="Q424" t="str">
            <v>pc</v>
          </cell>
          <cell r="T424">
            <v>2</v>
          </cell>
          <cell r="U424">
            <v>14.850000000000001</v>
          </cell>
          <cell r="V424" t="str">
            <v>Shenzhen Sunricher Technology Co. Ltd, SRPL-2309N-50CCT650-1300U, Driver, 50W, Dali DT8 Dimming, Tunable White, Linear Form, Constant Current, 650-1300mA, 2 Channel, 220-240V Input Voltage</v>
          </cell>
          <cell r="Y424">
            <v>13.5</v>
          </cell>
          <cell r="Z424">
            <v>1.52</v>
          </cell>
          <cell r="AA424">
            <v>1.5899999999999999</v>
          </cell>
        </row>
        <row r="425">
          <cell r="C425" t="str">
            <v>DR009SUN</v>
          </cell>
          <cell r="D425" t="str">
            <v>Drivers</v>
          </cell>
          <cell r="E425" t="str">
            <v>BKH,BHS,BXH,BIS,BIW,BOS,BOW,BJS,BJW</v>
          </cell>
          <cell r="H425" t="str">
            <v>12,18,24</v>
          </cell>
          <cell r="I425" t="str">
            <v>A</v>
          </cell>
          <cell r="K425" t="str">
            <v>D,K</v>
          </cell>
          <cell r="O425" t="str">
            <v>TW</v>
          </cell>
          <cell r="Q425" t="str">
            <v>pc</v>
          </cell>
          <cell r="T425">
            <v>1</v>
          </cell>
          <cell r="U425">
            <v>14.850000000000001</v>
          </cell>
          <cell r="V425" t="str">
            <v>Shenzhen Sunricher Technology Co. Ltd, SRPL-2309N-50CCT650-1300U, Driver, 50W, Dali DT8 Dimming, Tunable White, Linear Form, Constant Current, 650-1300mA, 2 Channel, 220-240V Input Voltage</v>
          </cell>
          <cell r="Y425">
            <v>13.5</v>
          </cell>
          <cell r="Z425">
            <v>1.52</v>
          </cell>
          <cell r="AA425">
            <v>1.5899999999999999</v>
          </cell>
        </row>
        <row r="426">
          <cell r="C426" t="str">
            <v>DR009SUN</v>
          </cell>
          <cell r="D426" t="str">
            <v>Drivers</v>
          </cell>
          <cell r="E426" t="str">
            <v>BKH,BHS,BXH,BIS,BIW,BOS,BOW,BJS,BJW,BIO,BOO,BHO,BXO</v>
          </cell>
          <cell r="H426" t="str">
            <v>30,36,42,48</v>
          </cell>
          <cell r="I426" t="str">
            <v>A</v>
          </cell>
          <cell r="K426" t="str">
            <v>D,K</v>
          </cell>
          <cell r="O426" t="str">
            <v>TW</v>
          </cell>
          <cell r="Q426" t="str">
            <v>pc</v>
          </cell>
          <cell r="T426">
            <v>2</v>
          </cell>
          <cell r="U426">
            <v>14.850000000000001</v>
          </cell>
          <cell r="V426" t="str">
            <v>Shenzhen Sunricher Technology Co. Ltd, SRPL-2309N-50CCT650-1300U, Driver, 50W, Dali DT8 Dimming, Tunable White, Linear Form, Constant Current, 650-1300mA, 2 Channel, 220-240V Input Voltage</v>
          </cell>
          <cell r="Y426">
            <v>13.5</v>
          </cell>
          <cell r="Z426">
            <v>1.52</v>
          </cell>
          <cell r="AA426">
            <v>1.5899999999999999</v>
          </cell>
        </row>
        <row r="427">
          <cell r="C427" t="str">
            <v>DR009SUN</v>
          </cell>
          <cell r="D427" t="str">
            <v>Drivers</v>
          </cell>
          <cell r="E427" t="str">
            <v>BKH,BHS,BXH,BIS,BIW,BOS,BOW,BJS,BJW</v>
          </cell>
          <cell r="H427" t="str">
            <v>54,60</v>
          </cell>
          <cell r="I427" t="str">
            <v>A</v>
          </cell>
          <cell r="K427" t="str">
            <v>D,K</v>
          </cell>
          <cell r="O427" t="str">
            <v>TW</v>
          </cell>
          <cell r="Q427" t="str">
            <v>pc</v>
          </cell>
          <cell r="T427">
            <v>3</v>
          </cell>
          <cell r="U427">
            <v>14.850000000000001</v>
          </cell>
          <cell r="V427" t="str">
            <v>Shenzhen Sunricher Technology Co. Ltd, SRPL-2309N-50CCT650-1300U, Driver, 50W, Dali DT8 Dimming, Tunable White, Linear Form, Constant Current, 650-1300mA, 2 Channel, 220-240V Input Voltage</v>
          </cell>
          <cell r="Y427">
            <v>13.5</v>
          </cell>
          <cell r="Z427">
            <v>1.52</v>
          </cell>
          <cell r="AA427">
            <v>1.5899999999999999</v>
          </cell>
        </row>
        <row r="428">
          <cell r="C428" t="str">
            <v>DR009SUN</v>
          </cell>
          <cell r="D428" t="str">
            <v>Drivers</v>
          </cell>
          <cell r="E428" t="str">
            <v>BIS,BIW,BOS,BOW,BJS,BJW</v>
          </cell>
          <cell r="H428" t="str">
            <v>12,18,24,30,36</v>
          </cell>
          <cell r="I428" t="str">
            <v>U</v>
          </cell>
          <cell r="K428" t="str">
            <v>D,K</v>
          </cell>
          <cell r="O428" t="str">
            <v>TW</v>
          </cell>
          <cell r="Q428" t="str">
            <v>pc</v>
          </cell>
          <cell r="T428">
            <v>1</v>
          </cell>
          <cell r="U428">
            <v>14.850000000000001</v>
          </cell>
          <cell r="V428" t="str">
            <v>Shenzhen Sunricher Technology Co. Ltd, SRPL-2309N-50CCT650-1300U, Driver, 50W, Dali DT8 Dimming, Tunable White, Linear Form, Constant Current, 650-1300mA, 2 Channel, 220-240V Input Voltage</v>
          </cell>
          <cell r="Y428">
            <v>13.5</v>
          </cell>
          <cell r="Z428">
            <v>1.52</v>
          </cell>
          <cell r="AA428">
            <v>1.5899999999999999</v>
          </cell>
        </row>
        <row r="429">
          <cell r="C429" t="str">
            <v>DR009SUN</v>
          </cell>
          <cell r="D429" t="str">
            <v>Drivers</v>
          </cell>
          <cell r="E429" t="str">
            <v>BIS,BIW,BOS,BOW,BJS,BJW</v>
          </cell>
          <cell r="H429" t="str">
            <v>42,48,54,60</v>
          </cell>
          <cell r="I429" t="str">
            <v>U</v>
          </cell>
          <cell r="K429" t="str">
            <v>D,K</v>
          </cell>
          <cell r="O429" t="str">
            <v>TW</v>
          </cell>
          <cell r="Q429" t="str">
            <v>pc</v>
          </cell>
          <cell r="T429">
            <v>2</v>
          </cell>
          <cell r="U429">
            <v>14.850000000000001</v>
          </cell>
          <cell r="V429" t="str">
            <v>Shenzhen Sunricher Technology Co. Ltd, SRPL-2309N-50CCT650-1300U, Driver, 50W, Dali DT8 Dimming, Tunable White, Linear Form, Constant Current, 650-1300mA, 2 Channel, 220-240V Input Voltage</v>
          </cell>
          <cell r="Y429">
            <v>13.5</v>
          </cell>
          <cell r="Z429">
            <v>1.52</v>
          </cell>
          <cell r="AA429">
            <v>1.5899999999999999</v>
          </cell>
        </row>
        <row r="430">
          <cell r="C430" t="str">
            <v>DR072SUN</v>
          </cell>
          <cell r="D430" t="str">
            <v>Drivers</v>
          </cell>
          <cell r="E430" t="str">
            <v>BIS,BIW,BOS,BOW,BJS,BJW,BXO,BIO,BHO,BOO,BKO,BJO,BIK,BOK</v>
          </cell>
          <cell r="H430" t="str">
            <v>12,18,24,30,36,42,48</v>
          </cell>
          <cell r="I430" t="str">
            <v>L,M,H,D,W</v>
          </cell>
          <cell r="K430" t="str">
            <v>F,M</v>
          </cell>
          <cell r="O430" t="str">
            <v>27,30,35,40,WD</v>
          </cell>
          <cell r="Q430" t="str">
            <v>pc</v>
          </cell>
          <cell r="T430">
            <v>1</v>
          </cell>
          <cell r="U430">
            <v>27.500000000000004</v>
          </cell>
          <cell r="V430" t="str">
            <v>Shenzhen Sunricher Technology Co. Ltd, SRPL-2108-75CCT, Driver, 75W, DMX Dimming, Tunable White, Linear Form, Constant Current, 250-1500mA, 2 Channel, 100-277V Input Voltage</v>
          </cell>
          <cell r="Y430">
            <v>25</v>
          </cell>
          <cell r="Z430">
            <v>1.52</v>
          </cell>
          <cell r="AA430">
            <v>1.5899999999999999</v>
          </cell>
        </row>
        <row r="431">
          <cell r="C431" t="str">
            <v>DR072SUN</v>
          </cell>
          <cell r="D431" t="str">
            <v>Drivers</v>
          </cell>
          <cell r="E431" t="str">
            <v>BIS,BIW,BOS,BOW,BJS,BJW,BXO,BIO,BHO,BOO,BKO,BJO,BIK,BOK</v>
          </cell>
          <cell r="H431">
            <v>54</v>
          </cell>
          <cell r="I431" t="str">
            <v>L,M,H,D,W</v>
          </cell>
          <cell r="K431" t="str">
            <v>F,M</v>
          </cell>
          <cell r="O431" t="str">
            <v>27,30,35,40,WD</v>
          </cell>
          <cell r="Q431" t="str">
            <v>pc</v>
          </cell>
          <cell r="T431">
            <v>2</v>
          </cell>
          <cell r="U431">
            <v>27.500000000000004</v>
          </cell>
          <cell r="V431" t="str">
            <v>Shenzhen Sunricher Technology Co. Ltd, SRPL-2108-75CCT, Driver, 75W, DMX Dimming, Tunable White, Linear Form, Constant Current, 250-1500mA, 2 Channel, 100-277V Input Voltage</v>
          </cell>
          <cell r="Y431">
            <v>25</v>
          </cell>
          <cell r="Z431">
            <v>1.52</v>
          </cell>
          <cell r="AA431">
            <v>1.5899999999999999</v>
          </cell>
        </row>
        <row r="432">
          <cell r="C432" t="str">
            <v>DR072SUN</v>
          </cell>
          <cell r="D432" t="str">
            <v>Drivers</v>
          </cell>
          <cell r="E432" t="str">
            <v>BIS,BIW,BOS,BOW,BJS,BJW,BXO,BIO,BHO,BOO,BKO,BJO,BIK,BOK</v>
          </cell>
          <cell r="H432">
            <v>60</v>
          </cell>
          <cell r="I432" t="str">
            <v>L,M,D</v>
          </cell>
          <cell r="K432" t="str">
            <v>F,M</v>
          </cell>
          <cell r="O432" t="str">
            <v>27,30,35,40,WD</v>
          </cell>
          <cell r="Q432" t="str">
            <v>pc</v>
          </cell>
          <cell r="T432">
            <v>1</v>
          </cell>
          <cell r="U432">
            <v>27.500000000000004</v>
          </cell>
          <cell r="V432" t="str">
            <v>Shenzhen Sunricher Technology Co. Ltd, SRPL-2108-75CCT, Driver, 75W, DMX Dimming, Tunable White, Linear Form, Constant Current, 250-1500mA, 2 Channel, 100-277V Input Voltage</v>
          </cell>
          <cell r="Y432">
            <v>25</v>
          </cell>
          <cell r="Z432">
            <v>1.52</v>
          </cell>
          <cell r="AA432">
            <v>1.5899999999999999</v>
          </cell>
        </row>
        <row r="433">
          <cell r="C433" t="str">
            <v>DR072SUN</v>
          </cell>
          <cell r="D433" t="str">
            <v>Drivers</v>
          </cell>
          <cell r="E433" t="str">
            <v>BIS,BIW,BOS,BOW,BJS,BJW,BXO,BIO,BHO,BOO,BKO,BJO,BIK,BOK</v>
          </cell>
          <cell r="H433">
            <v>60</v>
          </cell>
          <cell r="I433" t="str">
            <v>H,W</v>
          </cell>
          <cell r="K433" t="str">
            <v>F,M</v>
          </cell>
          <cell r="O433" t="str">
            <v>27,30,35,40,WD</v>
          </cell>
          <cell r="Q433" t="str">
            <v>pc</v>
          </cell>
          <cell r="T433">
            <v>2</v>
          </cell>
          <cell r="U433">
            <v>27.500000000000004</v>
          </cell>
          <cell r="V433" t="str">
            <v>Shenzhen Sunricher Technology Co. Ltd, SRPL-2108-75CCT, Driver, 75W, DMX Dimming, Tunable White, Linear Form, Constant Current, 250-1500mA, 2 Channel, 100-277V Input Voltage</v>
          </cell>
          <cell r="Y433">
            <v>25</v>
          </cell>
          <cell r="Z433">
            <v>1.52</v>
          </cell>
          <cell r="AA433">
            <v>1.5899999999999999</v>
          </cell>
        </row>
        <row r="434">
          <cell r="C434" t="str">
            <v>DR072SUN</v>
          </cell>
          <cell r="D434" t="str">
            <v>Drivers</v>
          </cell>
          <cell r="E434" t="str">
            <v>BKH,BHS,BXH</v>
          </cell>
          <cell r="H434" t="str">
            <v>12,18,24,30,36</v>
          </cell>
          <cell r="I434" t="str">
            <v>U,A</v>
          </cell>
          <cell r="K434" t="str">
            <v>F,M</v>
          </cell>
          <cell r="O434" t="str">
            <v>TW</v>
          </cell>
          <cell r="Q434" t="str">
            <v>pc</v>
          </cell>
          <cell r="T434">
            <v>1</v>
          </cell>
          <cell r="U434">
            <v>27.500000000000004</v>
          </cell>
          <cell r="V434" t="str">
            <v>Shenzhen Sunricher Technology Co. Ltd, SRPL-2108-75CCT, Driver, 75W, DMX Dimming, Tunable White, Linear Form, Constant Current, 250-1500mA, 2 Channel, 100-277V Input Voltage</v>
          </cell>
          <cell r="Y434">
            <v>25</v>
          </cell>
          <cell r="Z434">
            <v>1.52</v>
          </cell>
          <cell r="AA434">
            <v>1.5899999999999999</v>
          </cell>
        </row>
        <row r="435">
          <cell r="C435" t="str">
            <v>DR072SUN</v>
          </cell>
          <cell r="D435" t="str">
            <v>Drivers</v>
          </cell>
          <cell r="E435" t="str">
            <v>BKH,BHS,BXH</v>
          </cell>
          <cell r="H435" t="str">
            <v>42,48,54,60</v>
          </cell>
          <cell r="I435" t="str">
            <v>U,A</v>
          </cell>
          <cell r="K435" t="str">
            <v>F,M</v>
          </cell>
          <cell r="O435" t="str">
            <v>TW</v>
          </cell>
          <cell r="Q435" t="str">
            <v>pc</v>
          </cell>
          <cell r="T435">
            <v>2</v>
          </cell>
          <cell r="U435">
            <v>27.500000000000004</v>
          </cell>
          <cell r="V435" t="str">
            <v>Shenzhen Sunricher Technology Co. Ltd, SRPL-2108-75CCT, Driver, 75W, DMX Dimming, Tunable White, Linear Form, Constant Current, 250-1500mA, 2 Channel, 100-277V Input Voltage</v>
          </cell>
          <cell r="Y435">
            <v>25</v>
          </cell>
          <cell r="Z435">
            <v>1.52</v>
          </cell>
          <cell r="AA435">
            <v>1.5899999999999999</v>
          </cell>
        </row>
        <row r="436">
          <cell r="C436" t="str">
            <v>DR072SUN</v>
          </cell>
          <cell r="D436" t="str">
            <v>Drivers</v>
          </cell>
          <cell r="E436" t="str">
            <v>BIS,BIW,BOS,BOW,BJS,BJW,BXO,BIO,BHO,BOO,BKO,BJO,BIK,BOK</v>
          </cell>
          <cell r="H436" t="str">
            <v>12,24</v>
          </cell>
          <cell r="I436" t="str">
            <v>U,A</v>
          </cell>
          <cell r="K436" t="str">
            <v>F,M</v>
          </cell>
          <cell r="O436" t="str">
            <v>TW</v>
          </cell>
          <cell r="Q436" t="str">
            <v>pc</v>
          </cell>
          <cell r="T436">
            <v>1</v>
          </cell>
          <cell r="U436">
            <v>27.500000000000004</v>
          </cell>
          <cell r="V436" t="str">
            <v>Shenzhen Sunricher Technology Co. Ltd, SRPL-2108-75CCT, Driver, 75W, DMX Dimming, Tunable White, Linear Form, Constant Current, 250-1500mA, 2 Channel, 100-277V Input Voltage</v>
          </cell>
          <cell r="Y436">
            <v>25</v>
          </cell>
          <cell r="Z436">
            <v>1.52</v>
          </cell>
          <cell r="AA436">
            <v>1.5899999999999999</v>
          </cell>
        </row>
        <row r="437">
          <cell r="C437" t="str">
            <v>DR072SUN</v>
          </cell>
          <cell r="D437" t="str">
            <v>Drivers</v>
          </cell>
          <cell r="E437" t="str">
            <v>BIS,BIW,BOS,BOW,BJS,BJW,BXO,BIO,BHO,BOO,BKO,BJO,BIK,BOK</v>
          </cell>
          <cell r="H437" t="str">
            <v>36,48</v>
          </cell>
          <cell r="I437" t="str">
            <v>U,A</v>
          </cell>
          <cell r="K437" t="str">
            <v>F,M</v>
          </cell>
          <cell r="O437" t="str">
            <v>TW</v>
          </cell>
          <cell r="Q437" t="str">
            <v>pc</v>
          </cell>
          <cell r="T437">
            <v>2</v>
          </cell>
          <cell r="U437">
            <v>27.500000000000004</v>
          </cell>
          <cell r="V437" t="str">
            <v>Shenzhen Sunricher Technology Co. Ltd, SRPL-2108-75CCT, Driver, 75W, DMX Dimming, Tunable White, Linear Form, Constant Current, 250-1500mA, 2 Channel, 100-277V Input Voltage</v>
          </cell>
          <cell r="Y437">
            <v>25</v>
          </cell>
          <cell r="Z437">
            <v>1.52</v>
          </cell>
          <cell r="AA437">
            <v>1.5899999999999999</v>
          </cell>
        </row>
        <row r="438">
          <cell r="C438" t="str">
            <v>DR072SUN</v>
          </cell>
          <cell r="D438" t="str">
            <v>Drivers</v>
          </cell>
          <cell r="E438" t="str">
            <v>BIS,BIW,BOS,BOW,BJS,BJW,BXO,BIO,BHO,BOO,BKO,BJO,BIK,BOK</v>
          </cell>
          <cell r="H438">
            <v>60</v>
          </cell>
          <cell r="I438" t="str">
            <v>U,A</v>
          </cell>
          <cell r="K438" t="str">
            <v>F,M</v>
          </cell>
          <cell r="O438" t="str">
            <v>TW</v>
          </cell>
          <cell r="Q438" t="str">
            <v>pc</v>
          </cell>
          <cell r="T438">
            <v>3</v>
          </cell>
          <cell r="U438">
            <v>27.500000000000004</v>
          </cell>
          <cell r="V438" t="str">
            <v>Shenzhen Sunricher Technology Co. Ltd, SRPL-2108-75CCT, Driver, 75W, DMX Dimming, Tunable White, Linear Form, Constant Current, 250-1500mA, 2 Channel, 100-277V Input Voltage</v>
          </cell>
          <cell r="Y438">
            <v>25</v>
          </cell>
          <cell r="Z438">
            <v>1.52</v>
          </cell>
          <cell r="AA438">
            <v>1.5899999999999999</v>
          </cell>
        </row>
        <row r="439">
          <cell r="C439" t="str">
            <v>DR011EUC</v>
          </cell>
          <cell r="D439" t="str">
            <v>Drivers</v>
          </cell>
          <cell r="E439" t="str">
            <v>BIS,BIW,BOS,BOW,BJS,BJW,BXO,BIO,BHO,BOO,BKO,BJO,BIK,BOK,BOP</v>
          </cell>
          <cell r="H439" t="str">
            <v>12,18,24,30</v>
          </cell>
          <cell r="I439" t="str">
            <v>H,W</v>
          </cell>
          <cell r="K439" t="str">
            <v>C,J</v>
          </cell>
          <cell r="O439" t="str">
            <v>27,30,35,40,WD</v>
          </cell>
          <cell r="Q439" t="str">
            <v>pc</v>
          </cell>
          <cell r="T439">
            <v>1</v>
          </cell>
          <cell r="U439">
            <v>21.450000000000003</v>
          </cell>
          <cell r="V439" t="str">
            <v>Ningbo Euchips Intelligent Technology Co., Ltd., PUP40A-1WMC-1200, Driver, 40W, 0-10V to 0.1% Dimming, Monochromatic, Puck Form, Constant Current, 850-1200mA, 1 Channel, 120-277V Input Voltage</v>
          </cell>
          <cell r="Y439">
            <v>19.5</v>
          </cell>
          <cell r="Z439">
            <v>1.52</v>
          </cell>
          <cell r="AA439">
            <v>1.5899999999999999</v>
          </cell>
        </row>
        <row r="440">
          <cell r="C440" t="str">
            <v>DR011EUC</v>
          </cell>
          <cell r="D440" t="str">
            <v>Drivers</v>
          </cell>
          <cell r="E440" t="str">
            <v>BIS,BIW,BOS,BOW,BJS,BJW,BXO,BIO,BHO,BOO,BKO,BJO,BIK,BOK,BOP</v>
          </cell>
          <cell r="H440" t="str">
            <v>36,42,48,54</v>
          </cell>
          <cell r="I440" t="str">
            <v>H,W</v>
          </cell>
          <cell r="K440" t="str">
            <v>C,J</v>
          </cell>
          <cell r="O440" t="str">
            <v>27,30,35,40,WD</v>
          </cell>
          <cell r="Q440" t="str">
            <v>pc</v>
          </cell>
          <cell r="T440">
            <v>2</v>
          </cell>
          <cell r="U440">
            <v>21.450000000000003</v>
          </cell>
          <cell r="V440" t="str">
            <v>Ningbo Euchips Intelligent Technology Co., Ltd., PUP40A-1WMC-1200, Driver, 40W, 0-10V to 0.1% Dimming, Monochromatic, Puck Form, Constant Current, 850-1200mA, 1 Channel, 120-277V Input Voltage</v>
          </cell>
          <cell r="Y440">
            <v>19.5</v>
          </cell>
          <cell r="Z440">
            <v>1.52</v>
          </cell>
          <cell r="AA440">
            <v>1.5899999999999999</v>
          </cell>
        </row>
        <row r="441">
          <cell r="C441" t="str">
            <v>DR011EUC</v>
          </cell>
          <cell r="D441" t="str">
            <v>Drivers</v>
          </cell>
          <cell r="E441" t="str">
            <v>BIS,BIW,BOS,BOW,BJS,BJW,BXO,BIO,BHO,BOO,BKO,BJO,BIK,BOK,BOP</v>
          </cell>
          <cell r="H441">
            <v>60</v>
          </cell>
          <cell r="I441" t="str">
            <v>H,W</v>
          </cell>
          <cell r="K441" t="str">
            <v>C,J</v>
          </cell>
          <cell r="O441" t="str">
            <v>27,30,35,40,WD</v>
          </cell>
          <cell r="Q441" t="str">
            <v>pc</v>
          </cell>
          <cell r="T441">
            <v>3</v>
          </cell>
          <cell r="U441">
            <v>21.450000000000003</v>
          </cell>
          <cell r="V441" t="str">
            <v>Ningbo Euchips Intelligent Technology Co., Ltd., PUP40A-1WMC-1200, Driver, 40W, 0-10V to 0.1% Dimming, Monochromatic, Puck Form, Constant Current, 850-1200mA, 1 Channel, 120-277V Input Voltage</v>
          </cell>
          <cell r="Y441">
            <v>19.5</v>
          </cell>
          <cell r="Z441">
            <v>1.52</v>
          </cell>
          <cell r="AA441">
            <v>1.5899999999999999</v>
          </cell>
        </row>
        <row r="442">
          <cell r="C442" t="str">
            <v>DR011EUC</v>
          </cell>
          <cell r="D442" t="str">
            <v>Drivers</v>
          </cell>
          <cell r="E442" t="str">
            <v>BKH,BHS,BXH</v>
          </cell>
          <cell r="H442" t="str">
            <v>12,18,24,30</v>
          </cell>
          <cell r="I442" t="str">
            <v>H,W</v>
          </cell>
          <cell r="K442" t="str">
            <v>C,J</v>
          </cell>
          <cell r="O442" t="str">
            <v>27,30,35,40,WD</v>
          </cell>
          <cell r="Q442" t="str">
            <v>pc</v>
          </cell>
          <cell r="T442">
            <v>1</v>
          </cell>
          <cell r="U442">
            <v>21.450000000000003</v>
          </cell>
          <cell r="V442" t="str">
            <v>Ningbo Euchips Intelligent Technology Co., Ltd., PUP40A-1WMC-1200, Driver, 40W, 0-10V to 0.1% Dimming, Monochromatic, Puck Form, Constant Current, 850-1200mA, 1 Channel, 120-277V Input Voltage</v>
          </cell>
          <cell r="Y442">
            <v>19.5</v>
          </cell>
          <cell r="Z442">
            <v>1.52</v>
          </cell>
          <cell r="AA442">
            <v>1.5899999999999999</v>
          </cell>
        </row>
        <row r="443">
          <cell r="C443" t="str">
            <v>DR011EUC</v>
          </cell>
          <cell r="D443" t="str">
            <v>Drivers</v>
          </cell>
          <cell r="E443" t="str">
            <v>BKH,BHS,BXH</v>
          </cell>
          <cell r="H443" t="str">
            <v>36,42,48,54</v>
          </cell>
          <cell r="I443" t="str">
            <v>H,W</v>
          </cell>
          <cell r="K443" t="str">
            <v>C,J</v>
          </cell>
          <cell r="O443" t="str">
            <v>27,30,35,40,WD</v>
          </cell>
          <cell r="Q443" t="str">
            <v>pc</v>
          </cell>
          <cell r="T443">
            <v>2</v>
          </cell>
          <cell r="U443">
            <v>21.450000000000003</v>
          </cell>
          <cell r="V443" t="str">
            <v>Ningbo Euchips Intelligent Technology Co., Ltd., PUP40A-1WMC-1200, Driver, 40W, 0-10V to 0.1% Dimming, Monochromatic, Puck Form, Constant Current, 850-1200mA, 1 Channel, 120-277V Input Voltage</v>
          </cell>
          <cell r="Y443">
            <v>19.5</v>
          </cell>
          <cell r="Z443">
            <v>1.52</v>
          </cell>
          <cell r="AA443">
            <v>1.5899999999999999</v>
          </cell>
        </row>
        <row r="444">
          <cell r="C444" t="str">
            <v>DR011EUC</v>
          </cell>
          <cell r="D444" t="str">
            <v>Drivers</v>
          </cell>
          <cell r="E444" t="str">
            <v>BKH,BHS,BXH</v>
          </cell>
          <cell r="H444">
            <v>60</v>
          </cell>
          <cell r="I444" t="str">
            <v>H,W</v>
          </cell>
          <cell r="K444" t="str">
            <v>C,J</v>
          </cell>
          <cell r="O444" t="str">
            <v>27,30,35,40,WD</v>
          </cell>
          <cell r="Q444" t="str">
            <v>pc</v>
          </cell>
          <cell r="T444">
            <v>3</v>
          </cell>
          <cell r="U444">
            <v>21.450000000000003</v>
          </cell>
          <cell r="V444" t="str">
            <v>Ningbo Euchips Intelligent Technology Co., Ltd., PUP40A-1WMC-1200, Driver, 40W, 0-10V to 0.1% Dimming, Monochromatic, Puck Form, Constant Current, 850-1200mA, 1 Channel, 120-277V Input Voltage</v>
          </cell>
          <cell r="Y444">
            <v>19.5</v>
          </cell>
          <cell r="Z444">
            <v>1.52</v>
          </cell>
          <cell r="AA444">
            <v>1.5899999999999999</v>
          </cell>
        </row>
        <row r="445">
          <cell r="C445" t="str">
            <v>DR011EUC</v>
          </cell>
          <cell r="D445" t="str">
            <v>Drivers</v>
          </cell>
          <cell r="E445" t="str">
            <v>BHS</v>
          </cell>
          <cell r="H445">
            <v>12</v>
          </cell>
          <cell r="I445" t="str">
            <v>L,D</v>
          </cell>
          <cell r="K445" t="str">
            <v>B,C,J</v>
          </cell>
          <cell r="O445" t="str">
            <v>27,30,35,40,WD</v>
          </cell>
          <cell r="Q445" t="str">
            <v>pc</v>
          </cell>
          <cell r="T445">
            <v>1</v>
          </cell>
          <cell r="U445">
            <v>21.450000000000003</v>
          </cell>
          <cell r="V445" t="str">
            <v>Ningbo Euchips Intelligent Technology Co., Ltd., PUP40A-1WMC-1200, Driver, 40W, 0-10V to 0.1% Dimming, Monochromatic, Puck Form, Constant Current, 850-1200mA, 1 Channel, 120-277V Input Voltage</v>
          </cell>
          <cell r="Y445">
            <v>19.5</v>
          </cell>
          <cell r="Z445">
            <v>1.52</v>
          </cell>
          <cell r="AA445">
            <v>1.5899999999999999</v>
          </cell>
        </row>
        <row r="446">
          <cell r="C446" t="str">
            <v>DR012EUC</v>
          </cell>
          <cell r="D446" t="str">
            <v>Drivers</v>
          </cell>
          <cell r="E446" t="str">
            <v>BIS,BIW,BOS,BOW,BJS,BJW,BXO,BIO,BHO,BOO,BKO,BJO,BIK,BOK,BOP</v>
          </cell>
          <cell r="H446" t="str">
            <v>12,18,24,30,36,42</v>
          </cell>
          <cell r="I446" t="str">
            <v>L,D</v>
          </cell>
          <cell r="K446" t="str">
            <v>C,J</v>
          </cell>
          <cell r="O446" t="str">
            <v>27,30,35,40,WD</v>
          </cell>
          <cell r="Q446" t="str">
            <v>pc</v>
          </cell>
          <cell r="T446">
            <v>1</v>
          </cell>
          <cell r="U446">
            <v>14.96</v>
          </cell>
          <cell r="V446" t="str">
            <v>Ningbo Euchips Intelligent Technology Co., Ltd., PUP20A-1WMC, Driver, 20W, 0-10V to 0.1% Dimming, Monochromatic, Puck Form, Constant Current, 350-700mA, 1 Channel, 120-277V Input Voltage</v>
          </cell>
          <cell r="Y446">
            <v>13.6</v>
          </cell>
          <cell r="Z446">
            <v>1.52</v>
          </cell>
          <cell r="AA446">
            <v>1.5899999999999999</v>
          </cell>
        </row>
        <row r="447">
          <cell r="C447" t="str">
            <v>DR012EUC</v>
          </cell>
          <cell r="D447" t="str">
            <v>Drivers</v>
          </cell>
          <cell r="E447" t="str">
            <v>BIS,BIW,BOS,BOW,BJS,BJW,BXO,BIO,BHO,BOO,BKO,BJO,BIK,BOK,BOP</v>
          </cell>
          <cell r="H447" t="str">
            <v>48,54,60</v>
          </cell>
          <cell r="I447" t="str">
            <v>L,D</v>
          </cell>
          <cell r="K447" t="str">
            <v>C,J</v>
          </cell>
          <cell r="O447" t="str">
            <v>27,30,35,40,WD</v>
          </cell>
          <cell r="Q447" t="str">
            <v>pc</v>
          </cell>
          <cell r="T447">
            <v>2</v>
          </cell>
          <cell r="U447">
            <v>14.96</v>
          </cell>
          <cell r="V447" t="str">
            <v>Ningbo Euchips Intelligent Technology Co., Ltd., PUP20A-1WMC, Driver, 20W, 0-10V to 0.1% Dimming, Monochromatic, Puck Form, Constant Current, 350-700mA, 1 Channel, 120-277V Input Voltage</v>
          </cell>
          <cell r="Y447">
            <v>13.6</v>
          </cell>
          <cell r="Z447">
            <v>1.52</v>
          </cell>
          <cell r="AA447">
            <v>1.5899999999999999</v>
          </cell>
        </row>
        <row r="448">
          <cell r="C448" t="str">
            <v>DR012EUC</v>
          </cell>
          <cell r="D448" t="str">
            <v>Drivers</v>
          </cell>
          <cell r="E448" t="str">
            <v>BIS,BIW,BOS,BOW,BJS,BJW,BXO,BIO,BHO,BOO,BKO,BJO,BIK,BOK,BOP</v>
          </cell>
          <cell r="H448" t="str">
            <v>12,18,24</v>
          </cell>
          <cell r="I448" t="str">
            <v>M,D</v>
          </cell>
          <cell r="K448" t="str">
            <v>C,J</v>
          </cell>
          <cell r="O448" t="str">
            <v>27,30,35,40,WD</v>
          </cell>
          <cell r="Q448" t="str">
            <v>pc</v>
          </cell>
          <cell r="T448">
            <v>1</v>
          </cell>
          <cell r="U448">
            <v>14.96</v>
          </cell>
          <cell r="V448" t="str">
            <v>Ningbo Euchips Intelligent Technology Co., Ltd., PUP20A-1WMC, Driver, 20W, 0-10V to 0.1% Dimming, Monochromatic, Puck Form, Constant Current, 350-700mA, 1 Channel, 120-277V Input Voltage</v>
          </cell>
          <cell r="Y448">
            <v>13.6</v>
          </cell>
          <cell r="Z448">
            <v>1.52</v>
          </cell>
          <cell r="AA448">
            <v>1.5899999999999999</v>
          </cell>
        </row>
        <row r="449">
          <cell r="C449" t="str">
            <v>DR012EUC</v>
          </cell>
          <cell r="D449" t="str">
            <v>Drivers</v>
          </cell>
          <cell r="E449" t="str">
            <v>BIS,BIW,BOS,BOW,BJS,BJW,BXO,BIO,BHO,BOO,BKO,BJO,BIK,BOK,BOP</v>
          </cell>
          <cell r="H449" t="str">
            <v>30,36,42,48</v>
          </cell>
          <cell r="I449" t="str">
            <v>M,D</v>
          </cell>
          <cell r="K449" t="str">
            <v>C,J</v>
          </cell>
          <cell r="O449" t="str">
            <v>27,30,35,40,WD</v>
          </cell>
          <cell r="Q449" t="str">
            <v>pc</v>
          </cell>
          <cell r="T449">
            <v>2</v>
          </cell>
          <cell r="U449">
            <v>14.96</v>
          </cell>
          <cell r="V449" t="str">
            <v>Ningbo Euchips Intelligent Technology Co., Ltd., PUP20A-1WMC, Driver, 20W, 0-10V to 0.1% Dimming, Monochromatic, Puck Form, Constant Current, 350-700mA, 1 Channel, 120-277V Input Voltage</v>
          </cell>
          <cell r="Y449">
            <v>13.6</v>
          </cell>
          <cell r="Z449">
            <v>1.52</v>
          </cell>
          <cell r="AA449">
            <v>1.5899999999999999</v>
          </cell>
        </row>
        <row r="450">
          <cell r="C450" t="str">
            <v>DR012EUC</v>
          </cell>
          <cell r="D450" t="str">
            <v>Drivers</v>
          </cell>
          <cell r="E450" t="str">
            <v>BIS,BIW,BOS,BOW,BJS,BJW,BXO,BIO,BHO,BOO,BKO,BJO,BIK,BOK,BOP</v>
          </cell>
          <cell r="H450" t="str">
            <v>54,60</v>
          </cell>
          <cell r="I450" t="str">
            <v>M,D</v>
          </cell>
          <cell r="K450" t="str">
            <v>C,J</v>
          </cell>
          <cell r="O450" t="str">
            <v>27,30,35,40,WD</v>
          </cell>
          <cell r="Q450" t="str">
            <v>pc</v>
          </cell>
          <cell r="T450">
            <v>3</v>
          </cell>
          <cell r="U450">
            <v>14.96</v>
          </cell>
          <cell r="V450" t="str">
            <v>Ningbo Euchips Intelligent Technology Co., Ltd., PUP20A-1WMC, Driver, 20W, 0-10V to 0.1% Dimming, Monochromatic, Puck Form, Constant Current, 350-700mA, 1 Channel, 120-277V Input Voltage</v>
          </cell>
          <cell r="Y450">
            <v>13.6</v>
          </cell>
          <cell r="Z450">
            <v>1.52</v>
          </cell>
          <cell r="AA450">
            <v>1.5899999999999999</v>
          </cell>
        </row>
        <row r="451">
          <cell r="C451" t="str">
            <v>DR012EUC</v>
          </cell>
          <cell r="D451" t="str">
            <v>Drivers</v>
          </cell>
          <cell r="E451" t="str">
            <v>BKH,BHS,BXH</v>
          </cell>
          <cell r="H451" t="str">
            <v>12,18,24</v>
          </cell>
          <cell r="I451" t="str">
            <v>M,D</v>
          </cell>
          <cell r="K451" t="str">
            <v>C,J</v>
          </cell>
          <cell r="O451" t="str">
            <v>27,30,35,40,WD</v>
          </cell>
          <cell r="Q451" t="str">
            <v>pc</v>
          </cell>
          <cell r="T451">
            <v>1</v>
          </cell>
          <cell r="U451">
            <v>14.96</v>
          </cell>
          <cell r="V451" t="str">
            <v>Ningbo Euchips Intelligent Technology Co., Ltd., PUP20A-1WMC, Driver, 20W, 0-10V to 0.1% Dimming, Monochromatic, Puck Form, Constant Current, 350-700mA, 1 Channel, 120-277V Input Voltage</v>
          </cell>
          <cell r="Y451">
            <v>13.6</v>
          </cell>
          <cell r="Z451">
            <v>1.52</v>
          </cell>
          <cell r="AA451">
            <v>1.5899999999999999</v>
          </cell>
        </row>
        <row r="452">
          <cell r="C452" t="str">
            <v>DR012EUC</v>
          </cell>
          <cell r="D452" t="str">
            <v>Drivers</v>
          </cell>
          <cell r="E452" t="str">
            <v>BKH,BHS,BXH</v>
          </cell>
          <cell r="H452" t="str">
            <v>30,36,42,48</v>
          </cell>
          <cell r="I452" t="str">
            <v>M,D</v>
          </cell>
          <cell r="K452" t="str">
            <v>C,J</v>
          </cell>
          <cell r="O452" t="str">
            <v>27,30,35,40,WD</v>
          </cell>
          <cell r="Q452" t="str">
            <v>pc</v>
          </cell>
          <cell r="T452">
            <v>2</v>
          </cell>
          <cell r="U452">
            <v>14.96</v>
          </cell>
          <cell r="V452" t="str">
            <v>Ningbo Euchips Intelligent Technology Co., Ltd., PUP20A-1WMC, Driver, 20W, 0-10V to 0.1% Dimming, Monochromatic, Puck Form, Constant Current, 350-700mA, 1 Channel, 120-277V Input Voltage</v>
          </cell>
          <cell r="Y452">
            <v>13.6</v>
          </cell>
          <cell r="Z452">
            <v>1.52</v>
          </cell>
          <cell r="AA452">
            <v>1.5899999999999999</v>
          </cell>
        </row>
        <row r="453">
          <cell r="C453" t="str">
            <v>DR013MAL</v>
          </cell>
          <cell r="D453" t="str">
            <v>Drivers</v>
          </cell>
          <cell r="E453" t="str">
            <v>BKH,BHS,BXH</v>
          </cell>
          <cell r="H453" t="str">
            <v>54,60</v>
          </cell>
          <cell r="I453" t="str">
            <v>M,D</v>
          </cell>
          <cell r="K453" t="str">
            <v>C,J</v>
          </cell>
          <cell r="O453" t="str">
            <v>27,30,35,40,WD</v>
          </cell>
          <cell r="Q453" t="str">
            <v>pc</v>
          </cell>
          <cell r="T453">
            <v>3</v>
          </cell>
          <cell r="U453">
            <v>40.479999999999997</v>
          </cell>
          <cell r="V453" t="str">
            <v>Magnitude Lighting Inc., AFLEX-100W-2000-L-GB, Driver, 100W, 0-10V to 0.1% Logarithmic Dimming, Monochromatic, Linear Form, Constant Current, 100-2000mA, 1 Channel, 120-277V Input Voltage</v>
          </cell>
          <cell r="Y453">
            <v>36.799999999999997</v>
          </cell>
          <cell r="Z453">
            <v>1.52</v>
          </cell>
          <cell r="AA453">
            <v>1.5899999999999999</v>
          </cell>
        </row>
        <row r="454">
          <cell r="C454" t="str">
            <v>DR013MAL</v>
          </cell>
          <cell r="D454" t="str">
            <v>Drivers</v>
          </cell>
          <cell r="E454" t="str">
            <v>BIS,BIW,BOS,BOW,BJS,BJW,BXO,BIO,BHO,BOO,BKO,BJO,BIK,BOK,BOP</v>
          </cell>
          <cell r="H454" t="str">
            <v>12,18,24,30,36,42,48</v>
          </cell>
          <cell r="I454" t="str">
            <v>V,W</v>
          </cell>
          <cell r="K454" t="str">
            <v>C,J</v>
          </cell>
          <cell r="O454" t="str">
            <v>27,30,35,40,WD</v>
          </cell>
          <cell r="Q454" t="str">
            <v>pc</v>
          </cell>
          <cell r="T454">
            <v>1</v>
          </cell>
          <cell r="U454">
            <v>40.479999999999997</v>
          </cell>
          <cell r="V454" t="str">
            <v>Magnitude Lighting Inc., AFLEX-100W-2000-L-GB, Driver, 100W, 0-10V to 0.1% Logarithmic Dimming, Monochromatic, Linear Form, Constant Current, 100-2000mA, 1 Channel, 120-277V Input Voltage</v>
          </cell>
          <cell r="Y454">
            <v>36.799999999999997</v>
          </cell>
          <cell r="Z454">
            <v>1.52</v>
          </cell>
          <cell r="AA454">
            <v>1.5899999999999999</v>
          </cell>
        </row>
        <row r="455">
          <cell r="C455" t="str">
            <v>DR013MAL</v>
          </cell>
          <cell r="D455" t="str">
            <v>Drivers</v>
          </cell>
          <cell r="E455" t="str">
            <v>BIS,BIW,BOS,BOW,BJS,BJW,BXO,BIO,BHO,BOO,BKO,BJO,BIK,BOK,BOP</v>
          </cell>
          <cell r="H455" t="str">
            <v>54,60</v>
          </cell>
          <cell r="I455" t="str">
            <v>V,W</v>
          </cell>
          <cell r="K455" t="str">
            <v>C,J</v>
          </cell>
          <cell r="O455" t="str">
            <v>27,30,35,40,WD</v>
          </cell>
          <cell r="Q455" t="str">
            <v>pc</v>
          </cell>
          <cell r="T455">
            <v>2</v>
          </cell>
          <cell r="U455">
            <v>40.479999999999997</v>
          </cell>
          <cell r="V455" t="str">
            <v>Magnitude Lighting Inc., AFLEX-100W-2000-L-GB, Driver, 100W, 0-10V to 0.1% Logarithmic Dimming, Monochromatic, Linear Form, Constant Current, 100-2000mA, 1 Channel, 120-277V Input Voltage</v>
          </cell>
          <cell r="Y455">
            <v>36.799999999999997</v>
          </cell>
          <cell r="Z455">
            <v>1.52</v>
          </cell>
          <cell r="AA455">
            <v>1.5899999999999999</v>
          </cell>
        </row>
        <row r="456">
          <cell r="C456" t="str">
            <v>DR013MAL</v>
          </cell>
          <cell r="D456" t="str">
            <v>Drivers</v>
          </cell>
          <cell r="E456" t="str">
            <v>BKH,BHS,BXH</v>
          </cell>
          <cell r="H456" t="str">
            <v>12,18,24,30,36</v>
          </cell>
          <cell r="I456" t="str">
            <v>V,W</v>
          </cell>
          <cell r="K456" t="str">
            <v>C,J</v>
          </cell>
          <cell r="O456" t="str">
            <v>27,30,35,40,WD</v>
          </cell>
          <cell r="Q456" t="str">
            <v>pc</v>
          </cell>
          <cell r="T456">
            <v>1</v>
          </cell>
          <cell r="U456">
            <v>40.479999999999997</v>
          </cell>
          <cell r="V456" t="str">
            <v>Magnitude Lighting Inc., AFLEX-100W-2000-L-GB, Driver, 100W, 0-10V to 0.1% Logarithmic Dimming, Monochromatic, Linear Form, Constant Current, 100-2000mA, 1 Channel, 120-277V Input Voltage</v>
          </cell>
          <cell r="Y456">
            <v>36.799999999999997</v>
          </cell>
          <cell r="Z456">
            <v>1.52</v>
          </cell>
          <cell r="AA456">
            <v>1.5899999999999999</v>
          </cell>
        </row>
        <row r="457">
          <cell r="C457" t="str">
            <v>DR013MAL</v>
          </cell>
          <cell r="D457" t="str">
            <v>Drivers</v>
          </cell>
          <cell r="E457" t="str">
            <v>BKH,BHS,BXH</v>
          </cell>
          <cell r="H457" t="str">
            <v>42,54,60</v>
          </cell>
          <cell r="I457" t="str">
            <v>V,W</v>
          </cell>
          <cell r="K457" t="str">
            <v>C,J</v>
          </cell>
          <cell r="O457" t="str">
            <v>27,30,35,40,WD</v>
          </cell>
          <cell r="Q457" t="str">
            <v>pc</v>
          </cell>
          <cell r="T457">
            <v>2</v>
          </cell>
          <cell r="U457">
            <v>40.479999999999997</v>
          </cell>
          <cell r="V457" t="str">
            <v>Magnitude Lighting Inc., AFLEX-100W-2000-L-GB, Driver, 100W, 0-10V to 0.1% Logarithmic Dimming, Monochromatic, Linear Form, Constant Current, 100-2000mA, 1 Channel, 120-277V Input Voltage</v>
          </cell>
          <cell r="Y457">
            <v>36.799999999999997</v>
          </cell>
          <cell r="Z457">
            <v>1.52</v>
          </cell>
          <cell r="AA457">
            <v>1.5899999999999999</v>
          </cell>
        </row>
        <row r="458">
          <cell r="C458" t="str">
            <v>DR013MAL</v>
          </cell>
          <cell r="D458" t="str">
            <v>Drivers</v>
          </cell>
          <cell r="E458" t="str">
            <v>BKH,BHS,BXH</v>
          </cell>
          <cell r="H458">
            <v>48</v>
          </cell>
          <cell r="I458" t="str">
            <v>V,W</v>
          </cell>
          <cell r="K458" t="str">
            <v>C,J</v>
          </cell>
          <cell r="O458" t="str">
            <v>27,30,35,40,WD</v>
          </cell>
          <cell r="Q458" t="str">
            <v>pc</v>
          </cell>
          <cell r="T458">
            <v>2</v>
          </cell>
          <cell r="U458">
            <v>40.479999999999997</v>
          </cell>
          <cell r="V458" t="str">
            <v>Magnitude Lighting Inc., AFLEX-100W-2000-L-GB, Driver, 100W, 0-10V to 0.1% Logarithmic Dimming, Monochromatic, Linear Form, Constant Current, 100-2000mA, 1 Channel, 120-277V Input Voltage</v>
          </cell>
          <cell r="Y458">
            <v>36.799999999999997</v>
          </cell>
          <cell r="Z458">
            <v>1.52</v>
          </cell>
          <cell r="AA458">
            <v>1.5899999999999999</v>
          </cell>
        </row>
        <row r="459">
          <cell r="C459" t="str">
            <v>DR020ADR</v>
          </cell>
          <cell r="D459" t="str">
            <v>Drivers</v>
          </cell>
          <cell r="E459" t="str">
            <v>BOP,BOS</v>
          </cell>
          <cell r="H459" t="str">
            <v>6,12</v>
          </cell>
          <cell r="I459" t="str">
            <v>L</v>
          </cell>
          <cell r="K459" t="str">
            <v>H,I,K,B</v>
          </cell>
          <cell r="O459" t="str">
            <v>27,30,35,40,WD</v>
          </cell>
          <cell r="Q459" t="str">
            <v>pc</v>
          </cell>
          <cell r="T459">
            <v>1</v>
          </cell>
          <cell r="U459">
            <v>12.100000000000001</v>
          </cell>
          <cell r="V459" t="str">
            <v>ADURA, ADL2-020-IC700-TS, Driver, 20W, ELV Dimming, Monochromatic, Puck Form, Constant Current, 350-700mA, 1 Channel, 120-277V Input Voltage</v>
          </cell>
          <cell r="Y459">
            <v>11</v>
          </cell>
          <cell r="Z459">
            <v>1.52</v>
          </cell>
          <cell r="AA459">
            <v>1.5899999999999999</v>
          </cell>
        </row>
        <row r="460">
          <cell r="D460" t="str">
            <v>Drivers</v>
          </cell>
          <cell r="E460" t="str">
            <v>BIS,BIW,BOS,BOW,BJS,BJW,BXO,BIO,BHO,BOO,BKO,BJO,BIK,BOK,BOP,BKH,BHS,BXH</v>
          </cell>
          <cell r="I460" t="str">
            <v>C</v>
          </cell>
          <cell r="K460" t="str">
            <v>F,M</v>
          </cell>
          <cell r="O460" t="str">
            <v>CC</v>
          </cell>
          <cell r="Q460" t="str">
            <v>pc</v>
          </cell>
          <cell r="T460">
            <v>1</v>
          </cell>
          <cell r="U460">
            <v>46.750000000000007</v>
          </cell>
          <cell r="V460" t="str">
            <v>ERP Power Supply 100W, with DMX/RDM Decoder LT-8036-1000</v>
          </cell>
          <cell r="Y460">
            <v>42.5</v>
          </cell>
          <cell r="Z460">
            <v>1.52</v>
          </cell>
          <cell r="AA460">
            <v>1.5899999999999999</v>
          </cell>
        </row>
        <row r="462">
          <cell r="C462" t="str">
            <v>MH000BLD</v>
          </cell>
          <cell r="D462" t="str">
            <v>Galv Steel, 1mm</v>
          </cell>
          <cell r="E462" t="str">
            <v>BHO, BHS, BOO, BOS, BOW,BOK</v>
          </cell>
          <cell r="F462" t="str">
            <v>P</v>
          </cell>
          <cell r="G462" t="str">
            <v>S</v>
          </cell>
          <cell r="H462">
            <v>24</v>
          </cell>
          <cell r="Q462" t="str">
            <v>pc</v>
          </cell>
          <cell r="R462">
            <v>1</v>
          </cell>
          <cell r="T462">
            <v>1</v>
          </cell>
          <cell r="U462">
            <v>0.9900000000000001</v>
          </cell>
          <cell r="V462" t="str">
            <v>Outdoor Metal Housing, Pendant,  615mm, Single, Bold Lighting LLC, 17018</v>
          </cell>
          <cell r="W462" t="str">
            <v>N/A</v>
          </cell>
          <cell r="Y462">
            <v>0.9</v>
          </cell>
          <cell r="Z462">
            <v>1.3</v>
          </cell>
          <cell r="AA462">
            <v>1</v>
          </cell>
        </row>
        <row r="463">
          <cell r="C463" t="str">
            <v>MH001BLD</v>
          </cell>
          <cell r="D463" t="str">
            <v>Galv Steel, 1mm</v>
          </cell>
          <cell r="E463" t="str">
            <v>BHO, BHS, BOO, BOS, BOW,BOK</v>
          </cell>
          <cell r="F463" t="str">
            <v>P</v>
          </cell>
          <cell r="G463" t="str">
            <v>S</v>
          </cell>
          <cell r="H463">
            <v>30</v>
          </cell>
          <cell r="Q463" t="str">
            <v>pc</v>
          </cell>
          <cell r="R463">
            <v>1</v>
          </cell>
          <cell r="T463">
            <v>1</v>
          </cell>
          <cell r="U463">
            <v>1.375</v>
          </cell>
          <cell r="V463" t="str">
            <v>Outdoor Metal Housing, Pendant,  765mm, Single, Bold Lighting LLC, 17018</v>
          </cell>
          <cell r="W463" t="str">
            <v>N/A</v>
          </cell>
          <cell r="Y463">
            <v>1.25</v>
          </cell>
          <cell r="Z463">
            <v>1.3</v>
          </cell>
          <cell r="AA463">
            <v>1</v>
          </cell>
        </row>
        <row r="464">
          <cell r="C464" t="str">
            <v>MH002BLD</v>
          </cell>
          <cell r="D464" t="str">
            <v>Galv Steel, 1mm</v>
          </cell>
          <cell r="E464" t="str">
            <v>BHO, BHS, BOO, BOS, BOW,BOK</v>
          </cell>
          <cell r="F464" t="str">
            <v>P</v>
          </cell>
          <cell r="G464" t="str">
            <v>S</v>
          </cell>
          <cell r="H464">
            <v>36</v>
          </cell>
          <cell r="Q464" t="str">
            <v>pc</v>
          </cell>
          <cell r="R464">
            <v>1</v>
          </cell>
          <cell r="T464">
            <v>1</v>
          </cell>
          <cell r="U464">
            <v>1.6500000000000001</v>
          </cell>
          <cell r="V464" t="str">
            <v>Outdoor Metal Housing, Pendant,  915mm, Single, Bold Lighting LLC, 17018</v>
          </cell>
          <cell r="W464" t="str">
            <v>N/A</v>
          </cell>
          <cell r="Y464">
            <v>1.5</v>
          </cell>
          <cell r="Z464">
            <v>1.3</v>
          </cell>
          <cell r="AA464">
            <v>1</v>
          </cell>
        </row>
        <row r="465">
          <cell r="C465" t="str">
            <v>MH003BLD</v>
          </cell>
          <cell r="D465" t="str">
            <v>Galv Steel, 1mm</v>
          </cell>
          <cell r="E465" t="str">
            <v>BHO, BHS, BOO, BOS, BOW,BOK</v>
          </cell>
          <cell r="F465" t="str">
            <v>P</v>
          </cell>
          <cell r="G465" t="str">
            <v>S</v>
          </cell>
          <cell r="H465">
            <v>42</v>
          </cell>
          <cell r="Q465" t="str">
            <v>pc</v>
          </cell>
          <cell r="R465">
            <v>1</v>
          </cell>
          <cell r="T465">
            <v>1</v>
          </cell>
          <cell r="U465">
            <v>2.0020000000000002</v>
          </cell>
          <cell r="V465" t="str">
            <v>Outdoor Metal Housing, Pendant,  1065mm, Single, Bold Lighting LLC, 17018</v>
          </cell>
          <cell r="W465" t="str">
            <v>N/A</v>
          </cell>
          <cell r="Y465">
            <v>1.82</v>
          </cell>
          <cell r="Z465">
            <v>1.3</v>
          </cell>
          <cell r="AA465">
            <v>1</v>
          </cell>
        </row>
        <row r="466">
          <cell r="C466" t="str">
            <v>MH004BLD</v>
          </cell>
          <cell r="D466" t="str">
            <v>Galv Steel, 1mm</v>
          </cell>
          <cell r="E466" t="str">
            <v>BHO, BHS, BOO, BOS, BOW,BOK</v>
          </cell>
          <cell r="F466" t="str">
            <v>P</v>
          </cell>
          <cell r="G466" t="str">
            <v>S</v>
          </cell>
          <cell r="H466">
            <v>48</v>
          </cell>
          <cell r="Q466" t="str">
            <v>pc</v>
          </cell>
          <cell r="R466">
            <v>1</v>
          </cell>
          <cell r="T466">
            <v>1</v>
          </cell>
          <cell r="U466">
            <v>2.3319999999999999</v>
          </cell>
          <cell r="V466" t="str">
            <v>Outdoor Metal Housing, Pendant,  1215mm, Single, Bold Lighting LLC, 17018</v>
          </cell>
          <cell r="W466" t="str">
            <v>N/A</v>
          </cell>
          <cell r="Y466">
            <v>2.1199999999999997</v>
          </cell>
          <cell r="Z466">
            <v>1.3</v>
          </cell>
          <cell r="AA466">
            <v>1</v>
          </cell>
        </row>
        <row r="467">
          <cell r="C467" t="str">
            <v>MH005BLD</v>
          </cell>
          <cell r="D467" t="str">
            <v>Galv Steel, 1mm</v>
          </cell>
          <cell r="E467" t="str">
            <v>BHO, BHS, BOO, BOS, BOW,BOK</v>
          </cell>
          <cell r="F467" t="str">
            <v>P</v>
          </cell>
          <cell r="G467" t="str">
            <v>S</v>
          </cell>
          <cell r="H467">
            <v>54</v>
          </cell>
          <cell r="Q467" t="str">
            <v>pc</v>
          </cell>
          <cell r="R467">
            <v>1</v>
          </cell>
          <cell r="T467">
            <v>1</v>
          </cell>
          <cell r="U467">
            <v>2.6619999999999999</v>
          </cell>
          <cell r="V467" t="str">
            <v>Outdoor Metal Housing, Pendant,  1365mm, Single, Bold Lighting LLC, 17018</v>
          </cell>
          <cell r="W467" t="str">
            <v>N/A</v>
          </cell>
          <cell r="Y467">
            <v>2.42</v>
          </cell>
          <cell r="Z467">
            <v>1.3</v>
          </cell>
          <cell r="AA467">
            <v>1</v>
          </cell>
        </row>
        <row r="468">
          <cell r="C468" t="str">
            <v>MH006BLD</v>
          </cell>
          <cell r="D468" t="str">
            <v>Galv Steel, 1mm</v>
          </cell>
          <cell r="E468" t="str">
            <v>BHO, BHS, BOO, BOS, BOW,BOK</v>
          </cell>
          <cell r="F468" t="str">
            <v>P</v>
          </cell>
          <cell r="G468" t="str">
            <v>S</v>
          </cell>
          <cell r="H468">
            <v>60</v>
          </cell>
          <cell r="Q468" t="str">
            <v>pc</v>
          </cell>
          <cell r="R468">
            <v>1</v>
          </cell>
          <cell r="T468">
            <v>1</v>
          </cell>
          <cell r="U468">
            <v>2.992</v>
          </cell>
          <cell r="V468" t="str">
            <v>Outdoor Metal Housing, Pendant,  1515mm, Single, Bold Lighting LLC, 17018</v>
          </cell>
          <cell r="W468" t="str">
            <v>N/A</v>
          </cell>
          <cell r="Y468">
            <v>2.7199999999999998</v>
          </cell>
          <cell r="Z468">
            <v>1.3</v>
          </cell>
          <cell r="AA468">
            <v>1</v>
          </cell>
        </row>
        <row r="469">
          <cell r="C469" t="str">
            <v>MH007BLD</v>
          </cell>
          <cell r="D469" t="str">
            <v>Galv Steel, 1mm</v>
          </cell>
          <cell r="E469" t="str">
            <v>BHO, BHS, BOO, BOS, BOW,BOK</v>
          </cell>
          <cell r="F469" t="str">
            <v>P</v>
          </cell>
          <cell r="G469" t="str">
            <v>B,E</v>
          </cell>
          <cell r="H469">
            <v>24</v>
          </cell>
          <cell r="Q469" t="str">
            <v>pc</v>
          </cell>
          <cell r="R469">
            <v>1</v>
          </cell>
          <cell r="T469">
            <v>1</v>
          </cell>
          <cell r="U469">
            <v>0.9900000000000001</v>
          </cell>
          <cell r="V469" t="str">
            <v>Outdoor Metal Housing, Pendant,  617mm, Beginning, Bold Lighting LLC, 17018</v>
          </cell>
          <cell r="W469" t="str">
            <v>N/A</v>
          </cell>
          <cell r="Y469">
            <v>0.9</v>
          </cell>
          <cell r="Z469">
            <v>1.3</v>
          </cell>
          <cell r="AA469">
            <v>1</v>
          </cell>
        </row>
        <row r="470">
          <cell r="C470" t="str">
            <v>MH008BLD</v>
          </cell>
          <cell r="D470" t="str">
            <v>Galv Steel, 1mm</v>
          </cell>
          <cell r="E470" t="str">
            <v>BHO, BHS, BOO, BOS, BOW,BOK</v>
          </cell>
          <cell r="F470" t="str">
            <v>P</v>
          </cell>
          <cell r="G470" t="str">
            <v>B,E</v>
          </cell>
          <cell r="H470">
            <v>30</v>
          </cell>
          <cell r="Q470" t="str">
            <v>pc</v>
          </cell>
          <cell r="R470">
            <v>1</v>
          </cell>
          <cell r="T470">
            <v>1</v>
          </cell>
          <cell r="U470">
            <v>1.375</v>
          </cell>
          <cell r="V470" t="str">
            <v>Outdoor Metal Housing, Pendant,  767mm, Beginning, Bold Lighting LLC, 17018</v>
          </cell>
          <cell r="W470" t="str">
            <v>N/A</v>
          </cell>
          <cell r="Y470">
            <v>1.25</v>
          </cell>
          <cell r="Z470">
            <v>1.3</v>
          </cell>
          <cell r="AA470">
            <v>1</v>
          </cell>
        </row>
        <row r="471">
          <cell r="C471" t="str">
            <v>MH009BLD</v>
          </cell>
          <cell r="D471" t="str">
            <v>Galv Steel, 1mm</v>
          </cell>
          <cell r="E471" t="str">
            <v>BHO, BHS, BOO, BOS, BOW,BOK</v>
          </cell>
          <cell r="F471" t="str">
            <v>P</v>
          </cell>
          <cell r="G471" t="str">
            <v>B,E</v>
          </cell>
          <cell r="H471">
            <v>36</v>
          </cell>
          <cell r="Q471" t="str">
            <v>pc</v>
          </cell>
          <cell r="R471">
            <v>1</v>
          </cell>
          <cell r="T471">
            <v>1</v>
          </cell>
          <cell r="U471">
            <v>1.6500000000000001</v>
          </cell>
          <cell r="V471" t="str">
            <v>Outdoor Metal Housing, Pendant,  917mm, Beginning, Bold Lighting LLC, 17018</v>
          </cell>
          <cell r="W471" t="str">
            <v>N/A</v>
          </cell>
          <cell r="Y471">
            <v>1.5</v>
          </cell>
          <cell r="Z471">
            <v>1.3</v>
          </cell>
          <cell r="AA471">
            <v>1</v>
          </cell>
        </row>
        <row r="472">
          <cell r="C472" t="str">
            <v>MH010BLD</v>
          </cell>
          <cell r="D472" t="str">
            <v>Galv Steel, 1mm</v>
          </cell>
          <cell r="E472" t="str">
            <v>BHO, BHS, BOO, BOS, BOW,BOK</v>
          </cell>
          <cell r="F472" t="str">
            <v>P</v>
          </cell>
          <cell r="G472" t="str">
            <v>B,E</v>
          </cell>
          <cell r="H472">
            <v>42</v>
          </cell>
          <cell r="Q472" t="str">
            <v>pc</v>
          </cell>
          <cell r="R472">
            <v>1</v>
          </cell>
          <cell r="T472">
            <v>1</v>
          </cell>
          <cell r="U472">
            <v>2.0020000000000002</v>
          </cell>
          <cell r="V472" t="str">
            <v>Outdoor Metal Housing, Pendant,  1067mm, Beginning, Bold Lighting LLC, 17018</v>
          </cell>
          <cell r="W472" t="str">
            <v>N/A</v>
          </cell>
          <cell r="Y472">
            <v>1.82</v>
          </cell>
          <cell r="Z472">
            <v>1.3</v>
          </cell>
          <cell r="AA472">
            <v>1</v>
          </cell>
        </row>
        <row r="473">
          <cell r="C473" t="str">
            <v>MH011BLD</v>
          </cell>
          <cell r="D473" t="str">
            <v>Galv Steel, 1mm</v>
          </cell>
          <cell r="E473" t="str">
            <v>BHO, BHS, BOO, BOS, BOW,BOK</v>
          </cell>
          <cell r="F473" t="str">
            <v>P</v>
          </cell>
          <cell r="G473" t="str">
            <v>B,E</v>
          </cell>
          <cell r="H473">
            <v>48</v>
          </cell>
          <cell r="Q473" t="str">
            <v>pc</v>
          </cell>
          <cell r="R473">
            <v>1</v>
          </cell>
          <cell r="T473">
            <v>1</v>
          </cell>
          <cell r="U473">
            <v>2.3319999999999999</v>
          </cell>
          <cell r="V473" t="str">
            <v>Outdoor Metal Housing, Pendant,  1217mm, Beginning, Bold Lighting LLC, 17018</v>
          </cell>
          <cell r="W473" t="str">
            <v>N/A</v>
          </cell>
          <cell r="Y473">
            <v>2.1199999999999997</v>
          </cell>
          <cell r="Z473">
            <v>1.3</v>
          </cell>
          <cell r="AA473">
            <v>1</v>
          </cell>
        </row>
        <row r="474">
          <cell r="C474" t="str">
            <v>MH012BLD</v>
          </cell>
          <cell r="D474" t="str">
            <v>Galv Steel, 1mm</v>
          </cell>
          <cell r="E474" t="str">
            <v>BHO, BHS, BOO, BOS, BOW,BOK</v>
          </cell>
          <cell r="F474" t="str">
            <v>P</v>
          </cell>
          <cell r="G474" t="str">
            <v>B,E</v>
          </cell>
          <cell r="H474">
            <v>54</v>
          </cell>
          <cell r="Q474" t="str">
            <v>pc</v>
          </cell>
          <cell r="R474">
            <v>1</v>
          </cell>
          <cell r="T474">
            <v>1</v>
          </cell>
          <cell r="U474">
            <v>2.6619999999999999</v>
          </cell>
          <cell r="V474" t="str">
            <v>Outdoor Metal Housing, Pendant,  1367mm, Beginning, Bold Lighting LLC, 17018</v>
          </cell>
          <cell r="W474" t="str">
            <v>N/A</v>
          </cell>
          <cell r="Y474">
            <v>2.42</v>
          </cell>
          <cell r="Z474">
            <v>1.3</v>
          </cell>
          <cell r="AA474">
            <v>1</v>
          </cell>
        </row>
        <row r="475">
          <cell r="C475" t="str">
            <v>MH013BLD</v>
          </cell>
          <cell r="D475" t="str">
            <v>Galv Steel, 1mm</v>
          </cell>
          <cell r="E475" t="str">
            <v>BHO, BHS, BOO, BOS, BOW,BOK</v>
          </cell>
          <cell r="F475" t="str">
            <v>P</v>
          </cell>
          <cell r="G475" t="str">
            <v>B,E</v>
          </cell>
          <cell r="H475">
            <v>60</v>
          </cell>
          <cell r="Q475" t="str">
            <v>pc</v>
          </cell>
          <cell r="R475">
            <v>1</v>
          </cell>
          <cell r="T475">
            <v>1</v>
          </cell>
          <cell r="U475">
            <v>2.992</v>
          </cell>
          <cell r="V475" t="str">
            <v>Outdoor Metal Housing, Pendant,  1517mm, Beginning, Bold Lighting LLC, 17018</v>
          </cell>
          <cell r="W475" t="str">
            <v>N/A</v>
          </cell>
          <cell r="Y475">
            <v>2.7199999999999998</v>
          </cell>
          <cell r="Z475">
            <v>1.3</v>
          </cell>
          <cell r="AA475">
            <v>1</v>
          </cell>
        </row>
        <row r="476">
          <cell r="C476" t="str">
            <v>MH014BLD</v>
          </cell>
          <cell r="D476" t="str">
            <v>Galv Steel, 1mm</v>
          </cell>
          <cell r="E476" t="str">
            <v>BHO, BHS, BOO, BOS, BOW,BOK</v>
          </cell>
          <cell r="F476" t="str">
            <v>P</v>
          </cell>
          <cell r="G476" t="str">
            <v>M</v>
          </cell>
          <cell r="H476">
            <v>24</v>
          </cell>
          <cell r="Q476" t="str">
            <v>pc</v>
          </cell>
          <cell r="R476">
            <v>1</v>
          </cell>
          <cell r="T476">
            <v>1</v>
          </cell>
          <cell r="U476">
            <v>0.9900000000000001</v>
          </cell>
          <cell r="V476" t="str">
            <v>Outdoor Metal Housing, Pendant,  618mm, Middle, Bold Lighting LLC, 17018</v>
          </cell>
          <cell r="W476" t="str">
            <v>N/A</v>
          </cell>
          <cell r="Y476">
            <v>0.9</v>
          </cell>
          <cell r="Z476">
            <v>1.3</v>
          </cell>
          <cell r="AA476">
            <v>1</v>
          </cell>
        </row>
        <row r="477">
          <cell r="C477" t="str">
            <v>MH015BLD</v>
          </cell>
          <cell r="D477" t="str">
            <v>Galv Steel, 1mm</v>
          </cell>
          <cell r="E477" t="str">
            <v>BHO, BHS, BOO, BOS, BOW,BOK</v>
          </cell>
          <cell r="F477" t="str">
            <v>P</v>
          </cell>
          <cell r="G477" t="str">
            <v>M</v>
          </cell>
          <cell r="H477">
            <v>30</v>
          </cell>
          <cell r="Q477" t="str">
            <v>pc</v>
          </cell>
          <cell r="R477">
            <v>1</v>
          </cell>
          <cell r="T477">
            <v>1</v>
          </cell>
          <cell r="U477">
            <v>1.375</v>
          </cell>
          <cell r="V477" t="str">
            <v>Outdoor Metal Housing, Pendant,  768mm, Middle, Bold Lighting LLC, 17018</v>
          </cell>
          <cell r="W477" t="str">
            <v>N/A</v>
          </cell>
          <cell r="Y477">
            <v>1.25</v>
          </cell>
          <cell r="Z477">
            <v>1.3</v>
          </cell>
          <cell r="AA477">
            <v>1</v>
          </cell>
        </row>
        <row r="478">
          <cell r="C478" t="str">
            <v>MH016BLD</v>
          </cell>
          <cell r="D478" t="str">
            <v>Galv Steel, 1mm</v>
          </cell>
          <cell r="E478" t="str">
            <v>BHO, BHS, BOO, BOS, BOW,BOK</v>
          </cell>
          <cell r="F478" t="str">
            <v>P</v>
          </cell>
          <cell r="G478" t="str">
            <v>M</v>
          </cell>
          <cell r="H478">
            <v>36</v>
          </cell>
          <cell r="Q478" t="str">
            <v>pc</v>
          </cell>
          <cell r="R478">
            <v>1</v>
          </cell>
          <cell r="T478">
            <v>1</v>
          </cell>
          <cell r="U478">
            <v>1.6500000000000001</v>
          </cell>
          <cell r="V478" t="str">
            <v>Outdoor Metal Housing, Pendant,  918mm, Middle, Bold Lighting LLC, 17018</v>
          </cell>
          <cell r="W478" t="str">
            <v>N/A</v>
          </cell>
          <cell r="Y478">
            <v>1.5</v>
          </cell>
          <cell r="Z478">
            <v>1.3</v>
          </cell>
          <cell r="AA478">
            <v>1</v>
          </cell>
        </row>
        <row r="479">
          <cell r="C479" t="str">
            <v>MH017BLD</v>
          </cell>
          <cell r="D479" t="str">
            <v>Galv Steel, 1mm</v>
          </cell>
          <cell r="E479" t="str">
            <v>BHO, BHS, BOO, BOS, BOW,BOK</v>
          </cell>
          <cell r="F479" t="str">
            <v>P</v>
          </cell>
          <cell r="G479" t="str">
            <v>M</v>
          </cell>
          <cell r="H479">
            <v>42</v>
          </cell>
          <cell r="Q479" t="str">
            <v>pc</v>
          </cell>
          <cell r="R479">
            <v>1</v>
          </cell>
          <cell r="T479">
            <v>1</v>
          </cell>
          <cell r="U479">
            <v>2.0020000000000002</v>
          </cell>
          <cell r="V479" t="str">
            <v>Outdoor Metal Housing, Pendant,  1068mm, Middle, Bold Lighting LLC, 17018</v>
          </cell>
          <cell r="W479" t="str">
            <v>N/A</v>
          </cell>
          <cell r="Y479">
            <v>1.82</v>
          </cell>
          <cell r="Z479">
            <v>1.3</v>
          </cell>
          <cell r="AA479">
            <v>1</v>
          </cell>
        </row>
        <row r="480">
          <cell r="C480" t="str">
            <v>MH018BLD</v>
          </cell>
          <cell r="D480" t="str">
            <v>Galv Steel, 1mm</v>
          </cell>
          <cell r="E480" t="str">
            <v>BHO, BHS, BOO, BOS, BOW,BOK</v>
          </cell>
          <cell r="F480" t="str">
            <v>P</v>
          </cell>
          <cell r="G480" t="str">
            <v>M</v>
          </cell>
          <cell r="H480">
            <v>48</v>
          </cell>
          <cell r="Q480" t="str">
            <v>pc</v>
          </cell>
          <cell r="R480">
            <v>1</v>
          </cell>
          <cell r="T480">
            <v>1</v>
          </cell>
          <cell r="U480">
            <v>2.3319999999999999</v>
          </cell>
          <cell r="V480" t="str">
            <v>Outdoor Metal Housing, Pendant,  1218mm, Middle, Bold Lighting LLC, 17018</v>
          </cell>
          <cell r="W480" t="str">
            <v>N/A</v>
          </cell>
          <cell r="Y480">
            <v>2.1199999999999997</v>
          </cell>
          <cell r="Z480">
            <v>1.3</v>
          </cell>
          <cell r="AA480">
            <v>1</v>
          </cell>
        </row>
        <row r="481">
          <cell r="C481" t="str">
            <v>MH019BLD</v>
          </cell>
          <cell r="D481" t="str">
            <v>Galv Steel, 1mm</v>
          </cell>
          <cell r="E481" t="str">
            <v>BHO, BHS, BOO, BOS, BOW,BOK</v>
          </cell>
          <cell r="F481" t="str">
            <v>P</v>
          </cell>
          <cell r="G481" t="str">
            <v>M</v>
          </cell>
          <cell r="H481">
            <v>54</v>
          </cell>
          <cell r="Q481" t="str">
            <v>pc</v>
          </cell>
          <cell r="R481">
            <v>1</v>
          </cell>
          <cell r="T481">
            <v>1</v>
          </cell>
          <cell r="U481">
            <v>2.6619999999999999</v>
          </cell>
          <cell r="V481" t="str">
            <v>Outdoor Metal Housing, Pendant,  1368mm, Middle, Bold Lighting LLC, 17018</v>
          </cell>
          <cell r="W481" t="str">
            <v>N/A</v>
          </cell>
          <cell r="Y481">
            <v>2.42</v>
          </cell>
          <cell r="Z481">
            <v>1.3</v>
          </cell>
          <cell r="AA481">
            <v>1</v>
          </cell>
        </row>
        <row r="482">
          <cell r="C482" t="str">
            <v>MH020BLD</v>
          </cell>
          <cell r="D482" t="str">
            <v>Galv Steel, 1mm</v>
          </cell>
          <cell r="E482" t="str">
            <v>BHO, BHS, BOO, BOS, BOW,BOK</v>
          </cell>
          <cell r="F482" t="str">
            <v>P</v>
          </cell>
          <cell r="G482" t="str">
            <v>M</v>
          </cell>
          <cell r="H482">
            <v>60</v>
          </cell>
          <cell r="Q482" t="str">
            <v>pc</v>
          </cell>
          <cell r="R482">
            <v>1</v>
          </cell>
          <cell r="T482">
            <v>1</v>
          </cell>
          <cell r="U482">
            <v>2.992</v>
          </cell>
          <cell r="V482" t="str">
            <v>Outdoor Metal Housing, Pendant,  1518mm, Middle, Bold Lighting LLC, 17018</v>
          </cell>
          <cell r="W482" t="str">
            <v>N/A</v>
          </cell>
          <cell r="Y482">
            <v>2.7199999999999998</v>
          </cell>
          <cell r="Z482">
            <v>1.3</v>
          </cell>
          <cell r="AA482">
            <v>1</v>
          </cell>
        </row>
        <row r="483">
          <cell r="C483" t="str">
            <v>MH099BLD</v>
          </cell>
          <cell r="D483" t="str">
            <v>Galv Steel, 1mm</v>
          </cell>
          <cell r="E483" t="str">
            <v>BHO, BHS, BOO, BOS, BOW,BOK</v>
          </cell>
          <cell r="F483" t="str">
            <v>S</v>
          </cell>
          <cell r="G483" t="str">
            <v>S</v>
          </cell>
          <cell r="H483">
            <v>12</v>
          </cell>
          <cell r="K483" t="str">
            <v>H,I,J,K,L,M,N</v>
          </cell>
          <cell r="Q483" t="str">
            <v>pc</v>
          </cell>
          <cell r="R483">
            <v>1</v>
          </cell>
          <cell r="T483">
            <v>1</v>
          </cell>
          <cell r="U483">
            <v>0.49500000000000005</v>
          </cell>
          <cell r="V483" t="str">
            <v>Outdoor Metal Housing, Surface Mounted,  315mm, Single, Bold Lighting LLC, 17019</v>
          </cell>
          <cell r="W483" t="str">
            <v>N/A</v>
          </cell>
          <cell r="Y483">
            <v>0.45</v>
          </cell>
          <cell r="Z483">
            <v>1.3</v>
          </cell>
          <cell r="AA483">
            <v>1</v>
          </cell>
        </row>
        <row r="484">
          <cell r="C484" t="str">
            <v>MH100BLD</v>
          </cell>
          <cell r="D484" t="str">
            <v>Galv Steel, 1mm</v>
          </cell>
          <cell r="E484" t="str">
            <v>BHO, BHS, BOO, BOS, BOW,BOK</v>
          </cell>
          <cell r="F484" t="str">
            <v>S</v>
          </cell>
          <cell r="G484" t="str">
            <v>S</v>
          </cell>
          <cell r="H484">
            <v>18</v>
          </cell>
          <cell r="K484" t="str">
            <v>H,I,J,K,L,M,N</v>
          </cell>
          <cell r="Q484" t="str">
            <v>pc</v>
          </cell>
          <cell r="R484">
            <v>1</v>
          </cell>
          <cell r="T484">
            <v>1</v>
          </cell>
          <cell r="U484">
            <v>0.66</v>
          </cell>
          <cell r="V484" t="str">
            <v>Outdoor Metal Housing, Surface Mounted,  465mm, Single, Bold Lighting LLC, 17019</v>
          </cell>
          <cell r="W484" t="str">
            <v>N/A</v>
          </cell>
          <cell r="Y484">
            <v>0.6</v>
          </cell>
          <cell r="Z484">
            <v>1.3</v>
          </cell>
          <cell r="AA484">
            <v>1</v>
          </cell>
        </row>
        <row r="485">
          <cell r="C485" t="str">
            <v>MH021BLD</v>
          </cell>
          <cell r="D485" t="str">
            <v>Galv Steel, 1mm</v>
          </cell>
          <cell r="E485" t="str">
            <v>BHO, BHS, BOO, BOS, BOW,BOK</v>
          </cell>
          <cell r="F485" t="str">
            <v>S</v>
          </cell>
          <cell r="G485" t="str">
            <v>S</v>
          </cell>
          <cell r="H485">
            <v>24</v>
          </cell>
          <cell r="Q485" t="str">
            <v>pc</v>
          </cell>
          <cell r="R485">
            <v>1</v>
          </cell>
          <cell r="T485">
            <v>1</v>
          </cell>
          <cell r="U485">
            <v>0.9900000000000001</v>
          </cell>
          <cell r="V485" t="str">
            <v>Outdoor Metal Housing, Surface Mounted,  615mm, Single, Bold Lighting LLC, 17019</v>
          </cell>
          <cell r="W485" t="str">
            <v>N/A</v>
          </cell>
          <cell r="Y485">
            <v>0.9</v>
          </cell>
          <cell r="Z485">
            <v>1.3</v>
          </cell>
          <cell r="AA485">
            <v>1</v>
          </cell>
        </row>
        <row r="486">
          <cell r="C486" t="str">
            <v>MH022BLD</v>
          </cell>
          <cell r="D486" t="str">
            <v>Galv Steel, 1mm</v>
          </cell>
          <cell r="E486" t="str">
            <v>BHO, BHS, BOO, BOS, BOW,BOK</v>
          </cell>
          <cell r="F486" t="str">
            <v>S</v>
          </cell>
          <cell r="G486" t="str">
            <v>S</v>
          </cell>
          <cell r="H486">
            <v>30</v>
          </cell>
          <cell r="Q486" t="str">
            <v>pc</v>
          </cell>
          <cell r="R486">
            <v>1</v>
          </cell>
          <cell r="T486">
            <v>1</v>
          </cell>
          <cell r="U486">
            <v>1.375</v>
          </cell>
          <cell r="V486" t="str">
            <v>Outdoor Metal Housing, Surface Mounted,  765mm, Single, Bold Lighting LLC, 17019</v>
          </cell>
          <cell r="W486" t="str">
            <v>N/A</v>
          </cell>
          <cell r="Y486">
            <v>1.25</v>
          </cell>
          <cell r="Z486">
            <v>1.3</v>
          </cell>
          <cell r="AA486">
            <v>1</v>
          </cell>
        </row>
        <row r="487">
          <cell r="C487" t="str">
            <v>MH023BLD</v>
          </cell>
          <cell r="D487" t="str">
            <v>Galv Steel, 1mm</v>
          </cell>
          <cell r="E487" t="str">
            <v>BHO, BHS, BOO, BOS, BOW,BOK</v>
          </cell>
          <cell r="F487" t="str">
            <v>S</v>
          </cell>
          <cell r="G487" t="str">
            <v>S</v>
          </cell>
          <cell r="H487">
            <v>36</v>
          </cell>
          <cell r="Q487" t="str">
            <v>pc</v>
          </cell>
          <cell r="R487">
            <v>1</v>
          </cell>
          <cell r="T487">
            <v>1</v>
          </cell>
          <cell r="U487">
            <v>1.6500000000000001</v>
          </cell>
          <cell r="V487" t="str">
            <v>Outdoor Metal Housing, Surface Mounted,  915mm, Single, Bold Lighting LLC, 17019</v>
          </cell>
          <cell r="W487" t="str">
            <v>N/A</v>
          </cell>
          <cell r="Y487">
            <v>1.5</v>
          </cell>
          <cell r="Z487">
            <v>1.3</v>
          </cell>
          <cell r="AA487">
            <v>1</v>
          </cell>
        </row>
        <row r="488">
          <cell r="C488" t="str">
            <v>MH024BLD</v>
          </cell>
          <cell r="D488" t="str">
            <v>Galv Steel, 1mm</v>
          </cell>
          <cell r="E488" t="str">
            <v>BHO, BHS, BOO, BOS, BOW,BOK</v>
          </cell>
          <cell r="F488" t="str">
            <v>S</v>
          </cell>
          <cell r="G488" t="str">
            <v>S</v>
          </cell>
          <cell r="H488">
            <v>42</v>
          </cell>
          <cell r="Q488" t="str">
            <v>pc</v>
          </cell>
          <cell r="R488">
            <v>1</v>
          </cell>
          <cell r="T488">
            <v>1</v>
          </cell>
          <cell r="U488">
            <v>2.0020000000000002</v>
          </cell>
          <cell r="V488" t="str">
            <v>Outdoor Metal Housing, Surface Mounted,  1065mm, Single, Bold Lighting LLC, 17019</v>
          </cell>
          <cell r="W488" t="str">
            <v>N/A</v>
          </cell>
          <cell r="Y488">
            <v>1.82</v>
          </cell>
          <cell r="Z488">
            <v>1.3</v>
          </cell>
          <cell r="AA488">
            <v>1</v>
          </cell>
        </row>
        <row r="489">
          <cell r="C489" t="str">
            <v>MH025BLD</v>
          </cell>
          <cell r="D489" t="str">
            <v>Galv Steel, 1mm</v>
          </cell>
          <cell r="E489" t="str">
            <v>BHO, BHS, BOO, BOS, BOW,BOK</v>
          </cell>
          <cell r="F489" t="str">
            <v>S</v>
          </cell>
          <cell r="G489" t="str">
            <v>S</v>
          </cell>
          <cell r="H489">
            <v>48</v>
          </cell>
          <cell r="Q489" t="str">
            <v>pc</v>
          </cell>
          <cell r="R489">
            <v>1</v>
          </cell>
          <cell r="T489">
            <v>1</v>
          </cell>
          <cell r="U489">
            <v>2.3319999999999999</v>
          </cell>
          <cell r="V489" t="str">
            <v>Outdoor Metal Housing, Surface Mounted,  1215mm, Single, Bold Lighting LLC, 17019</v>
          </cell>
          <cell r="W489" t="str">
            <v>N/A</v>
          </cell>
          <cell r="Y489">
            <v>2.1199999999999997</v>
          </cell>
          <cell r="Z489">
            <v>1.3</v>
          </cell>
          <cell r="AA489">
            <v>1</v>
          </cell>
        </row>
        <row r="490">
          <cell r="C490" t="str">
            <v>MH026BLD</v>
          </cell>
          <cell r="D490" t="str">
            <v>Galv Steel, 1mm</v>
          </cell>
          <cell r="E490" t="str">
            <v>BHO, BHS, BOO, BOS, BOW,BOK</v>
          </cell>
          <cell r="F490" t="str">
            <v>S</v>
          </cell>
          <cell r="G490" t="str">
            <v>S</v>
          </cell>
          <cell r="H490">
            <v>54</v>
          </cell>
          <cell r="Q490" t="str">
            <v>pc</v>
          </cell>
          <cell r="R490">
            <v>1</v>
          </cell>
          <cell r="T490">
            <v>1</v>
          </cell>
          <cell r="U490">
            <v>2.6619999999999999</v>
          </cell>
          <cell r="V490" t="str">
            <v>Outdoor Metal Housing, Surface Mounted,  1365mm, Single, Bold Lighting LLC, 17019</v>
          </cell>
          <cell r="W490" t="str">
            <v>N/A</v>
          </cell>
          <cell r="Y490">
            <v>2.42</v>
          </cell>
          <cell r="Z490">
            <v>1.3</v>
          </cell>
          <cell r="AA490">
            <v>1</v>
          </cell>
        </row>
        <row r="491">
          <cell r="C491" t="str">
            <v>MH027BLD</v>
          </cell>
          <cell r="D491" t="str">
            <v>Galv Steel, 1mm</v>
          </cell>
          <cell r="E491" t="str">
            <v>BHO, BHS, BOO, BOS, BOW,BOK</v>
          </cell>
          <cell r="F491" t="str">
            <v>S</v>
          </cell>
          <cell r="G491" t="str">
            <v>S</v>
          </cell>
          <cell r="H491">
            <v>60</v>
          </cell>
          <cell r="Q491" t="str">
            <v>pc</v>
          </cell>
          <cell r="R491">
            <v>1</v>
          </cell>
          <cell r="T491">
            <v>1</v>
          </cell>
          <cell r="U491">
            <v>2.992</v>
          </cell>
          <cell r="V491" t="str">
            <v>Outdoor Metal Housing, Surface Mounted,  1515mm, Single, Bold Lighting LLC, 17019</v>
          </cell>
          <cell r="W491" t="str">
            <v>N/A</v>
          </cell>
          <cell r="Y491">
            <v>2.7199999999999998</v>
          </cell>
          <cell r="Z491">
            <v>1.3</v>
          </cell>
          <cell r="AA491">
            <v>1</v>
          </cell>
        </row>
        <row r="492">
          <cell r="C492" t="str">
            <v>MH028BLD</v>
          </cell>
          <cell r="D492" t="str">
            <v>Galv Steel, 1mm</v>
          </cell>
          <cell r="E492" t="str">
            <v>BHO, BHS, BOO, BOS, BOW,BOK</v>
          </cell>
          <cell r="F492" t="str">
            <v>S</v>
          </cell>
          <cell r="G492" t="str">
            <v>B,E</v>
          </cell>
          <cell r="H492">
            <v>24</v>
          </cell>
          <cell r="Q492" t="str">
            <v>pc</v>
          </cell>
          <cell r="R492">
            <v>1</v>
          </cell>
          <cell r="T492">
            <v>1</v>
          </cell>
          <cell r="U492">
            <v>0.9900000000000001</v>
          </cell>
          <cell r="V492" t="str">
            <v>Outdoor Metal Housing, Surface Mounted,  617mm, Beginning, Bold Lighting LLC, 17019</v>
          </cell>
          <cell r="Y492">
            <v>0.9</v>
          </cell>
          <cell r="Z492">
            <v>1.3</v>
          </cell>
          <cell r="AA492">
            <v>1</v>
          </cell>
        </row>
        <row r="493">
          <cell r="C493" t="str">
            <v>MH029BLD</v>
          </cell>
          <cell r="D493" t="str">
            <v>Galv Steel, 1mm</v>
          </cell>
          <cell r="E493" t="str">
            <v>BHO, BHS, BOO, BOS, BOW,BOK</v>
          </cell>
          <cell r="F493" t="str">
            <v>S</v>
          </cell>
          <cell r="G493" t="str">
            <v>B,E</v>
          </cell>
          <cell r="H493">
            <v>30</v>
          </cell>
          <cell r="Q493" t="str">
            <v>pc</v>
          </cell>
          <cell r="R493">
            <v>1</v>
          </cell>
          <cell r="T493">
            <v>1</v>
          </cell>
          <cell r="U493">
            <v>1.375</v>
          </cell>
          <cell r="V493" t="str">
            <v>Outdoor Metal Housing, Surface Mounted,  767mm, Beginning, Bold Lighting LLC, 17019</v>
          </cell>
          <cell r="Y493">
            <v>1.25</v>
          </cell>
          <cell r="Z493">
            <v>1.3</v>
          </cell>
          <cell r="AA493">
            <v>1</v>
          </cell>
        </row>
        <row r="494">
          <cell r="C494" t="str">
            <v>MH030BLD</v>
          </cell>
          <cell r="D494" t="str">
            <v>Galv Steel, 1mm</v>
          </cell>
          <cell r="E494" t="str">
            <v>BHO, BHS, BOO, BOS, BOW,BOK</v>
          </cell>
          <cell r="F494" t="str">
            <v>S</v>
          </cell>
          <cell r="G494" t="str">
            <v>B,E</v>
          </cell>
          <cell r="H494">
            <v>36</v>
          </cell>
          <cell r="Q494" t="str">
            <v>pc</v>
          </cell>
          <cell r="R494">
            <v>1</v>
          </cell>
          <cell r="T494">
            <v>1</v>
          </cell>
          <cell r="U494">
            <v>1.6500000000000001</v>
          </cell>
          <cell r="V494" t="str">
            <v>Outdoor Metal Housing, Surface Mounted,  917mm, Beginning, Bold Lighting LLC, 17019</v>
          </cell>
          <cell r="Y494">
            <v>1.5</v>
          </cell>
          <cell r="Z494">
            <v>1.3</v>
          </cell>
          <cell r="AA494">
            <v>1</v>
          </cell>
        </row>
        <row r="495">
          <cell r="C495" t="str">
            <v>MH031BLD</v>
          </cell>
          <cell r="D495" t="str">
            <v>Galv Steel, 1mm</v>
          </cell>
          <cell r="E495" t="str">
            <v>BHO, BHS, BOO, BOS, BOW,BOK</v>
          </cell>
          <cell r="F495" t="str">
            <v>S</v>
          </cell>
          <cell r="G495" t="str">
            <v>B,E</v>
          </cell>
          <cell r="H495">
            <v>42</v>
          </cell>
          <cell r="Q495" t="str">
            <v>pc</v>
          </cell>
          <cell r="R495">
            <v>1</v>
          </cell>
          <cell r="T495">
            <v>1</v>
          </cell>
          <cell r="U495">
            <v>2.0020000000000002</v>
          </cell>
          <cell r="V495" t="str">
            <v>Outdoor Metal Housing, Surface Mounted,  1067mm, Beginning, Bold Lighting LLC, 17019</v>
          </cell>
          <cell r="Y495">
            <v>1.82</v>
          </cell>
          <cell r="Z495">
            <v>1.3</v>
          </cell>
          <cell r="AA495">
            <v>1</v>
          </cell>
        </row>
        <row r="496">
          <cell r="C496" t="str">
            <v>MH032BLD</v>
          </cell>
          <cell r="D496" t="str">
            <v>Galv Steel, 1mm</v>
          </cell>
          <cell r="E496" t="str">
            <v>BHO, BHS, BOO, BOS, BOW,BOK</v>
          </cell>
          <cell r="F496" t="str">
            <v>S</v>
          </cell>
          <cell r="G496" t="str">
            <v>B,E</v>
          </cell>
          <cell r="H496">
            <v>48</v>
          </cell>
          <cell r="Q496" t="str">
            <v>pc</v>
          </cell>
          <cell r="R496">
            <v>1</v>
          </cell>
          <cell r="T496">
            <v>1</v>
          </cell>
          <cell r="U496">
            <v>2.3319999999999999</v>
          </cell>
          <cell r="V496" t="str">
            <v>Outdoor Metal Housing, Surface Mounted,  1217mm, Beginning, Bold Lighting LLC, 17019</v>
          </cell>
          <cell r="Y496">
            <v>2.1199999999999997</v>
          </cell>
          <cell r="Z496">
            <v>1.3</v>
          </cell>
          <cell r="AA496">
            <v>1</v>
          </cell>
        </row>
        <row r="497">
          <cell r="C497" t="str">
            <v>MH033BLD</v>
          </cell>
          <cell r="D497" t="str">
            <v>Galv Steel, 1mm</v>
          </cell>
          <cell r="E497" t="str">
            <v>BHO, BHS, BOO, BOS, BOW,BOK</v>
          </cell>
          <cell r="F497" t="str">
            <v>S</v>
          </cell>
          <cell r="G497" t="str">
            <v>B,E</v>
          </cell>
          <cell r="H497">
            <v>54</v>
          </cell>
          <cell r="Q497" t="str">
            <v>pc</v>
          </cell>
          <cell r="R497">
            <v>1</v>
          </cell>
          <cell r="T497">
            <v>1</v>
          </cell>
          <cell r="U497">
            <v>2.6619999999999999</v>
          </cell>
          <cell r="V497" t="str">
            <v>Outdoor Metal Housing, Surface Mounted,  1367mm, Beginning, Bold Lighting LLC, 17019</v>
          </cell>
          <cell r="Y497">
            <v>2.42</v>
          </cell>
          <cell r="Z497">
            <v>1.3</v>
          </cell>
          <cell r="AA497">
            <v>1</v>
          </cell>
        </row>
        <row r="498">
          <cell r="C498" t="str">
            <v>MH034BLD</v>
          </cell>
          <cell r="D498" t="str">
            <v>Galv Steel, 1mm</v>
          </cell>
          <cell r="E498" t="str">
            <v>BHO, BHS, BOO, BOS, BOW,BOK</v>
          </cell>
          <cell r="F498" t="str">
            <v>S</v>
          </cell>
          <cell r="G498" t="str">
            <v>B,E</v>
          </cell>
          <cell r="H498">
            <v>60</v>
          </cell>
          <cell r="Q498" t="str">
            <v>pc</v>
          </cell>
          <cell r="R498">
            <v>1</v>
          </cell>
          <cell r="T498">
            <v>1</v>
          </cell>
          <cell r="U498">
            <v>2.992</v>
          </cell>
          <cell r="V498" t="str">
            <v>Outdoor Metal Housing, Surface Mounted,  1517mm, Beginning, Bold Lighting LLC, 17019</v>
          </cell>
          <cell r="Y498">
            <v>2.7199999999999998</v>
          </cell>
          <cell r="Z498">
            <v>1.3</v>
          </cell>
          <cell r="AA498">
            <v>1</v>
          </cell>
        </row>
        <row r="499">
          <cell r="C499" t="str">
            <v>MH035BLD</v>
          </cell>
          <cell r="D499" t="str">
            <v>Galv Steel, 1mm</v>
          </cell>
          <cell r="E499" t="str">
            <v>BHO, BHS, BOO, BOS, BOW,BOK</v>
          </cell>
          <cell r="F499" t="str">
            <v>S</v>
          </cell>
          <cell r="G499" t="str">
            <v>M</v>
          </cell>
          <cell r="H499">
            <v>24</v>
          </cell>
          <cell r="Q499" t="str">
            <v>pc</v>
          </cell>
          <cell r="R499">
            <v>1</v>
          </cell>
          <cell r="T499">
            <v>1</v>
          </cell>
          <cell r="U499">
            <v>0.9900000000000001</v>
          </cell>
          <cell r="V499" t="str">
            <v>Outdoor Metal Housing, Surface Mounted,  618mm, Middle, Bold Lighting LLC, 17019</v>
          </cell>
          <cell r="Y499">
            <v>0.9</v>
          </cell>
          <cell r="Z499">
            <v>1.3</v>
          </cell>
          <cell r="AA499">
            <v>1</v>
          </cell>
        </row>
        <row r="500">
          <cell r="C500" t="str">
            <v>MH036BLD</v>
          </cell>
          <cell r="D500" t="str">
            <v>Galv Steel, 1mm</v>
          </cell>
          <cell r="E500" t="str">
            <v>BHO, BHS, BOO, BOS, BOW,BOK</v>
          </cell>
          <cell r="F500" t="str">
            <v>S</v>
          </cell>
          <cell r="G500" t="str">
            <v>M</v>
          </cell>
          <cell r="H500">
            <v>30</v>
          </cell>
          <cell r="Q500" t="str">
            <v>pc</v>
          </cell>
          <cell r="R500">
            <v>1</v>
          </cell>
          <cell r="T500">
            <v>1</v>
          </cell>
          <cell r="U500">
            <v>1.375</v>
          </cell>
          <cell r="V500" t="str">
            <v>Outdoor Metal Housing, Surface Mounted,  768mm, Middle, Bold Lighting LLC, 17019</v>
          </cell>
          <cell r="Y500">
            <v>1.25</v>
          </cell>
          <cell r="Z500">
            <v>1.3</v>
          </cell>
          <cell r="AA500">
            <v>1</v>
          </cell>
        </row>
        <row r="501">
          <cell r="C501" t="str">
            <v>MH037BLD</v>
          </cell>
          <cell r="D501" t="str">
            <v>Galv Steel, 1mm</v>
          </cell>
          <cell r="E501" t="str">
            <v>BHO, BHS, BOO, BOS, BOW,BOK</v>
          </cell>
          <cell r="F501" t="str">
            <v>S</v>
          </cell>
          <cell r="G501" t="str">
            <v>M</v>
          </cell>
          <cell r="H501">
            <v>36</v>
          </cell>
          <cell r="Q501" t="str">
            <v>pc</v>
          </cell>
          <cell r="R501">
            <v>1</v>
          </cell>
          <cell r="T501">
            <v>1</v>
          </cell>
          <cell r="U501">
            <v>1.6500000000000001</v>
          </cell>
          <cell r="V501" t="str">
            <v>Outdoor Metal Housing, Surface Mounted,  918mm, Middle, Bold Lighting LLC, 17019</v>
          </cell>
          <cell r="Y501">
            <v>1.5</v>
          </cell>
          <cell r="Z501">
            <v>1.3</v>
          </cell>
          <cell r="AA501">
            <v>1</v>
          </cell>
        </row>
        <row r="502">
          <cell r="C502" t="str">
            <v>MH038BLD</v>
          </cell>
          <cell r="D502" t="str">
            <v>Galv Steel, 1mm</v>
          </cell>
          <cell r="E502" t="str">
            <v>BHO, BHS, BOO, BOS, BOW,BOK</v>
          </cell>
          <cell r="F502" t="str">
            <v>S</v>
          </cell>
          <cell r="G502" t="str">
            <v>M</v>
          </cell>
          <cell r="H502">
            <v>42</v>
          </cell>
          <cell r="Q502" t="str">
            <v>pc</v>
          </cell>
          <cell r="R502">
            <v>1</v>
          </cell>
          <cell r="T502">
            <v>1</v>
          </cell>
          <cell r="U502">
            <v>2.0020000000000002</v>
          </cell>
          <cell r="V502" t="str">
            <v>Outdoor Metal Housing, Surface Mounted,  1068mm, Middle, Bold Lighting LLC, 17019</v>
          </cell>
          <cell r="Y502">
            <v>1.82</v>
          </cell>
          <cell r="Z502">
            <v>1.3</v>
          </cell>
          <cell r="AA502">
            <v>1</v>
          </cell>
        </row>
        <row r="503">
          <cell r="C503" t="str">
            <v>MH039BLD</v>
          </cell>
          <cell r="D503" t="str">
            <v>Galv Steel, 1mm</v>
          </cell>
          <cell r="E503" t="str">
            <v>BHO, BHS, BOO, BOS, BOW,BOK</v>
          </cell>
          <cell r="F503" t="str">
            <v>S</v>
          </cell>
          <cell r="G503" t="str">
            <v>M</v>
          </cell>
          <cell r="H503">
            <v>48</v>
          </cell>
          <cell r="Q503" t="str">
            <v>pc</v>
          </cell>
          <cell r="R503">
            <v>1</v>
          </cell>
          <cell r="T503">
            <v>1</v>
          </cell>
          <cell r="U503">
            <v>2.3319999999999999</v>
          </cell>
          <cell r="V503" t="str">
            <v>Outdoor Metal Housing, Surface Mounted,  1218mm, Middle, Bold Lighting LLC, 17019</v>
          </cell>
          <cell r="Y503">
            <v>2.1199999999999997</v>
          </cell>
          <cell r="Z503">
            <v>1.3</v>
          </cell>
          <cell r="AA503">
            <v>1</v>
          </cell>
        </row>
        <row r="504">
          <cell r="C504" t="str">
            <v>MH040BLD</v>
          </cell>
          <cell r="D504" t="str">
            <v>Galv Steel, 1mm</v>
          </cell>
          <cell r="E504" t="str">
            <v>BHO, BHS, BOO, BOS, BOW,BOK</v>
          </cell>
          <cell r="F504" t="str">
            <v>S</v>
          </cell>
          <cell r="G504" t="str">
            <v>M</v>
          </cell>
          <cell r="H504">
            <v>54</v>
          </cell>
          <cell r="Q504" t="str">
            <v>pc</v>
          </cell>
          <cell r="R504">
            <v>1</v>
          </cell>
          <cell r="T504">
            <v>1</v>
          </cell>
          <cell r="U504">
            <v>2.6619999999999999</v>
          </cell>
          <cell r="V504" t="str">
            <v>Outdoor Metal Housing, Surface Mounted,  1368mm, Middle, Bold Lighting LLC, 17019</v>
          </cell>
          <cell r="Y504">
            <v>2.42</v>
          </cell>
          <cell r="Z504">
            <v>1.3</v>
          </cell>
          <cell r="AA504">
            <v>1</v>
          </cell>
        </row>
        <row r="505">
          <cell r="C505" t="str">
            <v>MH041BLD</v>
          </cell>
          <cell r="D505" t="str">
            <v>Galv Steel, 1mm</v>
          </cell>
          <cell r="E505" t="str">
            <v>BHO, BHS, BOO, BOS, BOW,BOK</v>
          </cell>
          <cell r="F505" t="str">
            <v>S</v>
          </cell>
          <cell r="G505" t="str">
            <v>M</v>
          </cell>
          <cell r="H505">
            <v>60</v>
          </cell>
          <cell r="Q505" t="str">
            <v>pc</v>
          </cell>
          <cell r="R505">
            <v>1</v>
          </cell>
          <cell r="T505">
            <v>1</v>
          </cell>
          <cell r="U505">
            <v>2.992</v>
          </cell>
          <cell r="V505" t="str">
            <v>Outdoor Metal Housing, Surface Mounted,  1518mm, Middle, Bold Lighting LLC, 17019</v>
          </cell>
          <cell r="Y505">
            <v>2.7199999999999998</v>
          </cell>
          <cell r="Z505">
            <v>1.3</v>
          </cell>
          <cell r="AA505">
            <v>1</v>
          </cell>
        </row>
        <row r="506">
          <cell r="C506" t="str">
            <v>MH042BLD</v>
          </cell>
          <cell r="D506" t="str">
            <v>Galv Steel, 1mm</v>
          </cell>
          <cell r="E506" t="str">
            <v>BHO, BHS, BOO, BOS, BOW,BOK</v>
          </cell>
          <cell r="F506" t="str">
            <v>W</v>
          </cell>
          <cell r="G506" t="str">
            <v>S</v>
          </cell>
          <cell r="H506">
            <v>24</v>
          </cell>
          <cell r="Q506" t="str">
            <v>pc</v>
          </cell>
          <cell r="R506">
            <v>1</v>
          </cell>
          <cell r="T506">
            <v>1</v>
          </cell>
          <cell r="U506">
            <v>0.9900000000000001</v>
          </cell>
          <cell r="V506" t="str">
            <v>Outdoor Metal Housing, Wall Mounted,  615mm, Single, Bold Lighting LLC, 17054</v>
          </cell>
          <cell r="W506" t="str">
            <v>N/A</v>
          </cell>
          <cell r="Y506">
            <v>0.9</v>
          </cell>
          <cell r="Z506">
            <v>1.3</v>
          </cell>
          <cell r="AA506">
            <v>1</v>
          </cell>
        </row>
        <row r="507">
          <cell r="C507" t="str">
            <v>MH043BLD</v>
          </cell>
          <cell r="D507" t="str">
            <v>Galv Steel, 1mm</v>
          </cell>
          <cell r="E507" t="str">
            <v>BHO, BHS, BOO, BOS, BOW,BOK</v>
          </cell>
          <cell r="F507" t="str">
            <v>W</v>
          </cell>
          <cell r="G507" t="str">
            <v>S</v>
          </cell>
          <cell r="H507">
            <v>30</v>
          </cell>
          <cell r="Q507" t="str">
            <v>pc</v>
          </cell>
          <cell r="R507">
            <v>1</v>
          </cell>
          <cell r="T507">
            <v>1</v>
          </cell>
          <cell r="U507">
            <v>1.375</v>
          </cell>
          <cell r="V507" t="str">
            <v>Outdoor Metal Housing, Wall Mounted,  765mm, Single, Bold Lighting LLC, 17054</v>
          </cell>
          <cell r="W507" t="str">
            <v>N/A</v>
          </cell>
          <cell r="Y507">
            <v>1.25</v>
          </cell>
          <cell r="Z507">
            <v>1.3</v>
          </cell>
          <cell r="AA507">
            <v>1</v>
          </cell>
        </row>
        <row r="508">
          <cell r="C508" t="str">
            <v>MH044BLD</v>
          </cell>
          <cell r="D508" t="str">
            <v>Galv Steel, 1mm</v>
          </cell>
          <cell r="E508" t="str">
            <v>BHO, BHS, BOO, BOS, BOW,BOK</v>
          </cell>
          <cell r="F508" t="str">
            <v>W</v>
          </cell>
          <cell r="G508" t="str">
            <v>S</v>
          </cell>
          <cell r="H508">
            <v>36</v>
          </cell>
          <cell r="Q508" t="str">
            <v>pc</v>
          </cell>
          <cell r="R508">
            <v>1</v>
          </cell>
          <cell r="T508">
            <v>1</v>
          </cell>
          <cell r="U508">
            <v>1.6500000000000001</v>
          </cell>
          <cell r="V508" t="str">
            <v>Outdoor Metal Housing, Wall Mounted,  915mm, Single, Bold Lighting LLC, 17054</v>
          </cell>
          <cell r="W508" t="str">
            <v>N/A</v>
          </cell>
          <cell r="Y508">
            <v>1.5</v>
          </cell>
          <cell r="Z508">
            <v>1.3</v>
          </cell>
          <cell r="AA508">
            <v>1</v>
          </cell>
        </row>
        <row r="509">
          <cell r="C509" t="str">
            <v>MH045BLD</v>
          </cell>
          <cell r="D509" t="str">
            <v>Galv Steel, 1mm</v>
          </cell>
          <cell r="E509" t="str">
            <v>BHO, BHS, BOO, BOS, BOW,BOK</v>
          </cell>
          <cell r="F509" t="str">
            <v>W</v>
          </cell>
          <cell r="G509" t="str">
            <v>S</v>
          </cell>
          <cell r="H509">
            <v>42</v>
          </cell>
          <cell r="Q509" t="str">
            <v>pc</v>
          </cell>
          <cell r="R509">
            <v>1</v>
          </cell>
          <cell r="T509">
            <v>1</v>
          </cell>
          <cell r="U509">
            <v>2.0020000000000002</v>
          </cell>
          <cell r="V509" t="str">
            <v>Outdoor Metal Housing, Wall Mounted,  1065mm, Single, Bold Lighting LLC, 17054</v>
          </cell>
          <cell r="W509" t="str">
            <v>N/A</v>
          </cell>
          <cell r="Y509">
            <v>1.82</v>
          </cell>
          <cell r="Z509">
            <v>1.3</v>
          </cell>
          <cell r="AA509">
            <v>1</v>
          </cell>
        </row>
        <row r="510">
          <cell r="C510" t="str">
            <v>MH046BLD</v>
          </cell>
          <cell r="D510" t="str">
            <v>Galv Steel, 1mm</v>
          </cell>
          <cell r="E510" t="str">
            <v>BHO, BHS, BOO, BOS, BOW,BOK</v>
          </cell>
          <cell r="F510" t="str">
            <v>W</v>
          </cell>
          <cell r="G510" t="str">
            <v>S</v>
          </cell>
          <cell r="H510">
            <v>48</v>
          </cell>
          <cell r="Q510" t="str">
            <v>pc</v>
          </cell>
          <cell r="R510">
            <v>1</v>
          </cell>
          <cell r="T510">
            <v>1</v>
          </cell>
          <cell r="U510">
            <v>2.3319999999999999</v>
          </cell>
          <cell r="V510" t="str">
            <v>Outdoor Metal Housing, Wall Mounted,  1215mm, Single, Bold Lighting LLC, 17054</v>
          </cell>
          <cell r="W510" t="str">
            <v>N/A</v>
          </cell>
          <cell r="Y510">
            <v>2.1199999999999997</v>
          </cell>
          <cell r="Z510">
            <v>1.3</v>
          </cell>
          <cell r="AA510">
            <v>1</v>
          </cell>
        </row>
        <row r="511">
          <cell r="C511" t="str">
            <v>MH047BLD</v>
          </cell>
          <cell r="D511" t="str">
            <v>Galv Steel, 1mm</v>
          </cell>
          <cell r="E511" t="str">
            <v>BHO, BHS, BOO, BOS, BOW,BOK</v>
          </cell>
          <cell r="F511" t="str">
            <v>W</v>
          </cell>
          <cell r="G511" t="str">
            <v>S</v>
          </cell>
          <cell r="H511">
            <v>54</v>
          </cell>
          <cell r="Q511" t="str">
            <v>pc</v>
          </cell>
          <cell r="R511">
            <v>1</v>
          </cell>
          <cell r="T511">
            <v>1</v>
          </cell>
          <cell r="U511">
            <v>2.6619999999999999</v>
          </cell>
          <cell r="V511" t="str">
            <v>Outdoor Metal Housing, Wall Mounted,  1365mm, Single, Bold Lighting LLC, 17054</v>
          </cell>
          <cell r="W511" t="str">
            <v>N/A</v>
          </cell>
          <cell r="Y511">
            <v>2.42</v>
          </cell>
          <cell r="Z511">
            <v>1.3</v>
          </cell>
          <cell r="AA511">
            <v>1</v>
          </cell>
        </row>
        <row r="512">
          <cell r="C512" t="str">
            <v>MH048BLD</v>
          </cell>
          <cell r="D512" t="str">
            <v>Galv Steel, 1mm</v>
          </cell>
          <cell r="E512" t="str">
            <v>BHO, BHS, BOO, BOS, BOW,BOK</v>
          </cell>
          <cell r="F512" t="str">
            <v>W</v>
          </cell>
          <cell r="G512" t="str">
            <v>S</v>
          </cell>
          <cell r="H512">
            <v>60</v>
          </cell>
          <cell r="Q512" t="str">
            <v>pc</v>
          </cell>
          <cell r="R512">
            <v>1</v>
          </cell>
          <cell r="T512">
            <v>1</v>
          </cell>
          <cell r="U512">
            <v>2.992</v>
          </cell>
          <cell r="V512" t="str">
            <v>Outdoor Metal Housing, Wall Mounted,  1515mm, Single, Bold Lighting LLC, 17054</v>
          </cell>
          <cell r="W512" t="str">
            <v>N/A</v>
          </cell>
          <cell r="Y512">
            <v>2.7199999999999998</v>
          </cell>
          <cell r="Z512">
            <v>1.3</v>
          </cell>
          <cell r="AA512">
            <v>1</v>
          </cell>
        </row>
        <row r="513">
          <cell r="C513" t="str">
            <v>MH049BLD</v>
          </cell>
          <cell r="D513" t="str">
            <v>Galv Steel, 1mm</v>
          </cell>
          <cell r="E513" t="str">
            <v>BHO, BHS, BOO, BOS, BOW,BOK</v>
          </cell>
          <cell r="F513" t="str">
            <v>W</v>
          </cell>
          <cell r="G513" t="str">
            <v>B</v>
          </cell>
          <cell r="H513">
            <v>24</v>
          </cell>
          <cell r="Q513" t="str">
            <v>pc</v>
          </cell>
          <cell r="R513">
            <v>1</v>
          </cell>
          <cell r="T513">
            <v>1</v>
          </cell>
          <cell r="U513">
            <v>0.9900000000000001</v>
          </cell>
          <cell r="V513" t="str">
            <v>Outdoor Metal Housing, Wall Mounted,  617mm, Beginning, Bold Lighting LLC, 17054</v>
          </cell>
          <cell r="Y513">
            <v>0.9</v>
          </cell>
          <cell r="Z513">
            <v>1.3</v>
          </cell>
          <cell r="AA513">
            <v>1</v>
          </cell>
        </row>
        <row r="514">
          <cell r="C514" t="str">
            <v>MH050BLD</v>
          </cell>
          <cell r="D514" t="str">
            <v>Galv Steel, 1mm</v>
          </cell>
          <cell r="E514" t="str">
            <v>BHO, BHS, BOO, BOS, BOW,BOK</v>
          </cell>
          <cell r="F514" t="str">
            <v>W</v>
          </cell>
          <cell r="G514" t="str">
            <v>B</v>
          </cell>
          <cell r="H514">
            <v>30</v>
          </cell>
          <cell r="Q514" t="str">
            <v>pc</v>
          </cell>
          <cell r="R514">
            <v>1</v>
          </cell>
          <cell r="T514">
            <v>1</v>
          </cell>
          <cell r="U514">
            <v>1.375</v>
          </cell>
          <cell r="V514" t="str">
            <v>Outdoor Metal Housing, Wall Mounted,  767mm, Beginning, Bold Lighting LLC, 17054</v>
          </cell>
          <cell r="Y514">
            <v>1.25</v>
          </cell>
          <cell r="Z514">
            <v>1.3</v>
          </cell>
          <cell r="AA514">
            <v>1</v>
          </cell>
        </row>
        <row r="515">
          <cell r="C515" t="str">
            <v>MH051BLD</v>
          </cell>
          <cell r="D515" t="str">
            <v>Galv Steel, 1mm</v>
          </cell>
          <cell r="E515" t="str">
            <v>BHO, BHS, BOO, BOS, BOW,BOK</v>
          </cell>
          <cell r="F515" t="str">
            <v>W</v>
          </cell>
          <cell r="G515" t="str">
            <v>B</v>
          </cell>
          <cell r="H515">
            <v>36</v>
          </cell>
          <cell r="Q515" t="str">
            <v>pc</v>
          </cell>
          <cell r="R515">
            <v>1</v>
          </cell>
          <cell r="T515">
            <v>1</v>
          </cell>
          <cell r="U515">
            <v>1.6500000000000001</v>
          </cell>
          <cell r="V515" t="str">
            <v>Outdoor Metal Housing, Wall Mounted,  917mm, Beginning, Bold Lighting LLC, 17054</v>
          </cell>
          <cell r="Y515">
            <v>1.5</v>
          </cell>
          <cell r="Z515">
            <v>1.3</v>
          </cell>
          <cell r="AA515">
            <v>1</v>
          </cell>
        </row>
        <row r="516">
          <cell r="C516" t="str">
            <v>MH052BLD</v>
          </cell>
          <cell r="D516" t="str">
            <v>Galv Steel, 1mm</v>
          </cell>
          <cell r="E516" t="str">
            <v>BHO, BHS, BOO, BOS, BOW,BOK</v>
          </cell>
          <cell r="F516" t="str">
            <v>W</v>
          </cell>
          <cell r="G516" t="str">
            <v>B</v>
          </cell>
          <cell r="H516">
            <v>42</v>
          </cell>
          <cell r="Q516" t="str">
            <v>pc</v>
          </cell>
          <cell r="R516">
            <v>1</v>
          </cell>
          <cell r="T516">
            <v>1</v>
          </cell>
          <cell r="U516">
            <v>2.0020000000000002</v>
          </cell>
          <cell r="V516" t="str">
            <v>Outdoor Metal Housing, Wall Mounted,  1067mm, Beginning, Bold Lighting LLC, 17054</v>
          </cell>
          <cell r="Y516">
            <v>1.82</v>
          </cell>
          <cell r="Z516">
            <v>1.3</v>
          </cell>
          <cell r="AA516">
            <v>1</v>
          </cell>
        </row>
        <row r="517">
          <cell r="C517" t="str">
            <v>MH053BLD</v>
          </cell>
          <cell r="D517" t="str">
            <v>Galv Steel, 1mm</v>
          </cell>
          <cell r="E517" t="str">
            <v>BHO, BHS, BOO, BOS, BOW,BOK</v>
          </cell>
          <cell r="F517" t="str">
            <v>W</v>
          </cell>
          <cell r="G517" t="str">
            <v>B</v>
          </cell>
          <cell r="H517">
            <v>48</v>
          </cell>
          <cell r="Q517" t="str">
            <v>pc</v>
          </cell>
          <cell r="R517">
            <v>1</v>
          </cell>
          <cell r="T517">
            <v>1</v>
          </cell>
          <cell r="U517">
            <v>2.3319999999999999</v>
          </cell>
          <cell r="V517" t="str">
            <v>Outdoor Metal Housing, Wall Mounted,  1217mm, Beginning, Bold Lighting LLC, 17054</v>
          </cell>
          <cell r="Y517">
            <v>2.1199999999999997</v>
          </cell>
          <cell r="Z517">
            <v>1.3</v>
          </cell>
          <cell r="AA517">
            <v>1</v>
          </cell>
        </row>
        <row r="518">
          <cell r="C518" t="str">
            <v>MH054BLD</v>
          </cell>
          <cell r="D518" t="str">
            <v>Galv Steel, 1mm</v>
          </cell>
          <cell r="E518" t="str">
            <v>BHO, BHS, BOO, BOS, BOW,BOK</v>
          </cell>
          <cell r="F518" t="str">
            <v>W</v>
          </cell>
          <cell r="G518" t="str">
            <v>B</v>
          </cell>
          <cell r="H518">
            <v>54</v>
          </cell>
          <cell r="Q518" t="str">
            <v>pc</v>
          </cell>
          <cell r="R518">
            <v>1</v>
          </cell>
          <cell r="T518">
            <v>1</v>
          </cell>
          <cell r="U518">
            <v>2.6619999999999999</v>
          </cell>
          <cell r="V518" t="str">
            <v>Outdoor Metal Housing, Wall Mounted,  1367mm, Beginning, Bold Lighting LLC, 17054</v>
          </cell>
          <cell r="Y518">
            <v>2.42</v>
          </cell>
          <cell r="Z518">
            <v>1.3</v>
          </cell>
          <cell r="AA518">
            <v>1</v>
          </cell>
        </row>
        <row r="519">
          <cell r="C519" t="str">
            <v>MH055BLD</v>
          </cell>
          <cell r="D519" t="str">
            <v>Galv Steel, 1mm</v>
          </cell>
          <cell r="E519" t="str">
            <v>BHO, BHS, BOO, BOS, BOW,BOK</v>
          </cell>
          <cell r="F519" t="str">
            <v>W</v>
          </cell>
          <cell r="G519" t="str">
            <v>B</v>
          </cell>
          <cell r="H519">
            <v>60</v>
          </cell>
          <cell r="Q519" t="str">
            <v>pc</v>
          </cell>
          <cell r="R519">
            <v>1</v>
          </cell>
          <cell r="T519">
            <v>1</v>
          </cell>
          <cell r="U519">
            <v>2.992</v>
          </cell>
          <cell r="V519" t="str">
            <v>Outdoor Metal Housing, Wall Mounted,  1517mm, Beginning, Bold Lighting LLC, 17054</v>
          </cell>
          <cell r="Y519">
            <v>2.7199999999999998</v>
          </cell>
          <cell r="Z519">
            <v>1.3</v>
          </cell>
          <cell r="AA519">
            <v>1</v>
          </cell>
        </row>
        <row r="520">
          <cell r="C520" t="str">
            <v>MH056BLD</v>
          </cell>
          <cell r="D520" t="str">
            <v>Galv Steel, 1mm</v>
          </cell>
          <cell r="E520" t="str">
            <v>BHO, BHS, BOO, BOS, BOW,BOK</v>
          </cell>
          <cell r="F520" t="str">
            <v>W</v>
          </cell>
          <cell r="G520" t="str">
            <v>E</v>
          </cell>
          <cell r="H520">
            <v>24</v>
          </cell>
          <cell r="Q520" t="str">
            <v>pc</v>
          </cell>
          <cell r="R520">
            <v>1</v>
          </cell>
          <cell r="T520">
            <v>1</v>
          </cell>
          <cell r="U520">
            <v>0.9900000000000001</v>
          </cell>
          <cell r="V520" t="str">
            <v>Outdoor Metal Housing, Wall Mounted,  617mm, End, Bold Lighting LLC, 17054</v>
          </cell>
          <cell r="Y520">
            <v>0.9</v>
          </cell>
          <cell r="Z520">
            <v>1.3</v>
          </cell>
          <cell r="AA520">
            <v>1</v>
          </cell>
        </row>
        <row r="521">
          <cell r="C521" t="str">
            <v>MH057BLD</v>
          </cell>
          <cell r="D521" t="str">
            <v>Galv Steel, 1mm</v>
          </cell>
          <cell r="E521" t="str">
            <v>BHO, BHS, BOO, BOS, BOW,BOK</v>
          </cell>
          <cell r="F521" t="str">
            <v>W</v>
          </cell>
          <cell r="G521" t="str">
            <v>E</v>
          </cell>
          <cell r="H521">
            <v>30</v>
          </cell>
          <cell r="Q521" t="str">
            <v>pc</v>
          </cell>
          <cell r="R521">
            <v>1</v>
          </cell>
          <cell r="T521">
            <v>1</v>
          </cell>
          <cell r="U521">
            <v>1.375</v>
          </cell>
          <cell r="V521" t="str">
            <v>Outdoor Metal Housing, Wall Mounted,  767mm, End, Bold Lighting LLC, 17054</v>
          </cell>
          <cell r="Y521">
            <v>1.25</v>
          </cell>
          <cell r="Z521">
            <v>1.3</v>
          </cell>
          <cell r="AA521">
            <v>1</v>
          </cell>
        </row>
        <row r="522">
          <cell r="C522" t="str">
            <v>MH058BLD</v>
          </cell>
          <cell r="D522" t="str">
            <v>Galv Steel, 1mm</v>
          </cell>
          <cell r="E522" t="str">
            <v>BHO, BHS, BOO, BOS, BOW,BOK</v>
          </cell>
          <cell r="F522" t="str">
            <v>W</v>
          </cell>
          <cell r="G522" t="str">
            <v>E</v>
          </cell>
          <cell r="H522">
            <v>36</v>
          </cell>
          <cell r="Q522" t="str">
            <v>pc</v>
          </cell>
          <cell r="R522">
            <v>1</v>
          </cell>
          <cell r="T522">
            <v>1</v>
          </cell>
          <cell r="U522">
            <v>1.6500000000000001</v>
          </cell>
          <cell r="V522" t="str">
            <v>Outdoor Metal Housing, Wall Mounted,  917mm, End, Bold Lighting LLC, 17054</v>
          </cell>
          <cell r="Y522">
            <v>1.5</v>
          </cell>
          <cell r="Z522">
            <v>1.3</v>
          </cell>
          <cell r="AA522">
            <v>1</v>
          </cell>
        </row>
        <row r="523">
          <cell r="C523" t="str">
            <v>MH059BLD</v>
          </cell>
          <cell r="D523" t="str">
            <v>Galv Steel, 1mm</v>
          </cell>
          <cell r="E523" t="str">
            <v>BHO, BHS, BOO, BOS, BOW,BOK</v>
          </cell>
          <cell r="F523" t="str">
            <v>W</v>
          </cell>
          <cell r="G523" t="str">
            <v>E</v>
          </cell>
          <cell r="H523">
            <v>42</v>
          </cell>
          <cell r="Q523" t="str">
            <v>pc</v>
          </cell>
          <cell r="R523">
            <v>1</v>
          </cell>
          <cell r="T523">
            <v>1</v>
          </cell>
          <cell r="U523">
            <v>2.0020000000000002</v>
          </cell>
          <cell r="V523" t="str">
            <v>Outdoor Metal Housing, Wall Mounted,  1067mm, End, Bold Lighting LLC, 17054</v>
          </cell>
          <cell r="Y523">
            <v>1.82</v>
          </cell>
          <cell r="Z523">
            <v>1.3</v>
          </cell>
          <cell r="AA523">
            <v>1</v>
          </cell>
        </row>
        <row r="524">
          <cell r="C524" t="str">
            <v>MH060BLD</v>
          </cell>
          <cell r="D524" t="str">
            <v>Galv Steel, 1mm</v>
          </cell>
          <cell r="E524" t="str">
            <v>BHO, BHS, BOO, BOS, BOW,BOK</v>
          </cell>
          <cell r="F524" t="str">
            <v>W</v>
          </cell>
          <cell r="G524" t="str">
            <v>E</v>
          </cell>
          <cell r="H524">
            <v>48</v>
          </cell>
          <cell r="Q524" t="str">
            <v>pc</v>
          </cell>
          <cell r="R524">
            <v>1</v>
          </cell>
          <cell r="T524">
            <v>1</v>
          </cell>
          <cell r="U524">
            <v>2.3319999999999999</v>
          </cell>
          <cell r="V524" t="str">
            <v>Outdoor Metal Housing, Wall Mounted,  1217mm, End, Bold Lighting LLC, 17054</v>
          </cell>
          <cell r="Y524">
            <v>2.1199999999999997</v>
          </cell>
          <cell r="Z524">
            <v>1.3</v>
          </cell>
          <cell r="AA524">
            <v>1</v>
          </cell>
        </row>
        <row r="525">
          <cell r="C525" t="str">
            <v>MH061BLD</v>
          </cell>
          <cell r="D525" t="str">
            <v>Galv Steel, 1mm</v>
          </cell>
          <cell r="E525" t="str">
            <v>BHO, BHS, BOO, BOS, BOW,BOK</v>
          </cell>
          <cell r="F525" t="str">
            <v>W</v>
          </cell>
          <cell r="G525" t="str">
            <v>E</v>
          </cell>
          <cell r="H525">
            <v>54</v>
          </cell>
          <cell r="Q525" t="str">
            <v>pc</v>
          </cell>
          <cell r="R525">
            <v>1</v>
          </cell>
          <cell r="T525">
            <v>1</v>
          </cell>
          <cell r="U525">
            <v>2.6619999999999999</v>
          </cell>
          <cell r="V525" t="str">
            <v>Outdoor Metal Housing, Wall Mounted,  1367mm, End, Bold Lighting LLC, 17054</v>
          </cell>
          <cell r="Y525">
            <v>2.42</v>
          </cell>
          <cell r="Z525">
            <v>1.3</v>
          </cell>
          <cell r="AA525">
            <v>1</v>
          </cell>
        </row>
        <row r="526">
          <cell r="C526" t="str">
            <v>MH062BLD</v>
          </cell>
          <cell r="D526" t="str">
            <v>Galv Steel, 1mm</v>
          </cell>
          <cell r="E526" t="str">
            <v>BHO, BHS, BOO, BOS, BOW,BOK</v>
          </cell>
          <cell r="F526" t="str">
            <v>W</v>
          </cell>
          <cell r="G526" t="str">
            <v>E</v>
          </cell>
          <cell r="H526">
            <v>60</v>
          </cell>
          <cell r="Q526" t="str">
            <v>pc</v>
          </cell>
          <cell r="R526">
            <v>1</v>
          </cell>
          <cell r="T526">
            <v>1</v>
          </cell>
          <cell r="U526">
            <v>2.992</v>
          </cell>
          <cell r="V526" t="str">
            <v>Outdoor Metal Housing, Wall Mounted,  1517mm, End, Bold Lighting LLC, 17054</v>
          </cell>
          <cell r="Y526">
            <v>2.7199999999999998</v>
          </cell>
          <cell r="Z526">
            <v>1.3</v>
          </cell>
          <cell r="AA526">
            <v>1</v>
          </cell>
        </row>
        <row r="527">
          <cell r="C527" t="str">
            <v>MH063BLD</v>
          </cell>
          <cell r="D527" t="str">
            <v>Galv Steel, 1mm</v>
          </cell>
          <cell r="E527" t="str">
            <v>BHO, BHS, BOO, BOS, BOW,BOK</v>
          </cell>
          <cell r="F527" t="str">
            <v>W</v>
          </cell>
          <cell r="G527" t="str">
            <v>M</v>
          </cell>
          <cell r="H527">
            <v>24</v>
          </cell>
          <cell r="Q527" t="str">
            <v>pc</v>
          </cell>
          <cell r="R527">
            <v>1</v>
          </cell>
          <cell r="T527">
            <v>1</v>
          </cell>
          <cell r="U527">
            <v>0.9900000000000001</v>
          </cell>
          <cell r="V527" t="str">
            <v>Outdoor Metal Housing, Wall Mounted,  618mm, Middle, Bold Lighting LLC, 17054</v>
          </cell>
          <cell r="Y527">
            <v>0.9</v>
          </cell>
          <cell r="Z527">
            <v>1.3</v>
          </cell>
          <cell r="AA527">
            <v>1</v>
          </cell>
        </row>
        <row r="528">
          <cell r="C528" t="str">
            <v>MH064BLD</v>
          </cell>
          <cell r="D528" t="str">
            <v>Galv Steel, 1mm</v>
          </cell>
          <cell r="E528" t="str">
            <v>BHO, BHS, BOO, BOS, BOW,BOK</v>
          </cell>
          <cell r="F528" t="str">
            <v>W</v>
          </cell>
          <cell r="G528" t="str">
            <v>M</v>
          </cell>
          <cell r="H528">
            <v>30</v>
          </cell>
          <cell r="Q528" t="str">
            <v>pc</v>
          </cell>
          <cell r="R528">
            <v>1</v>
          </cell>
          <cell r="T528">
            <v>1</v>
          </cell>
          <cell r="U528">
            <v>1.375</v>
          </cell>
          <cell r="V528" t="str">
            <v>Outdoor Metal Housing, Wall Mounted,  768mm, Middle, Bold Lighting LLC, 17054</v>
          </cell>
          <cell r="Y528">
            <v>1.25</v>
          </cell>
          <cell r="Z528">
            <v>1.3</v>
          </cell>
          <cell r="AA528">
            <v>1</v>
          </cell>
        </row>
        <row r="529">
          <cell r="C529" t="str">
            <v>MH065BLD</v>
          </cell>
          <cell r="D529" t="str">
            <v>Galv Steel, 1mm</v>
          </cell>
          <cell r="E529" t="str">
            <v>BHO, BHS, BOO, BOS, BOW,BOK</v>
          </cell>
          <cell r="F529" t="str">
            <v>W</v>
          </cell>
          <cell r="G529" t="str">
            <v>M</v>
          </cell>
          <cell r="H529">
            <v>36</v>
          </cell>
          <cell r="Q529" t="str">
            <v>pc</v>
          </cell>
          <cell r="R529">
            <v>1</v>
          </cell>
          <cell r="T529">
            <v>1</v>
          </cell>
          <cell r="U529">
            <v>1.6500000000000001</v>
          </cell>
          <cell r="V529" t="str">
            <v>Outdoor Metal Housing, Wall Mounted,  918mm, Middle, Bold Lighting LLC, 17054</v>
          </cell>
          <cell r="Y529">
            <v>1.5</v>
          </cell>
          <cell r="Z529">
            <v>1.3</v>
          </cell>
          <cell r="AA529">
            <v>1</v>
          </cell>
        </row>
        <row r="530">
          <cell r="C530" t="str">
            <v>MH066BLD</v>
          </cell>
          <cell r="D530" t="str">
            <v>Galv Steel, 1mm</v>
          </cell>
          <cell r="E530" t="str">
            <v>BHO, BHS, BOO, BOS, BOW,BOK</v>
          </cell>
          <cell r="F530" t="str">
            <v>W</v>
          </cell>
          <cell r="G530" t="str">
            <v>M</v>
          </cell>
          <cell r="H530">
            <v>42</v>
          </cell>
          <cell r="Q530" t="str">
            <v>pc</v>
          </cell>
          <cell r="R530">
            <v>1</v>
          </cell>
          <cell r="T530">
            <v>1</v>
          </cell>
          <cell r="U530">
            <v>2.0020000000000002</v>
          </cell>
          <cell r="V530" t="str">
            <v>Outdoor Metal Housing, Wall Mounted,  1068mm, Middle, Bold Lighting LLC, 17054</v>
          </cell>
          <cell r="Y530">
            <v>1.82</v>
          </cell>
          <cell r="Z530">
            <v>1.3</v>
          </cell>
          <cell r="AA530">
            <v>1</v>
          </cell>
        </row>
        <row r="531">
          <cell r="C531" t="str">
            <v>MH067BLD</v>
          </cell>
          <cell r="D531" t="str">
            <v>Galv Steel, 1mm</v>
          </cell>
          <cell r="E531" t="str">
            <v>BHO, BHS, BOO, BOS, BOW,BOK</v>
          </cell>
          <cell r="F531" t="str">
            <v>W</v>
          </cell>
          <cell r="G531" t="str">
            <v>M</v>
          </cell>
          <cell r="H531">
            <v>48</v>
          </cell>
          <cell r="Q531" t="str">
            <v>pc</v>
          </cell>
          <cell r="R531">
            <v>1</v>
          </cell>
          <cell r="T531">
            <v>1</v>
          </cell>
          <cell r="U531">
            <v>2.3319999999999999</v>
          </cell>
          <cell r="V531" t="str">
            <v>Outdoor Metal Housing, Wall Mounted,  1218mm, Middle, Bold Lighting LLC, 17054</v>
          </cell>
          <cell r="Y531">
            <v>2.1199999999999997</v>
          </cell>
          <cell r="Z531">
            <v>1.3</v>
          </cell>
          <cell r="AA531">
            <v>1</v>
          </cell>
        </row>
        <row r="532">
          <cell r="C532" t="str">
            <v>MH068BLD</v>
          </cell>
          <cell r="D532" t="str">
            <v>Galv Steel, 1mm</v>
          </cell>
          <cell r="E532" t="str">
            <v>BHO, BHS, BOO, BOS, BOW,BOK</v>
          </cell>
          <cell r="F532" t="str">
            <v>W</v>
          </cell>
          <cell r="G532" t="str">
            <v>M</v>
          </cell>
          <cell r="H532">
            <v>54</v>
          </cell>
          <cell r="Q532" t="str">
            <v>pc</v>
          </cell>
          <cell r="R532">
            <v>1</v>
          </cell>
          <cell r="T532">
            <v>1</v>
          </cell>
          <cell r="U532">
            <v>2.6619999999999999</v>
          </cell>
          <cell r="V532" t="str">
            <v>Outdoor Metal Housing, Wall Mounted,  1368mm, Middle, Bold Lighting LLC, 17054</v>
          </cell>
          <cell r="Y532">
            <v>2.42</v>
          </cell>
          <cell r="Z532">
            <v>1.3</v>
          </cell>
          <cell r="AA532">
            <v>1</v>
          </cell>
        </row>
        <row r="533">
          <cell r="C533" t="str">
            <v>MH069BLD</v>
          </cell>
          <cell r="D533" t="str">
            <v>Galv Steel, 1mm</v>
          </cell>
          <cell r="E533" t="str">
            <v>BHO, BHS, BOO, BOS, BOW,BOK</v>
          </cell>
          <cell r="F533" t="str">
            <v>W</v>
          </cell>
          <cell r="G533" t="str">
            <v>M</v>
          </cell>
          <cell r="H533">
            <v>60</v>
          </cell>
          <cell r="Q533" t="str">
            <v>pc</v>
          </cell>
          <cell r="R533">
            <v>1</v>
          </cell>
          <cell r="T533">
            <v>1</v>
          </cell>
          <cell r="U533">
            <v>2.992</v>
          </cell>
          <cell r="V533" t="str">
            <v>Outdoor Metal Housing, Wall Mounted,  1518mm, Middle, Bold Lighting LLC, 17054</v>
          </cell>
          <cell r="Y533">
            <v>2.7199999999999998</v>
          </cell>
          <cell r="Z533">
            <v>1.3</v>
          </cell>
          <cell r="AA533">
            <v>1</v>
          </cell>
        </row>
        <row r="534">
          <cell r="C534" t="str">
            <v>MH070BLD</v>
          </cell>
          <cell r="D534" t="str">
            <v>SS304, 1mm</v>
          </cell>
          <cell r="E534" t="str">
            <v>BOP</v>
          </cell>
          <cell r="F534" t="str">
            <v>F,E</v>
          </cell>
          <cell r="G534" t="str">
            <v>S</v>
          </cell>
          <cell r="Q534" t="str">
            <v>pc</v>
          </cell>
          <cell r="R534">
            <v>1</v>
          </cell>
          <cell r="T534">
            <v>1</v>
          </cell>
          <cell r="U534">
            <v>0.27500000000000002</v>
          </cell>
          <cell r="V534" t="str">
            <v>Outdoor Metal Housing, Trimless,  208.5mm, 0.6mm Thickness, Single, Bold Lighting LLC, 17801</v>
          </cell>
          <cell r="W534" t="str">
            <v>N/A</v>
          </cell>
          <cell r="Y534">
            <v>0.25</v>
          </cell>
          <cell r="Z534">
            <v>1.3</v>
          </cell>
          <cell r="AA534">
            <v>1</v>
          </cell>
        </row>
        <row r="535">
          <cell r="C535" t="str">
            <v>MH101BLD</v>
          </cell>
          <cell r="D535" t="str">
            <v>SS304, 1mm</v>
          </cell>
          <cell r="E535" t="str">
            <v>BOP</v>
          </cell>
          <cell r="F535" t="str">
            <v>E</v>
          </cell>
          <cell r="G535" t="str">
            <v>S</v>
          </cell>
          <cell r="H535" t="str">
            <v>-</v>
          </cell>
          <cell r="Q535" t="str">
            <v>pc</v>
          </cell>
          <cell r="R535">
            <v>1</v>
          </cell>
          <cell r="T535">
            <v>1</v>
          </cell>
          <cell r="U535">
            <v>0.27500000000000002</v>
          </cell>
          <cell r="V535" t="str">
            <v>Outdoor Metal Housing, Recessed with Trim,  208.5mm, 1mm Thickness, Single, Bold Lighting LLC, 17801-R</v>
          </cell>
          <cell r="W535" t="str">
            <v>N/A</v>
          </cell>
          <cell r="Y535">
            <v>0.25</v>
          </cell>
        </row>
        <row r="536">
          <cell r="C536" t="str">
            <v>MH071BLD</v>
          </cell>
          <cell r="D536" t="str">
            <v>Galv Steel, 0.6mm</v>
          </cell>
          <cell r="E536" t="str">
            <v>BHO, BHS, BOO, BOS, BOW,BOK</v>
          </cell>
          <cell r="F536" t="str">
            <v>T,M</v>
          </cell>
          <cell r="G536" t="str">
            <v>S</v>
          </cell>
          <cell r="H536">
            <v>12</v>
          </cell>
          <cell r="Q536" t="str">
            <v>pc</v>
          </cell>
          <cell r="R536">
            <v>1</v>
          </cell>
          <cell r="T536">
            <v>1</v>
          </cell>
          <cell r="U536">
            <v>0.49500000000000005</v>
          </cell>
          <cell r="V536" t="str">
            <v>Outdoor Metal Housing, Trimless,  322mm, Single, Bold Lighting LLC, 17801</v>
          </cell>
          <cell r="W536" t="str">
            <v>N/A</v>
          </cell>
          <cell r="Y536">
            <v>0.45</v>
          </cell>
          <cell r="Z536">
            <v>1.3</v>
          </cell>
          <cell r="AA536">
            <v>1</v>
          </cell>
        </row>
        <row r="537">
          <cell r="C537" t="str">
            <v>MH072BLD</v>
          </cell>
          <cell r="D537" t="str">
            <v>Galv Steel, 0.6mm</v>
          </cell>
          <cell r="E537" t="str">
            <v>BHO, BHS, BOO, BOS, BOW,BOK</v>
          </cell>
          <cell r="F537" t="str">
            <v>T,M</v>
          </cell>
          <cell r="G537" t="str">
            <v>S</v>
          </cell>
          <cell r="H537">
            <v>18</v>
          </cell>
          <cell r="Q537" t="str">
            <v>pc</v>
          </cell>
          <cell r="R537">
            <v>1</v>
          </cell>
          <cell r="T537">
            <v>1</v>
          </cell>
          <cell r="U537">
            <v>0.71500000000000008</v>
          </cell>
          <cell r="V537" t="str">
            <v>Outdoor Metal Housing, Trimless,  472mm, Single, Bold Lighting LLC, 17801</v>
          </cell>
          <cell r="W537" t="str">
            <v>N/A</v>
          </cell>
          <cell r="Y537">
            <v>0.65</v>
          </cell>
          <cell r="Z537">
            <v>1.3</v>
          </cell>
          <cell r="AA537">
            <v>1</v>
          </cell>
        </row>
        <row r="538">
          <cell r="C538" t="str">
            <v>MH073BLD</v>
          </cell>
          <cell r="D538" t="str">
            <v>Galv Steel, 0.6mm</v>
          </cell>
          <cell r="E538" t="str">
            <v>BHO, BHS, BOO, BOS, BOW,BOK</v>
          </cell>
          <cell r="F538" t="str">
            <v>T,M</v>
          </cell>
          <cell r="G538" t="str">
            <v>S</v>
          </cell>
          <cell r="H538">
            <v>24</v>
          </cell>
          <cell r="Q538" t="str">
            <v>pc</v>
          </cell>
          <cell r="R538">
            <v>1</v>
          </cell>
          <cell r="T538">
            <v>1</v>
          </cell>
          <cell r="U538">
            <v>0.93500000000000005</v>
          </cell>
          <cell r="V538" t="str">
            <v>Outdoor Metal Housing, Trimless,  622mm, Single, Bold Lighting LLC, 17801</v>
          </cell>
          <cell r="W538" t="str">
            <v>N/A</v>
          </cell>
          <cell r="Y538">
            <v>0.85</v>
          </cell>
          <cell r="Z538">
            <v>1.3</v>
          </cell>
          <cell r="AA538">
            <v>1</v>
          </cell>
        </row>
        <row r="539">
          <cell r="C539" t="str">
            <v>MH074BLD</v>
          </cell>
          <cell r="D539" t="str">
            <v>Galv Steel, 0.6mm</v>
          </cell>
          <cell r="E539" t="str">
            <v>BHO, BHS, BOO, BOS, BOW,BOK</v>
          </cell>
          <cell r="F539" t="str">
            <v>T,M</v>
          </cell>
          <cell r="G539" t="str">
            <v>S</v>
          </cell>
          <cell r="H539">
            <v>30</v>
          </cell>
          <cell r="Q539" t="str">
            <v>pc</v>
          </cell>
          <cell r="R539">
            <v>1</v>
          </cell>
          <cell r="T539">
            <v>1</v>
          </cell>
          <cell r="U539">
            <v>1.1550000000000002</v>
          </cell>
          <cell r="V539" t="str">
            <v>Outdoor Metal Housing, Trimless,  772mm, Single, Bold Lighting LLC, 17801</v>
          </cell>
          <cell r="W539" t="str">
            <v>N/A</v>
          </cell>
          <cell r="Y539">
            <v>1.05</v>
          </cell>
          <cell r="Z539">
            <v>1.3</v>
          </cell>
          <cell r="AA539">
            <v>1</v>
          </cell>
        </row>
        <row r="540">
          <cell r="C540" t="str">
            <v>MH075BLD</v>
          </cell>
          <cell r="D540" t="str">
            <v>Galv Steel, 0.6mm</v>
          </cell>
          <cell r="E540" t="str">
            <v>BHO, BHS, BOO, BOS, BOW,BOK</v>
          </cell>
          <cell r="F540" t="str">
            <v>T,M</v>
          </cell>
          <cell r="G540" t="str">
            <v>S</v>
          </cell>
          <cell r="H540">
            <v>36</v>
          </cell>
          <cell r="Q540" t="str">
            <v>pc</v>
          </cell>
          <cell r="R540">
            <v>1</v>
          </cell>
          <cell r="T540">
            <v>1</v>
          </cell>
          <cell r="U540">
            <v>1.375</v>
          </cell>
          <cell r="V540" t="str">
            <v>Outdoor Metal Housing, Trimless,  922mm, Single, Bold Lighting LLC, 17801</v>
          </cell>
          <cell r="W540" t="str">
            <v>N/A</v>
          </cell>
          <cell r="Y540">
            <v>1.25</v>
          </cell>
          <cell r="Z540">
            <v>1.3</v>
          </cell>
          <cell r="AA540">
            <v>1</v>
          </cell>
        </row>
        <row r="541">
          <cell r="C541" t="str">
            <v>MH076BLD</v>
          </cell>
          <cell r="D541" t="str">
            <v>Galv Steel, 0.6mm</v>
          </cell>
          <cell r="E541" t="str">
            <v>BHO, BHS, BOO, BOS, BOW,BOK</v>
          </cell>
          <cell r="F541" t="str">
            <v>T,M</v>
          </cell>
          <cell r="G541" t="str">
            <v>S</v>
          </cell>
          <cell r="H541">
            <v>42</v>
          </cell>
          <cell r="Q541" t="str">
            <v>pc</v>
          </cell>
          <cell r="R541">
            <v>1</v>
          </cell>
          <cell r="T541">
            <v>1</v>
          </cell>
          <cell r="U541">
            <v>1.595</v>
          </cell>
          <cell r="V541" t="str">
            <v>Outdoor Metal Housing, Trimless,  1072mm, Single, Bold Lighting LLC, 17801</v>
          </cell>
          <cell r="W541" t="str">
            <v>N/A</v>
          </cell>
          <cell r="Y541">
            <v>1.45</v>
          </cell>
          <cell r="Z541">
            <v>1.3</v>
          </cell>
          <cell r="AA541">
            <v>1</v>
          </cell>
        </row>
        <row r="542">
          <cell r="C542" t="str">
            <v>MH077BLD</v>
          </cell>
          <cell r="D542" t="str">
            <v>Galv Steel, 0.6mm</v>
          </cell>
          <cell r="E542" t="str">
            <v>BHO, BHS, BOO, BOS, BOW,BOK</v>
          </cell>
          <cell r="F542" t="str">
            <v>T,M</v>
          </cell>
          <cell r="G542" t="str">
            <v>S</v>
          </cell>
          <cell r="H542">
            <v>48</v>
          </cell>
          <cell r="Q542" t="str">
            <v>pc</v>
          </cell>
          <cell r="R542">
            <v>1</v>
          </cell>
          <cell r="T542">
            <v>1</v>
          </cell>
          <cell r="U542">
            <v>1.8149999999999999</v>
          </cell>
          <cell r="V542" t="str">
            <v>Outdoor Metal Housing, Trimless,  1222mm, Single, Bold Lighting LLC, 17801</v>
          </cell>
          <cell r="W542" t="str">
            <v>N/A</v>
          </cell>
          <cell r="Y542">
            <v>1.65</v>
          </cell>
          <cell r="Z542">
            <v>1.3</v>
          </cell>
          <cell r="AA542">
            <v>1</v>
          </cell>
        </row>
        <row r="543">
          <cell r="C543" t="str">
            <v>MH078BLD</v>
          </cell>
          <cell r="D543" t="str">
            <v>Galv Steel, 0.6mm</v>
          </cell>
          <cell r="E543" t="str">
            <v>BHO, BHS, BOO, BOS, BOW,BOK</v>
          </cell>
          <cell r="F543" t="str">
            <v>T,M</v>
          </cell>
          <cell r="G543" t="str">
            <v>S</v>
          </cell>
          <cell r="H543">
            <v>54</v>
          </cell>
          <cell r="Q543" t="str">
            <v>pc</v>
          </cell>
          <cell r="R543">
            <v>1</v>
          </cell>
          <cell r="T543">
            <v>1</v>
          </cell>
          <cell r="U543">
            <v>2.0350000000000001</v>
          </cell>
          <cell r="V543" t="str">
            <v>Outdoor Metal Housing, Trimless,  1372mm, Single, Bold Lighting LLC, 17801</v>
          </cell>
          <cell r="W543" t="str">
            <v>N/A</v>
          </cell>
          <cell r="Y543">
            <v>1.85</v>
          </cell>
          <cell r="Z543">
            <v>1.3</v>
          </cell>
          <cell r="AA543">
            <v>1</v>
          </cell>
        </row>
        <row r="544">
          <cell r="C544" t="str">
            <v>MH079BLD</v>
          </cell>
          <cell r="D544" t="str">
            <v>Galv Steel, 0.6mm</v>
          </cell>
          <cell r="E544" t="str">
            <v>BHO, BHS, BOO, BOS, BOW,BOK</v>
          </cell>
          <cell r="F544" t="str">
            <v>T,M</v>
          </cell>
          <cell r="G544" t="str">
            <v>S</v>
          </cell>
          <cell r="H544">
            <v>60</v>
          </cell>
          <cell r="Q544" t="str">
            <v>pc</v>
          </cell>
          <cell r="R544">
            <v>1</v>
          </cell>
          <cell r="T544">
            <v>1</v>
          </cell>
          <cell r="U544">
            <v>2.2549999999999999</v>
          </cell>
          <cell r="V544" t="str">
            <v>Outdoor Metal Housing, Trimless,  1522mm, Single, Bold Lighting LLC, 17801</v>
          </cell>
          <cell r="W544" t="str">
            <v>N/A</v>
          </cell>
          <cell r="Y544">
            <v>2.0499999999999998</v>
          </cell>
          <cell r="Z544">
            <v>1.3</v>
          </cell>
          <cell r="AA544">
            <v>1</v>
          </cell>
        </row>
        <row r="545">
          <cell r="C545" t="str">
            <v>MH080BLD</v>
          </cell>
          <cell r="D545" t="str">
            <v>Galv Steel, 0.6mm</v>
          </cell>
          <cell r="E545" t="str">
            <v>BHO, BHS, BOO, BOS, BOW,BOK</v>
          </cell>
          <cell r="F545" t="str">
            <v>T,M</v>
          </cell>
          <cell r="G545" t="str">
            <v>M</v>
          </cell>
          <cell r="H545">
            <v>12</v>
          </cell>
          <cell r="Q545" t="str">
            <v>pc</v>
          </cell>
          <cell r="R545">
            <v>1</v>
          </cell>
          <cell r="T545">
            <v>1</v>
          </cell>
          <cell r="U545">
            <v>0.49500000000000005</v>
          </cell>
          <cell r="V545" t="str">
            <v>Outdoor Metal Housing, Trimless,  319mm, Middle, Bold Lighting LLC, 17801</v>
          </cell>
          <cell r="W545" t="str">
            <v>N/A</v>
          </cell>
          <cell r="Y545">
            <v>0.45</v>
          </cell>
          <cell r="Z545">
            <v>1.3</v>
          </cell>
          <cell r="AA545">
            <v>1</v>
          </cell>
        </row>
        <row r="546">
          <cell r="C546" t="str">
            <v>MH081BLD</v>
          </cell>
          <cell r="D546" t="str">
            <v>Galv Steel, 0.6mm</v>
          </cell>
          <cell r="E546" t="str">
            <v>BHO, BHS, BOO, BOS, BOW,BOK</v>
          </cell>
          <cell r="F546" t="str">
            <v>T,M</v>
          </cell>
          <cell r="G546" t="str">
            <v>M</v>
          </cell>
          <cell r="H546">
            <v>18</v>
          </cell>
          <cell r="Q546" t="str">
            <v>pc</v>
          </cell>
          <cell r="R546">
            <v>1</v>
          </cell>
          <cell r="T546">
            <v>1</v>
          </cell>
          <cell r="U546">
            <v>0.71500000000000008</v>
          </cell>
          <cell r="V546" t="str">
            <v>Outdoor Metal Housing, Trimless,  469mm, Middle, Bold Lighting LLC, 17801</v>
          </cell>
          <cell r="W546" t="str">
            <v>N/A</v>
          </cell>
          <cell r="Y546">
            <v>0.65</v>
          </cell>
          <cell r="Z546">
            <v>1.3</v>
          </cell>
          <cell r="AA546">
            <v>1</v>
          </cell>
        </row>
        <row r="547">
          <cell r="C547" t="str">
            <v>MH082BLD</v>
          </cell>
          <cell r="D547" t="str">
            <v>Galv Steel, 0.6mm</v>
          </cell>
          <cell r="E547" t="str">
            <v>BHO, BHS, BOO, BOS, BOW,BOK</v>
          </cell>
          <cell r="F547" t="str">
            <v>T,M</v>
          </cell>
          <cell r="G547" t="str">
            <v>M</v>
          </cell>
          <cell r="H547">
            <v>24</v>
          </cell>
          <cell r="Q547" t="str">
            <v>pc</v>
          </cell>
          <cell r="R547">
            <v>1</v>
          </cell>
          <cell r="T547">
            <v>1</v>
          </cell>
          <cell r="U547">
            <v>0.93500000000000005</v>
          </cell>
          <cell r="V547" t="str">
            <v>Outdoor Metal Housing, Trimless,  619mm, Middle, Bold Lighting LLC, 17801</v>
          </cell>
          <cell r="W547" t="str">
            <v>N/A</v>
          </cell>
          <cell r="Y547">
            <v>0.85</v>
          </cell>
          <cell r="Z547">
            <v>1.3</v>
          </cell>
          <cell r="AA547">
            <v>1</v>
          </cell>
        </row>
        <row r="548">
          <cell r="C548" t="str">
            <v>MH083BLD</v>
          </cell>
          <cell r="D548" t="str">
            <v>Galv Steel, 0.6mm</v>
          </cell>
          <cell r="E548" t="str">
            <v>BHO, BHS, BOO, BOS, BOW,BOK</v>
          </cell>
          <cell r="F548" t="str">
            <v>T,M</v>
          </cell>
          <cell r="G548" t="str">
            <v>M</v>
          </cell>
          <cell r="H548">
            <v>30</v>
          </cell>
          <cell r="Q548" t="str">
            <v>pc</v>
          </cell>
          <cell r="R548">
            <v>1</v>
          </cell>
          <cell r="T548">
            <v>1</v>
          </cell>
          <cell r="U548">
            <v>1.1550000000000002</v>
          </cell>
          <cell r="V548" t="str">
            <v>Outdoor Metal Housing, Trimless,  769mm, Middle, Bold Lighting LLC, 17801</v>
          </cell>
          <cell r="W548" t="str">
            <v>N/A</v>
          </cell>
          <cell r="Y548">
            <v>1.05</v>
          </cell>
          <cell r="Z548">
            <v>1.3</v>
          </cell>
          <cell r="AA548">
            <v>1</v>
          </cell>
        </row>
        <row r="549">
          <cell r="C549" t="str">
            <v>MH084BLD</v>
          </cell>
          <cell r="D549" t="str">
            <v>Galv Steel, 0.6mm</v>
          </cell>
          <cell r="E549" t="str">
            <v>BHO, BHS, BOO, BOS, BOW,BOK</v>
          </cell>
          <cell r="F549" t="str">
            <v>T,M</v>
          </cell>
          <cell r="G549" t="str">
            <v>M</v>
          </cell>
          <cell r="H549">
            <v>36</v>
          </cell>
          <cell r="Q549" t="str">
            <v>pc</v>
          </cell>
          <cell r="R549">
            <v>1</v>
          </cell>
          <cell r="T549">
            <v>1</v>
          </cell>
          <cell r="U549">
            <v>1.375</v>
          </cell>
          <cell r="V549" t="str">
            <v>Outdoor Metal Housing, Trimless,  919mm, Middle, Bold Lighting LLC, 17801</v>
          </cell>
          <cell r="W549" t="str">
            <v>N/A</v>
          </cell>
          <cell r="Y549">
            <v>1.25</v>
          </cell>
          <cell r="Z549">
            <v>1.3</v>
          </cell>
          <cell r="AA549">
            <v>1</v>
          </cell>
        </row>
        <row r="550">
          <cell r="C550" t="str">
            <v>MH085BLD</v>
          </cell>
          <cell r="D550" t="str">
            <v>Galv Steel, 0.6mm</v>
          </cell>
          <cell r="E550" t="str">
            <v>BHO, BHS, BOO, BOS, BOW,BOK</v>
          </cell>
          <cell r="F550" t="str">
            <v>T,M</v>
          </cell>
          <cell r="G550" t="str">
            <v>M</v>
          </cell>
          <cell r="H550">
            <v>42</v>
          </cell>
          <cell r="Q550" t="str">
            <v>pc</v>
          </cell>
          <cell r="R550">
            <v>1</v>
          </cell>
          <cell r="T550">
            <v>1</v>
          </cell>
          <cell r="U550">
            <v>1.595</v>
          </cell>
          <cell r="V550" t="str">
            <v>Outdoor Metal Housing, Trimless,  1069mm, Middle, Bold Lighting LLC, 17801</v>
          </cell>
          <cell r="W550" t="str">
            <v>N/A</v>
          </cell>
          <cell r="Y550">
            <v>1.45</v>
          </cell>
          <cell r="Z550">
            <v>1.3</v>
          </cell>
          <cell r="AA550">
            <v>1</v>
          </cell>
        </row>
        <row r="551">
          <cell r="C551" t="str">
            <v>MH086BLD</v>
          </cell>
          <cell r="D551" t="str">
            <v>Galv Steel, 0.6mm</v>
          </cell>
          <cell r="E551" t="str">
            <v>BHO, BHS, BOO, BOS, BOW,BOK</v>
          </cell>
          <cell r="F551" t="str">
            <v>T,M</v>
          </cell>
          <cell r="G551" t="str">
            <v>M</v>
          </cell>
          <cell r="H551">
            <v>48</v>
          </cell>
          <cell r="Q551" t="str">
            <v>pc</v>
          </cell>
          <cell r="R551">
            <v>1</v>
          </cell>
          <cell r="T551">
            <v>1</v>
          </cell>
          <cell r="U551">
            <v>1.8149999999999999</v>
          </cell>
          <cell r="V551" t="str">
            <v>Outdoor Metal Housing, Trimless,  1219mm, Middle, Bold Lighting LLC, 17801</v>
          </cell>
          <cell r="W551" t="str">
            <v>N/A</v>
          </cell>
          <cell r="Y551">
            <v>1.65</v>
          </cell>
          <cell r="Z551">
            <v>1.3</v>
          </cell>
          <cell r="AA551">
            <v>1</v>
          </cell>
        </row>
        <row r="552">
          <cell r="C552" t="str">
            <v>MH087BLD</v>
          </cell>
          <cell r="D552" t="str">
            <v>Galv Steel, 0.6mm</v>
          </cell>
          <cell r="E552" t="str">
            <v>BHO, BHS, BOO, BOS, BOW,BOK</v>
          </cell>
          <cell r="F552" t="str">
            <v>T,M</v>
          </cell>
          <cell r="G552" t="str">
            <v>M</v>
          </cell>
          <cell r="H552">
            <v>54</v>
          </cell>
          <cell r="Q552" t="str">
            <v>pc</v>
          </cell>
          <cell r="R552">
            <v>1</v>
          </cell>
          <cell r="T552">
            <v>1</v>
          </cell>
          <cell r="U552">
            <v>2.0350000000000001</v>
          </cell>
          <cell r="V552" t="str">
            <v>Outdoor Metal Housing, Trimless,  1369mm, Middle, Bold Lighting LLC, 17801</v>
          </cell>
          <cell r="W552" t="str">
            <v>N/A</v>
          </cell>
          <cell r="Y552">
            <v>1.85</v>
          </cell>
          <cell r="Z552">
            <v>1.3</v>
          </cell>
          <cell r="AA552">
            <v>1</v>
          </cell>
        </row>
        <row r="553">
          <cell r="C553" t="str">
            <v>MH088BLD</v>
          </cell>
          <cell r="D553" t="str">
            <v>Galv Steel, 0.6mm</v>
          </cell>
          <cell r="E553" t="str">
            <v>BHO, BHS, BOO, BOS, BOW,BOK</v>
          </cell>
          <cell r="F553" t="str">
            <v>T,M</v>
          </cell>
          <cell r="G553" t="str">
            <v>M</v>
          </cell>
          <cell r="H553">
            <v>60</v>
          </cell>
          <cell r="Q553" t="str">
            <v>pc</v>
          </cell>
          <cell r="R553">
            <v>1</v>
          </cell>
          <cell r="T553">
            <v>1</v>
          </cell>
          <cell r="U553">
            <v>2.2549999999999999</v>
          </cell>
          <cell r="V553" t="str">
            <v>Outdoor Metal Housing, Trimless,  1519mm, Middle, Bold Lighting LLC, 17801</v>
          </cell>
          <cell r="W553" t="str">
            <v>N/A</v>
          </cell>
          <cell r="Y553">
            <v>2.0499999999999998</v>
          </cell>
          <cell r="Z553">
            <v>1.3</v>
          </cell>
          <cell r="AA553">
            <v>1</v>
          </cell>
        </row>
        <row r="554">
          <cell r="C554" t="str">
            <v>MH089BLD</v>
          </cell>
          <cell r="D554" t="str">
            <v>Galv Steel, 0.6mm</v>
          </cell>
          <cell r="E554" t="str">
            <v>BHO, BHS, BOO, BOS, BOW,BOK</v>
          </cell>
          <cell r="F554" t="str">
            <v>T,M</v>
          </cell>
          <cell r="G554" t="str">
            <v>B,E</v>
          </cell>
          <cell r="H554">
            <v>12</v>
          </cell>
          <cell r="Q554" t="str">
            <v>pc</v>
          </cell>
          <cell r="R554">
            <v>1</v>
          </cell>
          <cell r="T554">
            <v>1</v>
          </cell>
          <cell r="U554">
            <v>0.49500000000000005</v>
          </cell>
          <cell r="V554" t="str">
            <v>Outdoor Metal Housing, Trimless,  321mm, Beginning, Bold Lighting LLC, 17801</v>
          </cell>
          <cell r="W554" t="str">
            <v>N/A</v>
          </cell>
          <cell r="Y554">
            <v>0.45</v>
          </cell>
          <cell r="Z554">
            <v>1.3</v>
          </cell>
          <cell r="AA554">
            <v>1</v>
          </cell>
        </row>
        <row r="555">
          <cell r="C555" t="str">
            <v>MH090BLD</v>
          </cell>
          <cell r="D555" t="str">
            <v>Galv Steel, 0.6mm</v>
          </cell>
          <cell r="E555" t="str">
            <v>BHO, BHS, BOO, BOS, BOW,BOK</v>
          </cell>
          <cell r="F555" t="str">
            <v>T,M</v>
          </cell>
          <cell r="G555" t="str">
            <v>B,E</v>
          </cell>
          <cell r="H555">
            <v>18</v>
          </cell>
          <cell r="Q555" t="str">
            <v>pc</v>
          </cell>
          <cell r="R555">
            <v>1</v>
          </cell>
          <cell r="T555">
            <v>1</v>
          </cell>
          <cell r="U555">
            <v>0.71500000000000008</v>
          </cell>
          <cell r="V555" t="str">
            <v>Outdoor Metal Housing, Trimless,  471mm, Beginning, Bold Lighting LLC, 17801</v>
          </cell>
          <cell r="W555" t="str">
            <v>N/A</v>
          </cell>
          <cell r="Y555">
            <v>0.65</v>
          </cell>
          <cell r="Z555">
            <v>1.3</v>
          </cell>
          <cell r="AA555">
            <v>1</v>
          </cell>
        </row>
        <row r="556">
          <cell r="C556" t="str">
            <v>MH091BLD</v>
          </cell>
          <cell r="D556" t="str">
            <v>Galv Steel, 0.6mm</v>
          </cell>
          <cell r="E556" t="str">
            <v>BHO, BHS, BOO, BOS, BOW,BOK</v>
          </cell>
          <cell r="F556" t="str">
            <v>T,M</v>
          </cell>
          <cell r="G556" t="str">
            <v>B,E</v>
          </cell>
          <cell r="H556">
            <v>24</v>
          </cell>
          <cell r="Q556" t="str">
            <v>pc</v>
          </cell>
          <cell r="R556">
            <v>1</v>
          </cell>
          <cell r="T556">
            <v>1</v>
          </cell>
          <cell r="U556">
            <v>0.93500000000000005</v>
          </cell>
          <cell r="V556" t="str">
            <v>Outdoor Metal Housing, Trimless,  621mm, Beginning, Bold Lighting LLC, 17801</v>
          </cell>
          <cell r="W556" t="str">
            <v>N/A</v>
          </cell>
          <cell r="Y556">
            <v>0.85</v>
          </cell>
          <cell r="Z556">
            <v>1.3</v>
          </cell>
          <cell r="AA556">
            <v>1</v>
          </cell>
        </row>
        <row r="557">
          <cell r="C557" t="str">
            <v>MH092BLD</v>
          </cell>
          <cell r="D557" t="str">
            <v>Galv Steel, 0.6mm</v>
          </cell>
          <cell r="E557" t="str">
            <v>BHO, BHS, BOO, BOS, BOW,BOK</v>
          </cell>
          <cell r="F557" t="str">
            <v>T,M</v>
          </cell>
          <cell r="G557" t="str">
            <v>B,E</v>
          </cell>
          <cell r="H557">
            <v>30</v>
          </cell>
          <cell r="Q557" t="str">
            <v>pc</v>
          </cell>
          <cell r="R557">
            <v>1</v>
          </cell>
          <cell r="T557">
            <v>1</v>
          </cell>
          <cell r="U557">
            <v>1.1550000000000002</v>
          </cell>
          <cell r="V557" t="str">
            <v>Outdoor Metal Housing, Trimless,  771mm, Beginning, Bold Lighting LLC, 17801</v>
          </cell>
          <cell r="W557" t="str">
            <v>N/A</v>
          </cell>
          <cell r="Y557">
            <v>1.05</v>
          </cell>
          <cell r="Z557">
            <v>1.3</v>
          </cell>
          <cell r="AA557">
            <v>1</v>
          </cell>
        </row>
        <row r="558">
          <cell r="C558" t="str">
            <v>MH093BLD</v>
          </cell>
          <cell r="D558" t="str">
            <v>Galv Steel, 0.6mm</v>
          </cell>
          <cell r="E558" t="str">
            <v>BHO, BHS, BOO, BOS, BOW,BOK</v>
          </cell>
          <cell r="F558" t="str">
            <v>T,M</v>
          </cell>
          <cell r="G558" t="str">
            <v>B,E</v>
          </cell>
          <cell r="H558">
            <v>36</v>
          </cell>
          <cell r="Q558" t="str">
            <v>pc</v>
          </cell>
          <cell r="R558">
            <v>1</v>
          </cell>
          <cell r="T558">
            <v>1</v>
          </cell>
          <cell r="U558">
            <v>1.375</v>
          </cell>
          <cell r="V558" t="str">
            <v>Outdoor Metal Housing, Trimless,  921mm, Beginning, Bold Lighting LLC, 17801</v>
          </cell>
          <cell r="W558" t="str">
            <v>N/A</v>
          </cell>
          <cell r="Y558">
            <v>1.25</v>
          </cell>
          <cell r="Z558">
            <v>1.3</v>
          </cell>
          <cell r="AA558">
            <v>1</v>
          </cell>
        </row>
        <row r="559">
          <cell r="C559" t="str">
            <v>MH094BLD</v>
          </cell>
          <cell r="D559" t="str">
            <v>Galv Steel, 0.6mm</v>
          </cell>
          <cell r="E559" t="str">
            <v>BHO, BHS, BOO, BOS, BOW,BOK</v>
          </cell>
          <cell r="F559" t="str">
            <v>T,M</v>
          </cell>
          <cell r="G559" t="str">
            <v>B,E</v>
          </cell>
          <cell r="H559">
            <v>42</v>
          </cell>
          <cell r="Q559" t="str">
            <v>pc</v>
          </cell>
          <cell r="R559">
            <v>1</v>
          </cell>
          <cell r="T559">
            <v>1</v>
          </cell>
          <cell r="U559">
            <v>1.595</v>
          </cell>
          <cell r="V559" t="str">
            <v>Outdoor Metal Housing, Trimless,  1071mm, Beginning, Bold Lighting LLC, 17801</v>
          </cell>
          <cell r="W559" t="str">
            <v>N/A</v>
          </cell>
          <cell r="Y559">
            <v>1.45</v>
          </cell>
          <cell r="Z559">
            <v>1.3</v>
          </cell>
          <cell r="AA559">
            <v>1</v>
          </cell>
        </row>
        <row r="560">
          <cell r="C560" t="str">
            <v>MH095BLD</v>
          </cell>
          <cell r="D560" t="str">
            <v>Galv Steel, 0.6mm</v>
          </cell>
          <cell r="E560" t="str">
            <v>BHO, BHS, BOO, BOS, BOW,BOK</v>
          </cell>
          <cell r="F560" t="str">
            <v>T,M</v>
          </cell>
          <cell r="G560" t="str">
            <v>B,E</v>
          </cell>
          <cell r="H560">
            <v>48</v>
          </cell>
          <cell r="Q560" t="str">
            <v>pc</v>
          </cell>
          <cell r="R560">
            <v>1</v>
          </cell>
          <cell r="T560">
            <v>1</v>
          </cell>
          <cell r="U560">
            <v>1.8149999999999999</v>
          </cell>
          <cell r="V560" t="str">
            <v>Outdoor Metal Housing, Trimless,  1221mm, Beginning, Bold Lighting LLC, 17801</v>
          </cell>
          <cell r="W560" t="str">
            <v>N/A</v>
          </cell>
          <cell r="Y560">
            <v>1.65</v>
          </cell>
          <cell r="Z560">
            <v>1.3</v>
          </cell>
          <cell r="AA560">
            <v>1</v>
          </cell>
        </row>
        <row r="561">
          <cell r="C561" t="str">
            <v>MH096BLD</v>
          </cell>
          <cell r="D561" t="str">
            <v>Galv Steel, 0.6mm</v>
          </cell>
          <cell r="E561" t="str">
            <v>BHO, BHS, BOO, BOS, BOW,BOK</v>
          </cell>
          <cell r="F561" t="str">
            <v>T,M</v>
          </cell>
          <cell r="G561" t="str">
            <v>B,E</v>
          </cell>
          <cell r="H561">
            <v>54</v>
          </cell>
          <cell r="Q561" t="str">
            <v>pc</v>
          </cell>
          <cell r="R561">
            <v>1</v>
          </cell>
          <cell r="T561">
            <v>1</v>
          </cell>
          <cell r="U561">
            <v>2.0350000000000001</v>
          </cell>
          <cell r="V561" t="str">
            <v>Outdoor Metal Housing, Trimless,  1371mm, Beginning, Bold Lighting LLC, 17801</v>
          </cell>
          <cell r="W561" t="str">
            <v>N/A</v>
          </cell>
          <cell r="Y561">
            <v>1.85</v>
          </cell>
          <cell r="Z561">
            <v>1.3</v>
          </cell>
          <cell r="AA561">
            <v>1</v>
          </cell>
        </row>
        <row r="562">
          <cell r="C562" t="str">
            <v>MH097BLD</v>
          </cell>
          <cell r="D562" t="str">
            <v>Galv Steel, 0.6mm</v>
          </cell>
          <cell r="E562" t="str">
            <v>BHO, BHS, BOO, BOS, BOW,BOK</v>
          </cell>
          <cell r="F562" t="str">
            <v>T,M</v>
          </cell>
          <cell r="G562" t="str">
            <v>B,E</v>
          </cell>
          <cell r="H562">
            <v>60</v>
          </cell>
          <cell r="Q562" t="str">
            <v>pc</v>
          </cell>
          <cell r="R562">
            <v>1</v>
          </cell>
          <cell r="T562">
            <v>1</v>
          </cell>
          <cell r="U562">
            <v>2.2549999999999999</v>
          </cell>
          <cell r="V562" t="str">
            <v>Outdoor Metal Housing, Trimless,  1521mm, Beginning, Bold Lighting LLC, 17801</v>
          </cell>
          <cell r="W562" t="str">
            <v>N/A</v>
          </cell>
          <cell r="Y562">
            <v>2.0499999999999998</v>
          </cell>
          <cell r="Z562">
            <v>1.3</v>
          </cell>
          <cell r="AA562">
            <v>1</v>
          </cell>
        </row>
        <row r="564">
          <cell r="C564" t="str">
            <v>TG001BLD</v>
          </cell>
          <cell r="D564" t="str">
            <v>Glass</v>
          </cell>
          <cell r="E564" t="str">
            <v>BOP</v>
          </cell>
          <cell r="H564" t="str">
            <v>6</v>
          </cell>
          <cell r="Q564" t="str">
            <v>pc</v>
          </cell>
          <cell r="R564">
            <v>1</v>
          </cell>
          <cell r="T564">
            <v>1</v>
          </cell>
          <cell r="U564">
            <v>1.32</v>
          </cell>
          <cell r="V564" t="str">
            <v>Tempered Glass, 162mm Length, 62mm Width, 6mm Thickness, Bold Lighting LLC, 17014</v>
          </cell>
          <cell r="W564" t="str">
            <v>Changzhou Tianxiang Special Glass Co., Ltd</v>
          </cell>
          <cell r="Y564">
            <v>1.2</v>
          </cell>
          <cell r="Z564">
            <v>1.83</v>
          </cell>
          <cell r="AA564">
            <v>1.8399999999999999</v>
          </cell>
        </row>
        <row r="565">
          <cell r="C565" t="str">
            <v>TG002BLD</v>
          </cell>
          <cell r="D565" t="str">
            <v>Glass</v>
          </cell>
          <cell r="E565" t="str">
            <v>BHO, BHS, BOO, BOS, BOW,BOK</v>
          </cell>
          <cell r="H565">
            <v>12</v>
          </cell>
          <cell r="Q565" t="str">
            <v>pc</v>
          </cell>
          <cell r="R565">
            <v>1</v>
          </cell>
          <cell r="T565">
            <v>1</v>
          </cell>
          <cell r="U565">
            <v>0.93500000000000005</v>
          </cell>
          <cell r="V565" t="str">
            <v>Tempered Glass, 312mm Length, 62mm Width, 6mm Thickness, Bold Lighting LLC, 17014</v>
          </cell>
          <cell r="W565" t="str">
            <v>Changzhou Tianxiang Special Glass Co., Ltd</v>
          </cell>
          <cell r="Y565">
            <v>0.85</v>
          </cell>
          <cell r="Z565">
            <v>1.83</v>
          </cell>
          <cell r="AA565">
            <v>1.8399999999999999</v>
          </cell>
        </row>
        <row r="566">
          <cell r="C566" t="str">
            <v>TG003BLD</v>
          </cell>
          <cell r="D566" t="str">
            <v>Glass</v>
          </cell>
          <cell r="E566" t="str">
            <v>BHO, BHS, BOO, BOS, BOW,BOK</v>
          </cell>
          <cell r="H566">
            <v>18</v>
          </cell>
          <cell r="Q566" t="str">
            <v>pc</v>
          </cell>
          <cell r="R566">
            <v>1</v>
          </cell>
          <cell r="T566">
            <v>1</v>
          </cell>
          <cell r="U566">
            <v>1.54</v>
          </cell>
          <cell r="V566" t="str">
            <v>Tempered Glass, 462mm Length, 62mm Width, 6mm Thickness, Bold Lighting LLC, 17014</v>
          </cell>
          <cell r="W566" t="str">
            <v>Changzhou Tianxiang Special Glass Co., Ltd</v>
          </cell>
          <cell r="Y566">
            <v>1.4</v>
          </cell>
          <cell r="Z566">
            <v>1.83</v>
          </cell>
          <cell r="AA566">
            <v>1.8399999999999999</v>
          </cell>
        </row>
        <row r="567">
          <cell r="C567" t="str">
            <v>TG004BLD</v>
          </cell>
          <cell r="D567" t="str">
            <v>Glass</v>
          </cell>
          <cell r="E567" t="str">
            <v>BHO, BHS, BOO, BOS, BOW,BOK</v>
          </cell>
          <cell r="H567">
            <v>24</v>
          </cell>
          <cell r="Q567" t="str">
            <v>pc</v>
          </cell>
          <cell r="R567">
            <v>1</v>
          </cell>
          <cell r="T567">
            <v>1</v>
          </cell>
          <cell r="U567">
            <v>1.54</v>
          </cell>
          <cell r="V567" t="str">
            <v>Tempered Glass, 612mm Length, 62mm Width, 6mm Thickness, Bold Lighting LLC, 17014</v>
          </cell>
          <cell r="W567" t="str">
            <v>Changzhou Tianxiang Special Glass Co., Ltd</v>
          </cell>
          <cell r="Y567">
            <v>1.4</v>
          </cell>
          <cell r="Z567">
            <v>1.83</v>
          </cell>
          <cell r="AA567">
            <v>1.8399999999999999</v>
          </cell>
        </row>
        <row r="568">
          <cell r="C568" t="str">
            <v>TG005BLD</v>
          </cell>
          <cell r="D568" t="str">
            <v>Glass</v>
          </cell>
          <cell r="E568" t="str">
            <v>BHO, BHS, BOO, BOS, BOW,BOK</v>
          </cell>
          <cell r="H568">
            <v>30</v>
          </cell>
          <cell r="Q568" t="str">
            <v>pc</v>
          </cell>
          <cell r="R568">
            <v>1</v>
          </cell>
          <cell r="T568">
            <v>1</v>
          </cell>
          <cell r="U568">
            <v>2.2000000000000002</v>
          </cell>
          <cell r="V568" t="str">
            <v>Tempered Glass, 762mm Length, 62mm Width, 6mm Thickness, Bold Lighting LLC, 17014</v>
          </cell>
          <cell r="W568" t="str">
            <v>Changzhou Tianxiang Special Glass Co., Ltd</v>
          </cell>
          <cell r="Y568">
            <v>2</v>
          </cell>
          <cell r="Z568">
            <v>1.83</v>
          </cell>
          <cell r="AA568">
            <v>1.8399999999999999</v>
          </cell>
        </row>
        <row r="569">
          <cell r="C569" t="str">
            <v>TG006BLD</v>
          </cell>
          <cell r="D569" t="str">
            <v>Glass</v>
          </cell>
          <cell r="E569" t="str">
            <v>BHO, BHS, BOO, BOS, BOW,BOK</v>
          </cell>
          <cell r="H569">
            <v>36</v>
          </cell>
          <cell r="Q569" t="str">
            <v>pc</v>
          </cell>
          <cell r="R569">
            <v>1</v>
          </cell>
          <cell r="T569">
            <v>1</v>
          </cell>
          <cell r="U569">
            <v>2.1779999999999999</v>
          </cell>
          <cell r="V569" t="str">
            <v>Tempered Glass, 912mm Length, 62mm Width, 6mm Thickness, Bold Lighting LLC, 17014</v>
          </cell>
          <cell r="W569" t="str">
            <v>Changzhou Tianxiang Special Glass Co., Ltd</v>
          </cell>
          <cell r="Y569">
            <v>1.98</v>
          </cell>
          <cell r="Z569">
            <v>1.83</v>
          </cell>
          <cell r="AA569">
            <v>1.8399999999999999</v>
          </cell>
        </row>
        <row r="570">
          <cell r="C570" t="str">
            <v>TG007BLD</v>
          </cell>
          <cell r="D570" t="str">
            <v>Glass</v>
          </cell>
          <cell r="E570" t="str">
            <v>BHO, BHS, BOO, BOS, BOW,BOK</v>
          </cell>
          <cell r="H570">
            <v>42</v>
          </cell>
          <cell r="Q570" t="str">
            <v>pc</v>
          </cell>
          <cell r="R570">
            <v>1</v>
          </cell>
          <cell r="T570">
            <v>1</v>
          </cell>
          <cell r="U570">
            <v>2.75</v>
          </cell>
          <cell r="V570" t="str">
            <v>Tempered Glass, 1062mm Length, 62mm Width, 6mm Thickness, Bold Lighting LLC, 17014</v>
          </cell>
          <cell r="W570" t="str">
            <v>Changzhou Tianxiang Special Glass Co., Ltd</v>
          </cell>
          <cell r="Y570">
            <v>2.5</v>
          </cell>
          <cell r="Z570">
            <v>1.83</v>
          </cell>
          <cell r="AA570">
            <v>1.84</v>
          </cell>
        </row>
        <row r="571">
          <cell r="C571" t="str">
            <v>TG008BLD</v>
          </cell>
          <cell r="D571" t="str">
            <v>Glass</v>
          </cell>
          <cell r="E571" t="str">
            <v>BHO, BHS, BOO, BOS, BOW,BOK</v>
          </cell>
          <cell r="H571">
            <v>48</v>
          </cell>
          <cell r="Q571" t="str">
            <v>pc</v>
          </cell>
          <cell r="R571">
            <v>1</v>
          </cell>
          <cell r="T571">
            <v>1</v>
          </cell>
          <cell r="U571">
            <v>2.75</v>
          </cell>
          <cell r="V571" t="str">
            <v>Tempered Glass, 1212mm Length, 62mm Width, 6mm Thickness, Bold Lighting LLC, 17014</v>
          </cell>
          <cell r="W571" t="str">
            <v>Changzhou Tianxiang Special Glass Co., Ltd</v>
          </cell>
          <cell r="Y571">
            <v>2.5</v>
          </cell>
          <cell r="Z571">
            <v>1.83</v>
          </cell>
          <cell r="AA571">
            <v>1.8399999999999999</v>
          </cell>
        </row>
        <row r="572">
          <cell r="C572" t="str">
            <v>TG009BLD</v>
          </cell>
          <cell r="D572" t="str">
            <v>Glass</v>
          </cell>
          <cell r="E572" t="str">
            <v>BHO, BHS, BOO, BOS, BOW,BOK</v>
          </cell>
          <cell r="H572">
            <v>54</v>
          </cell>
          <cell r="Q572" t="str">
            <v>pc</v>
          </cell>
          <cell r="R572">
            <v>1</v>
          </cell>
          <cell r="T572">
            <v>1</v>
          </cell>
          <cell r="U572">
            <v>3.3000000000000003</v>
          </cell>
          <cell r="V572" t="str">
            <v>Tempered Glass, 1362mm Length, 62mm Width, 6mm Thickness, Bold Lighting LLC, 17014</v>
          </cell>
          <cell r="W572" t="str">
            <v>Changzhou Tianxiang Special Glass Co., Ltd</v>
          </cell>
          <cell r="Y572">
            <v>3</v>
          </cell>
          <cell r="Z572">
            <v>1.83</v>
          </cell>
          <cell r="AA572">
            <v>1.8399999999999999</v>
          </cell>
        </row>
        <row r="573">
          <cell r="C573" t="str">
            <v>TG010BLD</v>
          </cell>
          <cell r="D573" t="str">
            <v>Glass</v>
          </cell>
          <cell r="E573" t="str">
            <v>BHO, BHS, BOO, BOS, BOW,BOK</v>
          </cell>
          <cell r="H573">
            <v>60</v>
          </cell>
          <cell r="Q573" t="str">
            <v>pc</v>
          </cell>
          <cell r="R573">
            <v>1</v>
          </cell>
          <cell r="T573">
            <v>1</v>
          </cell>
          <cell r="U573">
            <v>3.1350000000000002</v>
          </cell>
          <cell r="V573" t="str">
            <v>Tempered Glass, 1512mm Length, 62mm Width, 6mm Thickness, Bold Lighting LLC, 17014</v>
          </cell>
          <cell r="W573" t="str">
            <v>Changzhou Tianxiang Special Glass Co., Ltd</v>
          </cell>
          <cell r="Y573">
            <v>2.85</v>
          </cell>
          <cell r="Z573">
            <v>1.83</v>
          </cell>
          <cell r="AA573">
            <v>1.8399999999999999</v>
          </cell>
        </row>
        <row r="575">
          <cell r="C575" t="str">
            <v>PS010BLD</v>
          </cell>
          <cell r="D575" t="str">
            <v>Aluminum, 1.5mm</v>
          </cell>
          <cell r="E575" t="str">
            <v>BHO,BOO,BXO,BKO,BIO,BJO</v>
          </cell>
          <cell r="H575">
            <v>12</v>
          </cell>
          <cell r="Q575" t="str">
            <v>pc</v>
          </cell>
          <cell r="R575">
            <v>1</v>
          </cell>
          <cell r="T575">
            <v>1</v>
          </cell>
          <cell r="U575">
            <v>0.25300000000000006</v>
          </cell>
          <cell r="V575" t="str">
            <v>PCB Metal Sheet, Outdoor Opal and Honeycomb Opal, 300mm, Bold Lighting LLC, E22011</v>
          </cell>
          <cell r="W575" t="str">
            <v>N/A</v>
          </cell>
          <cell r="Y575">
            <v>0.23</v>
          </cell>
          <cell r="Z575">
            <v>1.3</v>
          </cell>
          <cell r="AA575">
            <v>1</v>
          </cell>
        </row>
        <row r="576">
          <cell r="C576" t="str">
            <v>PS011BLD</v>
          </cell>
          <cell r="D576" t="str">
            <v>Aluminum, 1.5mm</v>
          </cell>
          <cell r="E576" t="str">
            <v>BHO,BOO,BXO,BKO,BIO,BJO</v>
          </cell>
          <cell r="H576">
            <v>18</v>
          </cell>
          <cell r="Q576" t="str">
            <v>pc</v>
          </cell>
          <cell r="R576">
            <v>1</v>
          </cell>
          <cell r="T576">
            <v>1</v>
          </cell>
          <cell r="U576">
            <v>0.38500000000000001</v>
          </cell>
          <cell r="V576" t="str">
            <v>PCB Metal Sheet, Outdoor Opal, 450mm, Bold Lighting LLC, E22011</v>
          </cell>
          <cell r="W576" t="str">
            <v>N/A</v>
          </cell>
          <cell r="Y576">
            <v>0.35</v>
          </cell>
          <cell r="Z576">
            <v>1.3</v>
          </cell>
          <cell r="AA576">
            <v>1</v>
          </cell>
        </row>
        <row r="577">
          <cell r="C577" t="str">
            <v>PS012BLD</v>
          </cell>
          <cell r="D577" t="str">
            <v>Aluminum, 1.5mm</v>
          </cell>
          <cell r="E577" t="str">
            <v>BHO,BOO,BXO,BKO,BIO,BJO</v>
          </cell>
          <cell r="H577">
            <v>24</v>
          </cell>
          <cell r="Q577" t="str">
            <v>pc</v>
          </cell>
          <cell r="R577">
            <v>1</v>
          </cell>
          <cell r="T577">
            <v>1</v>
          </cell>
          <cell r="U577">
            <v>0.51700000000000002</v>
          </cell>
          <cell r="V577" t="str">
            <v>PCB Metal Sheet, Outdoor Opal and Honeycomb Opal, 600mm, Bold Lighting LLC, E22011</v>
          </cell>
          <cell r="W577" t="str">
            <v>N/A</v>
          </cell>
          <cell r="Y577">
            <v>0.47</v>
          </cell>
          <cell r="Z577">
            <v>1.3</v>
          </cell>
          <cell r="AA577">
            <v>1</v>
          </cell>
        </row>
        <row r="578">
          <cell r="C578" t="str">
            <v>PS013BLD</v>
          </cell>
          <cell r="D578" t="str">
            <v>Aluminum, 1.5mm</v>
          </cell>
          <cell r="E578" t="str">
            <v>BHO,BOO,BXO,BKO,BIO,BJO</v>
          </cell>
          <cell r="H578">
            <v>30</v>
          </cell>
          <cell r="Q578" t="str">
            <v>pc</v>
          </cell>
          <cell r="R578">
            <v>1</v>
          </cell>
          <cell r="T578">
            <v>1</v>
          </cell>
          <cell r="U578">
            <v>0.64900000000000002</v>
          </cell>
          <cell r="V578" t="str">
            <v>PCB Metal Sheet, Outdoor Opal, 750mm, Bold Lighting LLC, E22011</v>
          </cell>
          <cell r="W578" t="str">
            <v>N/A</v>
          </cell>
          <cell r="Y578">
            <v>0.59</v>
          </cell>
          <cell r="Z578">
            <v>1.3</v>
          </cell>
          <cell r="AA578">
            <v>1</v>
          </cell>
        </row>
        <row r="579">
          <cell r="C579" t="str">
            <v>PS014BLD</v>
          </cell>
          <cell r="D579" t="str">
            <v>Aluminum, 1.5mm</v>
          </cell>
          <cell r="E579" t="str">
            <v>BHO,BOO,BXO,BKO,BIO,BJO</v>
          </cell>
          <cell r="H579">
            <v>36</v>
          </cell>
          <cell r="Q579" t="str">
            <v>pc</v>
          </cell>
          <cell r="R579">
            <v>1</v>
          </cell>
          <cell r="T579">
            <v>1</v>
          </cell>
          <cell r="U579">
            <v>0.78100000000000003</v>
          </cell>
          <cell r="V579" t="str">
            <v>PCB Metal Sheet, Outdoor Opal and Honeycomb Opal, 900mm, Bold Lighting LLC, E22011</v>
          </cell>
          <cell r="W579" t="str">
            <v>N/A</v>
          </cell>
          <cell r="Y579">
            <v>0.71</v>
          </cell>
          <cell r="Z579">
            <v>1.3</v>
          </cell>
          <cell r="AA579">
            <v>1</v>
          </cell>
        </row>
        <row r="580">
          <cell r="C580" t="str">
            <v>PS015BLD</v>
          </cell>
          <cell r="D580" t="str">
            <v>Aluminum, 1.5mm</v>
          </cell>
          <cell r="E580" t="str">
            <v>BHO,BOO,BXO,BKO,BIO,BJO</v>
          </cell>
          <cell r="H580">
            <v>42</v>
          </cell>
          <cell r="Q580" t="str">
            <v>pc</v>
          </cell>
          <cell r="R580">
            <v>1</v>
          </cell>
          <cell r="T580">
            <v>1</v>
          </cell>
          <cell r="U580">
            <v>0.91300000000000003</v>
          </cell>
          <cell r="V580" t="str">
            <v>PCB Metal Sheet, Outdoor Opal, 1050mm, Bold Lighting LLC, E22011</v>
          </cell>
          <cell r="W580" t="str">
            <v>N/A</v>
          </cell>
          <cell r="Y580">
            <v>0.83</v>
          </cell>
          <cell r="Z580">
            <v>1.3</v>
          </cell>
          <cell r="AA580">
            <v>1</v>
          </cell>
        </row>
        <row r="581">
          <cell r="C581" t="str">
            <v>PS016BLD</v>
          </cell>
          <cell r="D581" t="str">
            <v>Aluminum, 1.5mm</v>
          </cell>
          <cell r="E581" t="str">
            <v>BHO,BOO,BXO,BKO,BIO,BJO</v>
          </cell>
          <cell r="H581">
            <v>48</v>
          </cell>
          <cell r="Q581" t="str">
            <v>pc</v>
          </cell>
          <cell r="R581">
            <v>1</v>
          </cell>
          <cell r="T581">
            <v>1</v>
          </cell>
          <cell r="U581">
            <v>1.0449999999999999</v>
          </cell>
          <cell r="V581" t="str">
            <v>PCB Metal Sheet, Outdoor Opal and Honeycomb Opal, 1200mm, Bold Lighting LLC, E22011</v>
          </cell>
          <cell r="W581" t="str">
            <v>N/A</v>
          </cell>
          <cell r="Y581">
            <v>0.95</v>
          </cell>
          <cell r="Z581">
            <v>1.3</v>
          </cell>
          <cell r="AA581">
            <v>1</v>
          </cell>
        </row>
        <row r="582">
          <cell r="C582" t="str">
            <v>PS017BLD</v>
          </cell>
          <cell r="D582" t="str">
            <v>Aluminum, 1.5mm</v>
          </cell>
          <cell r="E582" t="str">
            <v>BHO,BOO,BXO,BKO,BIO,BJO</v>
          </cell>
          <cell r="H582">
            <v>54</v>
          </cell>
          <cell r="Q582" t="str">
            <v>pc</v>
          </cell>
          <cell r="R582">
            <v>1</v>
          </cell>
          <cell r="T582">
            <v>1</v>
          </cell>
          <cell r="U582">
            <v>1.1770000000000003</v>
          </cell>
          <cell r="V582" t="str">
            <v>PCB Metal Sheet, Outdoor Opal, 1350mm, Bold Lighting LLC, E22011</v>
          </cell>
          <cell r="W582" t="str">
            <v>N/A</v>
          </cell>
          <cell r="Y582">
            <v>1.07</v>
          </cell>
          <cell r="Z582">
            <v>1.3</v>
          </cell>
          <cell r="AA582">
            <v>1</v>
          </cell>
        </row>
        <row r="583">
          <cell r="C583" t="str">
            <v>PS018BLD</v>
          </cell>
          <cell r="D583" t="str">
            <v>Aluminum, 1.5mm</v>
          </cell>
          <cell r="E583" t="str">
            <v>BHO,BOO,BXO,BKO,BIO,BJO</v>
          </cell>
          <cell r="H583">
            <v>60</v>
          </cell>
          <cell r="Q583" t="str">
            <v>pc</v>
          </cell>
          <cell r="R583">
            <v>1</v>
          </cell>
          <cell r="T583">
            <v>1</v>
          </cell>
          <cell r="U583">
            <v>1.3089999999999999</v>
          </cell>
          <cell r="V583" t="str">
            <v>PCB Metal Sheet, Outdoor Opal and Honeycomb Opal, 1500mm, Bold Lighting LLC, E22011</v>
          </cell>
          <cell r="W583" t="str">
            <v>N/A</v>
          </cell>
          <cell r="Y583">
            <v>1.19</v>
          </cell>
          <cell r="Z583">
            <v>1.3</v>
          </cell>
          <cell r="AA583">
            <v>1</v>
          </cell>
        </row>
        <row r="585">
          <cell r="C585" t="str">
            <v>PS046BLD</v>
          </cell>
          <cell r="D585" t="str">
            <v>Aluminum, 1.5mm</v>
          </cell>
          <cell r="E585" t="str">
            <v>BOP</v>
          </cell>
          <cell r="H585" t="str">
            <v>6</v>
          </cell>
          <cell r="M585" t="str">
            <v>P</v>
          </cell>
          <cell r="Q585" t="str">
            <v>pc</v>
          </cell>
          <cell r="R585">
            <v>1</v>
          </cell>
          <cell r="T585">
            <v>1</v>
          </cell>
          <cell r="U585">
            <v>0.12100000000000001</v>
          </cell>
          <cell r="V585" t="str">
            <v>PCB Metal Sheet, Outdoor Asymmetric, 150mm, Bold Lighting LLC, E17002</v>
          </cell>
          <cell r="W585" t="str">
            <v>N/A</v>
          </cell>
          <cell r="Y585">
            <v>0.11</v>
          </cell>
          <cell r="Z585">
            <v>1.3</v>
          </cell>
          <cell r="AA585">
            <v>1</v>
          </cell>
        </row>
        <row r="586">
          <cell r="C586" t="str">
            <v>PS047BLD</v>
          </cell>
          <cell r="D586" t="str">
            <v>Aluminum, 1.5mm</v>
          </cell>
          <cell r="E586" t="str">
            <v>BOW</v>
          </cell>
          <cell r="H586">
            <v>12</v>
          </cell>
          <cell r="Q586" t="str">
            <v>pc</v>
          </cell>
          <cell r="R586">
            <v>1</v>
          </cell>
          <cell r="T586">
            <v>1</v>
          </cell>
          <cell r="U586">
            <v>0.28600000000000003</v>
          </cell>
          <cell r="V586" t="str">
            <v>PCB Metal Sheet, Outdoor Asymmetric, 300mm, Bold Lighting LLC, E17002</v>
          </cell>
          <cell r="W586" t="str">
            <v>N/A</v>
          </cell>
          <cell r="Y586">
            <v>0.26</v>
          </cell>
          <cell r="Z586">
            <v>1.3</v>
          </cell>
          <cell r="AA586">
            <v>1</v>
          </cell>
        </row>
        <row r="587">
          <cell r="C587" t="str">
            <v>PS048BLD</v>
          </cell>
          <cell r="D587" t="str">
            <v>Aluminum, 1.5mm</v>
          </cell>
          <cell r="E587" t="str">
            <v>BOW</v>
          </cell>
          <cell r="H587">
            <v>18</v>
          </cell>
          <cell r="Q587" t="str">
            <v>pc</v>
          </cell>
          <cell r="R587">
            <v>1</v>
          </cell>
          <cell r="T587">
            <v>1</v>
          </cell>
          <cell r="U587">
            <v>0.34100000000000003</v>
          </cell>
          <cell r="V587" t="str">
            <v>PCB Metal Sheet, Outdoor Asymmetric, 450mm, Bold Lighting LLC, E17002</v>
          </cell>
          <cell r="W587" t="str">
            <v>N/A</v>
          </cell>
          <cell r="Y587">
            <v>0.31</v>
          </cell>
          <cell r="Z587">
            <v>1.3</v>
          </cell>
          <cell r="AA587">
            <v>1</v>
          </cell>
        </row>
        <row r="588">
          <cell r="C588" t="str">
            <v>PS049BLD</v>
          </cell>
          <cell r="D588" t="str">
            <v>Aluminum, 1.5mm</v>
          </cell>
          <cell r="E588" t="str">
            <v>BOW</v>
          </cell>
          <cell r="H588">
            <v>24</v>
          </cell>
          <cell r="Q588" t="str">
            <v>pc</v>
          </cell>
          <cell r="R588">
            <v>1</v>
          </cell>
          <cell r="T588">
            <v>1</v>
          </cell>
          <cell r="U588">
            <v>0.45100000000000001</v>
          </cell>
          <cell r="V588" t="str">
            <v>PCB Metal Sheet, Outdoor Asymmetric, 600mm, Bold Lighting LLC, E17002</v>
          </cell>
          <cell r="W588" t="str">
            <v>N/A</v>
          </cell>
          <cell r="Y588">
            <v>0.41</v>
          </cell>
          <cell r="Z588">
            <v>1.3</v>
          </cell>
          <cell r="AA588">
            <v>1</v>
          </cell>
        </row>
        <row r="589">
          <cell r="C589" t="str">
            <v>PS050BLD</v>
          </cell>
          <cell r="D589" t="str">
            <v>Aluminum, 1.5mm</v>
          </cell>
          <cell r="E589" t="str">
            <v>BOW</v>
          </cell>
          <cell r="H589">
            <v>30</v>
          </cell>
          <cell r="Q589" t="str">
            <v>pc</v>
          </cell>
          <cell r="R589">
            <v>1</v>
          </cell>
          <cell r="T589">
            <v>1</v>
          </cell>
          <cell r="U589">
            <v>0.56100000000000005</v>
          </cell>
          <cell r="V589" t="str">
            <v>PCB Metal Sheet, Outdoor Asymmetric, 750mm, Bold Lighting LLC, E17002</v>
          </cell>
          <cell r="W589" t="str">
            <v>N/A</v>
          </cell>
          <cell r="Y589">
            <v>0.51</v>
          </cell>
          <cell r="Z589">
            <v>1.3</v>
          </cell>
          <cell r="AA589">
            <v>1</v>
          </cell>
        </row>
        <row r="590">
          <cell r="C590" t="str">
            <v>PS051BLD</v>
          </cell>
          <cell r="D590" t="str">
            <v>Aluminum, 1.5mm</v>
          </cell>
          <cell r="E590" t="str">
            <v>BOW</v>
          </cell>
          <cell r="H590">
            <v>36</v>
          </cell>
          <cell r="Q590" t="str">
            <v>pc</v>
          </cell>
          <cell r="R590">
            <v>1</v>
          </cell>
          <cell r="T590">
            <v>1</v>
          </cell>
          <cell r="U590">
            <v>0.67100000000000004</v>
          </cell>
          <cell r="V590" t="str">
            <v>PCB Metal Sheet, Outdoor Asymmetric, 900mm, Bold Lighting LLC, E17002</v>
          </cell>
          <cell r="W590" t="str">
            <v>N/A</v>
          </cell>
          <cell r="Y590">
            <v>0.61</v>
          </cell>
          <cell r="Z590">
            <v>1.3</v>
          </cell>
          <cell r="AA590">
            <v>1</v>
          </cell>
        </row>
        <row r="591">
          <cell r="C591" t="str">
            <v>PS052BLD</v>
          </cell>
          <cell r="D591" t="str">
            <v>Aluminum, 1.5mm</v>
          </cell>
          <cell r="E591" t="str">
            <v>BOW</v>
          </cell>
          <cell r="H591">
            <v>42</v>
          </cell>
          <cell r="Q591" t="str">
            <v>pc</v>
          </cell>
          <cell r="R591">
            <v>1</v>
          </cell>
          <cell r="T591">
            <v>1</v>
          </cell>
          <cell r="U591">
            <v>0.78100000000000003</v>
          </cell>
          <cell r="V591" t="str">
            <v>PCB Metal Sheet, Outdoor Asymmetric, 1050mm, Bold Lighting LLC, E17002</v>
          </cell>
          <cell r="W591" t="str">
            <v>N/A</v>
          </cell>
          <cell r="Y591">
            <v>0.71</v>
          </cell>
          <cell r="Z591">
            <v>1.3</v>
          </cell>
          <cell r="AA591">
            <v>1</v>
          </cell>
        </row>
        <row r="592">
          <cell r="C592" t="str">
            <v>PS053BLD</v>
          </cell>
          <cell r="D592" t="str">
            <v>Aluminum, 1.5mm</v>
          </cell>
          <cell r="E592" t="str">
            <v>BOW</v>
          </cell>
          <cell r="H592">
            <v>48</v>
          </cell>
          <cell r="Q592" t="str">
            <v>pc</v>
          </cell>
          <cell r="R592">
            <v>1</v>
          </cell>
          <cell r="T592">
            <v>1</v>
          </cell>
          <cell r="U592">
            <v>0.89100000000000013</v>
          </cell>
          <cell r="V592" t="str">
            <v>PCB Metal Sheet, Outdoor Asymmetric, 1200mm, Bold Lighting LLC, E17002</v>
          </cell>
          <cell r="W592" t="str">
            <v>N/A</v>
          </cell>
          <cell r="Y592">
            <v>0.81</v>
          </cell>
          <cell r="Z592">
            <v>1.3</v>
          </cell>
          <cell r="AA592">
            <v>1</v>
          </cell>
        </row>
        <row r="593">
          <cell r="C593" t="str">
            <v>PS054BLD</v>
          </cell>
          <cell r="D593" t="str">
            <v>Aluminum, 1.5mm</v>
          </cell>
          <cell r="E593" t="str">
            <v>BOW</v>
          </cell>
          <cell r="H593">
            <v>54</v>
          </cell>
          <cell r="Q593" t="str">
            <v>pc</v>
          </cell>
          <cell r="R593">
            <v>1</v>
          </cell>
          <cell r="T593">
            <v>1</v>
          </cell>
          <cell r="U593">
            <v>1.0010000000000001</v>
          </cell>
          <cell r="V593" t="str">
            <v>PCB Metal Sheet, Outdoor Asymmetric, 1350mm, Bold Lighting LLC, E17002</v>
          </cell>
          <cell r="W593" t="str">
            <v>N/A</v>
          </cell>
          <cell r="Y593">
            <v>0.91</v>
          </cell>
          <cell r="Z593">
            <v>1.3</v>
          </cell>
          <cell r="AA593">
            <v>1</v>
          </cell>
        </row>
        <row r="594">
          <cell r="C594" t="str">
            <v>PS055BLD</v>
          </cell>
          <cell r="D594" t="str">
            <v>Aluminum, 1.5mm</v>
          </cell>
          <cell r="E594" t="str">
            <v>BOW</v>
          </cell>
          <cell r="H594">
            <v>60</v>
          </cell>
          <cell r="Q594" t="str">
            <v>pc</v>
          </cell>
          <cell r="R594">
            <v>1</v>
          </cell>
          <cell r="T594">
            <v>1</v>
          </cell>
          <cell r="U594">
            <v>1.1110000000000002</v>
          </cell>
          <cell r="V594" t="str">
            <v>PCB Metal Sheet, Outdoor Asymmetric, 1500mm, Bold Lighting LLC, E17002</v>
          </cell>
          <cell r="W594" t="str">
            <v>N/A</v>
          </cell>
          <cell r="Y594">
            <v>1.01</v>
          </cell>
          <cell r="Z594">
            <v>1.3</v>
          </cell>
          <cell r="AA594">
            <v>1</v>
          </cell>
        </row>
        <row r="596">
          <cell r="C596" t="str">
            <v>PS028BLD</v>
          </cell>
          <cell r="D596" t="str">
            <v>Aluminum, 1.5mm</v>
          </cell>
          <cell r="E596" t="str">
            <v>BOS</v>
          </cell>
          <cell r="H596">
            <v>12</v>
          </cell>
          <cell r="Q596" t="str">
            <v>pc</v>
          </cell>
          <cell r="R596">
            <v>1</v>
          </cell>
          <cell r="T596">
            <v>1</v>
          </cell>
          <cell r="U596">
            <v>0.27500000000000002</v>
          </cell>
          <cell r="V596" t="str">
            <v>PCB Metal Sheet, Outdoor Symmetric, 300mm, Bold Lighting LLC, E17003</v>
          </cell>
          <cell r="W596" t="str">
            <v>N/A</v>
          </cell>
          <cell r="Y596">
            <v>0.25</v>
          </cell>
          <cell r="Z596">
            <v>1.3</v>
          </cell>
          <cell r="AA596">
            <v>1</v>
          </cell>
        </row>
        <row r="597">
          <cell r="C597" t="str">
            <v>PS029BLD</v>
          </cell>
          <cell r="D597" t="str">
            <v>Aluminum, 1.5mm</v>
          </cell>
          <cell r="E597" t="str">
            <v>BOS</v>
          </cell>
          <cell r="H597">
            <v>18</v>
          </cell>
          <cell r="Q597" t="str">
            <v>pc</v>
          </cell>
          <cell r="R597">
            <v>1</v>
          </cell>
          <cell r="T597">
            <v>1</v>
          </cell>
          <cell r="U597">
            <v>0.40700000000000003</v>
          </cell>
          <cell r="V597" t="str">
            <v>PCB Metal Sheet, Outdoor Symmetric, 450mm, Bold Lighting LLC, E17003</v>
          </cell>
          <cell r="W597" t="str">
            <v>N/A</v>
          </cell>
          <cell r="Y597">
            <v>0.37</v>
          </cell>
          <cell r="Z597">
            <v>1.3</v>
          </cell>
          <cell r="AA597">
            <v>1</v>
          </cell>
        </row>
        <row r="598">
          <cell r="C598" t="str">
            <v>PS030BLD</v>
          </cell>
          <cell r="D598" t="str">
            <v>Aluminum, 1.5mm</v>
          </cell>
          <cell r="E598" t="str">
            <v>BOS</v>
          </cell>
          <cell r="H598">
            <v>24</v>
          </cell>
          <cell r="Q598" t="str">
            <v>pc</v>
          </cell>
          <cell r="R598">
            <v>1</v>
          </cell>
          <cell r="T598">
            <v>1</v>
          </cell>
          <cell r="U598">
            <v>0.53900000000000003</v>
          </cell>
          <cell r="V598" t="str">
            <v>PCB Metal Sheet, Outdoor Symmetric, 600mm, Bold Lighting LLC, E17003</v>
          </cell>
          <cell r="W598" t="str">
            <v>N/A</v>
          </cell>
          <cell r="Y598">
            <v>0.49</v>
          </cell>
          <cell r="Z598">
            <v>1.3</v>
          </cell>
          <cell r="AA598">
            <v>1</v>
          </cell>
        </row>
        <row r="599">
          <cell r="C599" t="str">
            <v>PS031BLD</v>
          </cell>
          <cell r="D599" t="str">
            <v>Aluminum, 1.5mm</v>
          </cell>
          <cell r="E599" t="str">
            <v>BOS</v>
          </cell>
          <cell r="H599">
            <v>30</v>
          </cell>
          <cell r="Q599" t="str">
            <v>pc</v>
          </cell>
          <cell r="R599">
            <v>1</v>
          </cell>
          <cell r="T599">
            <v>1</v>
          </cell>
          <cell r="U599">
            <v>0.67100000000000004</v>
          </cell>
          <cell r="V599" t="str">
            <v>PCB Metal Sheet, Outdoor Symmetric, 750mm, Bold Lighting LLC, E17003</v>
          </cell>
          <cell r="W599" t="str">
            <v>N/A</v>
          </cell>
          <cell r="Y599">
            <v>0.61</v>
          </cell>
          <cell r="Z599">
            <v>1.3</v>
          </cell>
          <cell r="AA599">
            <v>1</v>
          </cell>
        </row>
        <row r="600">
          <cell r="C600" t="str">
            <v>PS032BLD</v>
          </cell>
          <cell r="D600" t="str">
            <v>Aluminum, 1.5mm</v>
          </cell>
          <cell r="E600" t="str">
            <v>BOS</v>
          </cell>
          <cell r="H600">
            <v>36</v>
          </cell>
          <cell r="Q600" t="str">
            <v>pc</v>
          </cell>
          <cell r="R600">
            <v>1</v>
          </cell>
          <cell r="T600">
            <v>1</v>
          </cell>
          <cell r="U600">
            <v>0.80300000000000005</v>
          </cell>
          <cell r="V600" t="str">
            <v>PCB Metal Sheet, Outdoor Symmetric, 900mm, Bold Lighting LLC, E17003</v>
          </cell>
          <cell r="W600" t="str">
            <v>N/A</v>
          </cell>
          <cell r="Y600">
            <v>0.73</v>
          </cell>
          <cell r="Z600">
            <v>1.3</v>
          </cell>
          <cell r="AA600">
            <v>1</v>
          </cell>
        </row>
        <row r="601">
          <cell r="C601" t="str">
            <v>PS033BLD</v>
          </cell>
          <cell r="D601" t="str">
            <v>Aluminum, 1.5mm</v>
          </cell>
          <cell r="E601" t="str">
            <v>BOS</v>
          </cell>
          <cell r="H601">
            <v>42</v>
          </cell>
          <cell r="Q601" t="str">
            <v>pc</v>
          </cell>
          <cell r="R601">
            <v>1</v>
          </cell>
          <cell r="T601">
            <v>1</v>
          </cell>
          <cell r="U601">
            <v>0.93500000000000005</v>
          </cell>
          <cell r="V601" t="str">
            <v>PCB Metal Sheet, Outdoor Symmetric, 1050mm, Bold Lighting LLC, E17003</v>
          </cell>
          <cell r="W601" t="str">
            <v>N/A</v>
          </cell>
          <cell r="Y601">
            <v>0.85</v>
          </cell>
          <cell r="Z601">
            <v>1.3</v>
          </cell>
          <cell r="AA601">
            <v>1</v>
          </cell>
        </row>
        <row r="602">
          <cell r="C602" t="str">
            <v>PS034BLD</v>
          </cell>
          <cell r="D602" t="str">
            <v>Aluminum, 1.5mm</v>
          </cell>
          <cell r="E602" t="str">
            <v>BOS</v>
          </cell>
          <cell r="H602">
            <v>48</v>
          </cell>
          <cell r="Q602" t="str">
            <v>pc</v>
          </cell>
          <cell r="R602">
            <v>1</v>
          </cell>
          <cell r="T602">
            <v>1</v>
          </cell>
          <cell r="U602">
            <v>1.0669999999999999</v>
          </cell>
          <cell r="V602" t="str">
            <v>PCB Metal Sheet, Outdoor Symmetric, 1200mm, Bold Lighting LLC, E17003</v>
          </cell>
          <cell r="W602" t="str">
            <v>N/A</v>
          </cell>
          <cell r="Y602">
            <v>0.97</v>
          </cell>
          <cell r="Z602">
            <v>1.3</v>
          </cell>
          <cell r="AA602">
            <v>1</v>
          </cell>
        </row>
        <row r="603">
          <cell r="C603" t="str">
            <v>PS035BLD</v>
          </cell>
          <cell r="D603" t="str">
            <v>Aluminum, 1.5mm</v>
          </cell>
          <cell r="E603" t="str">
            <v>BOS</v>
          </cell>
          <cell r="H603">
            <v>54</v>
          </cell>
          <cell r="Q603" t="str">
            <v>pc</v>
          </cell>
          <cell r="R603">
            <v>1</v>
          </cell>
          <cell r="T603">
            <v>1</v>
          </cell>
          <cell r="U603">
            <v>1.1990000000000003</v>
          </cell>
          <cell r="V603" t="str">
            <v>PCB Metal Sheet, Outdoor Symmetric, 1350mm, Bold Lighting LLC, E17003</v>
          </cell>
          <cell r="W603" t="str">
            <v>N/A</v>
          </cell>
          <cell r="Y603">
            <v>1.0900000000000001</v>
          </cell>
          <cell r="Z603">
            <v>1.3</v>
          </cell>
          <cell r="AA603">
            <v>1</v>
          </cell>
        </row>
        <row r="604">
          <cell r="C604" t="str">
            <v>PS036BLD</v>
          </cell>
          <cell r="D604" t="str">
            <v>Aluminum, 1.5mm</v>
          </cell>
          <cell r="E604" t="str">
            <v>BOS</v>
          </cell>
          <cell r="H604">
            <v>60</v>
          </cell>
          <cell r="Q604" t="str">
            <v>pc</v>
          </cell>
          <cell r="R604">
            <v>1</v>
          </cell>
          <cell r="T604">
            <v>1</v>
          </cell>
          <cell r="U604">
            <v>1.331</v>
          </cell>
          <cell r="V604" t="str">
            <v>PCB Metal Sheet, Outdoor Symmetric, 1500mm, Bold Lighting LLC, E17003</v>
          </cell>
          <cell r="W604" t="str">
            <v>N/A</v>
          </cell>
          <cell r="Y604">
            <v>1.21</v>
          </cell>
          <cell r="Z604">
            <v>1.3</v>
          </cell>
          <cell r="AA604">
            <v>1</v>
          </cell>
        </row>
        <row r="606">
          <cell r="C606" t="str">
            <v>PS005BLD</v>
          </cell>
          <cell r="D606" t="str">
            <v>Aluminum, 1.5mm</v>
          </cell>
          <cell r="E606" t="str">
            <v xml:space="preserve"> BHS</v>
          </cell>
          <cell r="H606">
            <v>12</v>
          </cell>
          <cell r="Q606" t="str">
            <v>pc</v>
          </cell>
          <cell r="R606">
            <v>1</v>
          </cell>
          <cell r="T606">
            <v>1</v>
          </cell>
          <cell r="U606">
            <v>0.33</v>
          </cell>
          <cell r="V606" t="str">
            <v>PCB Metal Sheet, Outdoor Honeycomb, 292mm, Bold Lighting LLC, E17012</v>
          </cell>
          <cell r="W606" t="str">
            <v>N/A</v>
          </cell>
          <cell r="Y606">
            <v>0.3</v>
          </cell>
          <cell r="Z606">
            <v>1.3</v>
          </cell>
          <cell r="AA606">
            <v>1</v>
          </cell>
        </row>
        <row r="607">
          <cell r="C607" t="str">
            <v>PS006BLD</v>
          </cell>
          <cell r="D607" t="str">
            <v>Aluminum, 1.5mm</v>
          </cell>
          <cell r="E607" t="str">
            <v xml:space="preserve"> BHS</v>
          </cell>
          <cell r="H607">
            <v>24</v>
          </cell>
          <cell r="Q607" t="str">
            <v>pc</v>
          </cell>
          <cell r="R607">
            <v>1</v>
          </cell>
          <cell r="T607">
            <v>1</v>
          </cell>
          <cell r="U607">
            <v>0.70400000000000007</v>
          </cell>
          <cell r="V607" t="str">
            <v>PCB Metal Sheet, Outdoor Honeycomb, 592mm, Bold Lighting LLC, E17012</v>
          </cell>
          <cell r="W607" t="str">
            <v>N/A</v>
          </cell>
          <cell r="Y607">
            <v>0.64</v>
          </cell>
          <cell r="Z607">
            <v>1.3</v>
          </cell>
          <cell r="AA607">
            <v>1</v>
          </cell>
        </row>
        <row r="608">
          <cell r="C608" t="str">
            <v>PS007BLD</v>
          </cell>
          <cell r="D608" t="str">
            <v>Aluminum, 1.5mm</v>
          </cell>
          <cell r="E608" t="str">
            <v xml:space="preserve"> BHS</v>
          </cell>
          <cell r="H608">
            <v>36</v>
          </cell>
          <cell r="Q608" t="str">
            <v>pc</v>
          </cell>
          <cell r="R608">
            <v>1</v>
          </cell>
          <cell r="T608">
            <v>1</v>
          </cell>
          <cell r="U608">
            <v>1.0780000000000001</v>
          </cell>
          <cell r="V608" t="str">
            <v>PCB Metal Sheet, Outdoor Honeycomb, 892mm, Bold Lighting LLC, E17012</v>
          </cell>
          <cell r="W608" t="str">
            <v>N/A</v>
          </cell>
          <cell r="Y608">
            <v>0.98</v>
          </cell>
          <cell r="Z608">
            <v>1.3</v>
          </cell>
          <cell r="AA608">
            <v>1</v>
          </cell>
        </row>
        <row r="609">
          <cell r="C609" t="str">
            <v>PS008BLD</v>
          </cell>
          <cell r="D609" t="str">
            <v>Aluminum, 1.5mm</v>
          </cell>
          <cell r="E609" t="str">
            <v xml:space="preserve"> BHS</v>
          </cell>
          <cell r="H609">
            <v>48</v>
          </cell>
          <cell r="Q609" t="str">
            <v>pc</v>
          </cell>
          <cell r="R609">
            <v>1</v>
          </cell>
          <cell r="T609">
            <v>1</v>
          </cell>
          <cell r="U609">
            <v>1.4520000000000002</v>
          </cell>
          <cell r="V609" t="str">
            <v>PCB Metal Sheet, Outdoor Honeycomb, 1192mm, Bold Lighting LLC, E17012</v>
          </cell>
          <cell r="W609" t="str">
            <v>N/A</v>
          </cell>
          <cell r="Y609">
            <v>1.32</v>
          </cell>
          <cell r="Z609">
            <v>1.3</v>
          </cell>
          <cell r="AA609">
            <v>1</v>
          </cell>
        </row>
        <row r="610">
          <cell r="C610" t="str">
            <v>PS009BLD</v>
          </cell>
          <cell r="D610" t="str">
            <v>Aluminum, 1.5mm</v>
          </cell>
          <cell r="E610" t="str">
            <v xml:space="preserve"> BHS</v>
          </cell>
          <cell r="H610">
            <v>60</v>
          </cell>
          <cell r="Q610" t="str">
            <v>pc</v>
          </cell>
          <cell r="R610">
            <v>1</v>
          </cell>
          <cell r="T610">
            <v>1</v>
          </cell>
          <cell r="U610">
            <v>1.8260000000000001</v>
          </cell>
          <cell r="V610" t="str">
            <v>PCB Metal Sheet, Outdoor Honeycomb, 1492mm, Bold Lighting LLC, E17012</v>
          </cell>
          <cell r="W610" t="str">
            <v>N/A</v>
          </cell>
          <cell r="Y610">
            <v>1.66</v>
          </cell>
          <cell r="Z610">
            <v>1.3</v>
          </cell>
          <cell r="AA610">
            <v>1</v>
          </cell>
        </row>
        <row r="612">
          <cell r="C612" t="str">
            <v>DI000GIP</v>
          </cell>
          <cell r="D612" t="str">
            <v>Diffuser</v>
          </cell>
          <cell r="E612" t="str">
            <v>BXO, BKO,BHO</v>
          </cell>
          <cell r="H612" t="str">
            <v>12,24,36,48,60</v>
          </cell>
          <cell r="M612" t="str">
            <v>L</v>
          </cell>
          <cell r="Q612" t="str">
            <v>linear</v>
          </cell>
          <cell r="R612">
            <v>1</v>
          </cell>
          <cell r="S612">
            <v>300</v>
          </cell>
          <cell r="T612">
            <v>1</v>
          </cell>
          <cell r="U612">
            <v>1.0449999999999999</v>
          </cell>
          <cell r="V612" t="str">
            <v>Indoor Diffuser, Plastic Extrusion, Linear Meter, 50mm Width, Opal 120°, BL-505, GI PLAST Srl, 37PE59LPMSOPM</v>
          </cell>
          <cell r="W612" t="str">
            <v>Bright View</v>
          </cell>
          <cell r="Y612">
            <v>0.95</v>
          </cell>
          <cell r="Z612">
            <v>1.34</v>
          </cell>
          <cell r="AA612">
            <v>1.86</v>
          </cell>
        </row>
        <row r="613">
          <cell r="C613" t="str">
            <v>DI000GIP</v>
          </cell>
          <cell r="D613" t="str">
            <v>Diffuser</v>
          </cell>
          <cell r="E613" t="str">
            <v>BXO, BKO,BHO</v>
          </cell>
          <cell r="H613" t="str">
            <v>-</v>
          </cell>
          <cell r="Q613" t="str">
            <v>pc</v>
          </cell>
          <cell r="R613">
            <v>1</v>
          </cell>
          <cell r="T613">
            <v>1</v>
          </cell>
          <cell r="U613">
            <v>1.0449999999999999</v>
          </cell>
          <cell r="V613" t="str">
            <v>Honeycomb Opal Sheet, 12", Length 300mm</v>
          </cell>
          <cell r="W613" t="str">
            <v>Bright View</v>
          </cell>
          <cell r="Y613">
            <v>0.95</v>
          </cell>
          <cell r="Z613">
            <v>1.34</v>
          </cell>
          <cell r="AA613">
            <v>1.86</v>
          </cell>
        </row>
        <row r="614">
          <cell r="C614" t="str">
            <v>DI000GIP</v>
          </cell>
          <cell r="D614" t="str">
            <v>Diffuser</v>
          </cell>
          <cell r="E614" t="str">
            <v>BXO, BKO,BHO</v>
          </cell>
          <cell r="H614" t="str">
            <v>-</v>
          </cell>
          <cell r="Q614" t="str">
            <v>pc</v>
          </cell>
          <cell r="R614">
            <v>1</v>
          </cell>
          <cell r="T614">
            <v>1</v>
          </cell>
          <cell r="U614">
            <v>1.0449999999999999</v>
          </cell>
          <cell r="V614" t="str">
            <v>Honeycomb Opal Sheet, 24", Length 600mm</v>
          </cell>
          <cell r="W614" t="str">
            <v>Bright View</v>
          </cell>
          <cell r="Y614">
            <v>0.95</v>
          </cell>
          <cell r="Z614">
            <v>1.34</v>
          </cell>
          <cell r="AA614">
            <v>1.86</v>
          </cell>
        </row>
        <row r="615">
          <cell r="C615" t="str">
            <v>DI000GIP</v>
          </cell>
          <cell r="D615" t="str">
            <v>Diffuser</v>
          </cell>
          <cell r="E615" t="str">
            <v>BXO, BKO,BHO</v>
          </cell>
          <cell r="H615" t="str">
            <v>-</v>
          </cell>
          <cell r="Q615" t="str">
            <v>pc</v>
          </cell>
          <cell r="R615">
            <v>1</v>
          </cell>
          <cell r="T615">
            <v>1</v>
          </cell>
          <cell r="U615">
            <v>1.0449999999999999</v>
          </cell>
          <cell r="V615" t="str">
            <v>Honeycomb Opal Sheet, 36", Length 900mm</v>
          </cell>
          <cell r="W615" t="str">
            <v>Bright View</v>
          </cell>
          <cell r="Y615">
            <v>0.95</v>
          </cell>
          <cell r="Z615">
            <v>1.34</v>
          </cell>
          <cell r="AA615">
            <v>1.86</v>
          </cell>
        </row>
        <row r="616">
          <cell r="C616" t="str">
            <v>DI000GIP</v>
          </cell>
          <cell r="D616" t="str">
            <v>Diffuser</v>
          </cell>
          <cell r="E616" t="str">
            <v>BXO, BKO,BHO</v>
          </cell>
          <cell r="H616" t="str">
            <v>-</v>
          </cell>
          <cell r="Q616" t="str">
            <v>pc</v>
          </cell>
          <cell r="R616">
            <v>1</v>
          </cell>
          <cell r="T616">
            <v>1</v>
          </cell>
          <cell r="U616">
            <v>1.0449999999999999</v>
          </cell>
          <cell r="V616" t="str">
            <v>Honeycomb Opal Sheet, 48", Length 1200mm</v>
          </cell>
          <cell r="W616" t="str">
            <v>Bright View</v>
          </cell>
          <cell r="Y616">
            <v>0.95</v>
          </cell>
          <cell r="Z616">
            <v>1.34</v>
          </cell>
          <cell r="AA616">
            <v>1.86</v>
          </cell>
        </row>
        <row r="617">
          <cell r="C617" t="str">
            <v>DI000GIP</v>
          </cell>
          <cell r="D617" t="str">
            <v>Diffuser</v>
          </cell>
          <cell r="E617" t="str">
            <v>BXO, BKO,BHO</v>
          </cell>
          <cell r="H617" t="str">
            <v>-</v>
          </cell>
          <cell r="Q617" t="str">
            <v>pc</v>
          </cell>
          <cell r="R617">
            <v>1</v>
          </cell>
          <cell r="T617">
            <v>1</v>
          </cell>
          <cell r="U617">
            <v>1.0449999999999999</v>
          </cell>
          <cell r="V617" t="str">
            <v>Honeycomb Opal Sheet, 60", Length 1500mm</v>
          </cell>
          <cell r="W617" t="str">
            <v>Bright View</v>
          </cell>
          <cell r="Y617">
            <v>0.95</v>
          </cell>
          <cell r="Z617">
            <v>1.34</v>
          </cell>
          <cell r="AA617">
            <v>1.86</v>
          </cell>
        </row>
        <row r="619">
          <cell r="C619" t="str">
            <v>AC003BLD</v>
          </cell>
          <cell r="D619" t="str">
            <v>Galv Steel, 0.6mm</v>
          </cell>
          <cell r="E619" t="str">
            <v>BXH, BKH,  BHS</v>
          </cell>
          <cell r="H619">
            <v>12</v>
          </cell>
          <cell r="Q619" t="str">
            <v>pc</v>
          </cell>
          <cell r="R619">
            <v>1</v>
          </cell>
          <cell r="T619">
            <v>1</v>
          </cell>
          <cell r="U619">
            <v>8.8000000000000009E-2</v>
          </cell>
          <cell r="V619" t="str">
            <v>Honeycomb Sheet Metal Cover, Galvanized Steel, 296mm, Silver Color, Bold Lighting LLC, 17908</v>
          </cell>
          <cell r="W619" t="str">
            <v>N/A</v>
          </cell>
          <cell r="Y619">
            <v>0.08</v>
          </cell>
          <cell r="Z619">
            <v>1.3</v>
          </cell>
          <cell r="AA619">
            <v>1</v>
          </cell>
        </row>
        <row r="620">
          <cell r="C620" t="str">
            <v>AC004BLD</v>
          </cell>
          <cell r="D620" t="str">
            <v>Galv Steel, 0.6mm</v>
          </cell>
          <cell r="E620" t="str">
            <v>BXH, BKH,  BHS</v>
          </cell>
          <cell r="H620">
            <v>24</v>
          </cell>
          <cell r="Q620" t="str">
            <v>pc</v>
          </cell>
          <cell r="R620">
            <v>1</v>
          </cell>
          <cell r="T620">
            <v>1</v>
          </cell>
          <cell r="U620">
            <v>0.16500000000000001</v>
          </cell>
          <cell r="V620" t="str">
            <v>Honeycomb Sheet Metal Cover, Galvanized Steel, 596mm, Silver Color, Bold Lighting LLC, 17908</v>
          </cell>
          <cell r="W620" t="str">
            <v>N/A</v>
          </cell>
          <cell r="Y620">
            <v>0.15</v>
          </cell>
          <cell r="Z620">
            <v>1.3</v>
          </cell>
          <cell r="AA620">
            <v>1</v>
          </cell>
        </row>
        <row r="621">
          <cell r="C621" t="str">
            <v>AC005BLD</v>
          </cell>
          <cell r="D621" t="str">
            <v>Galv Steel, 0.6mm</v>
          </cell>
          <cell r="E621" t="str">
            <v>BXH, BKH,  BHS</v>
          </cell>
          <cell r="H621">
            <v>36</v>
          </cell>
          <cell r="Q621" t="str">
            <v>pc</v>
          </cell>
          <cell r="R621">
            <v>1</v>
          </cell>
          <cell r="T621">
            <v>1</v>
          </cell>
          <cell r="U621">
            <v>0.25300000000000006</v>
          </cell>
          <cell r="V621" t="str">
            <v>Honeycomb Sheet Metal Cover, Galvanized Steel, 896mm, Silver Color, Bold Lighting LLC, 17908</v>
          </cell>
          <cell r="W621" t="str">
            <v>N/A</v>
          </cell>
          <cell r="Y621">
            <v>0.23</v>
          </cell>
          <cell r="Z621">
            <v>1.3</v>
          </cell>
          <cell r="AA621">
            <v>1</v>
          </cell>
        </row>
        <row r="622">
          <cell r="C622" t="str">
            <v>AC006BLD</v>
          </cell>
          <cell r="D622" t="str">
            <v>Galv Steel, 0.6mm</v>
          </cell>
          <cell r="E622" t="str">
            <v>BXH, BKH,  BHS</v>
          </cell>
          <cell r="H622">
            <v>48</v>
          </cell>
          <cell r="Q622" t="str">
            <v>pc</v>
          </cell>
          <cell r="R622">
            <v>1</v>
          </cell>
          <cell r="T622">
            <v>1</v>
          </cell>
          <cell r="U622">
            <v>0.33</v>
          </cell>
          <cell r="V622" t="str">
            <v>Honeycomb Sheet Metal Cover, Galvanized Steel, 1196mm, Silver Color, Bold Lighting LLC, 17908</v>
          </cell>
          <cell r="W622" t="str">
            <v>N/A</v>
          </cell>
          <cell r="Y622">
            <v>0.3</v>
          </cell>
          <cell r="Z622">
            <v>1.3</v>
          </cell>
          <cell r="AA622">
            <v>1</v>
          </cell>
        </row>
        <row r="623">
          <cell r="C623" t="str">
            <v>AC007BLD</v>
          </cell>
          <cell r="D623" t="str">
            <v>Galv Steel, 0.6mm</v>
          </cell>
          <cell r="E623" t="str">
            <v>BXH, BKH,  BHS</v>
          </cell>
          <cell r="H623">
            <v>60</v>
          </cell>
          <cell r="Q623" t="str">
            <v>pc</v>
          </cell>
          <cell r="R623">
            <v>1</v>
          </cell>
          <cell r="T623">
            <v>1</v>
          </cell>
          <cell r="U623">
            <v>0.41800000000000004</v>
          </cell>
          <cell r="V623" t="str">
            <v>Honeycomb Sheet Metal Cover, Galvanized Steel, 1496mm, Silver Color, Bold Lighting LLC, 17908</v>
          </cell>
          <cell r="W623" t="str">
            <v>N/A</v>
          </cell>
          <cell r="Y623">
            <v>0.38</v>
          </cell>
          <cell r="Z623">
            <v>1.3</v>
          </cell>
          <cell r="AA623">
            <v>1</v>
          </cell>
        </row>
        <row r="625">
          <cell r="C625" t="str">
            <v>AC013BLD</v>
          </cell>
          <cell r="D625" t="str">
            <v>Galv Steel, 1mm</v>
          </cell>
          <cell r="E625" t="str">
            <v>BHO,BHS,BOO,BOS,BOW,BOK</v>
          </cell>
          <cell r="F625" t="str">
            <v>S,P,W</v>
          </cell>
          <cell r="H625" t="str">
            <v>12,18</v>
          </cell>
          <cell r="Q625" t="str">
            <v>pc</v>
          </cell>
          <cell r="T625">
            <v>1</v>
          </cell>
          <cell r="U625">
            <v>5.5000000000000007E-2</v>
          </cell>
          <cell r="V625" t="str">
            <v>Driver Sheet Metal, Galv Steel, 180mm, Silver Color, Bold Lighting LLC, 17024</v>
          </cell>
          <cell r="W625" t="str">
            <v>Alcomet</v>
          </cell>
          <cell r="Y625">
            <v>0.05</v>
          </cell>
          <cell r="Z625">
            <v>1.3</v>
          </cell>
          <cell r="AA625">
            <v>1</v>
          </cell>
        </row>
        <row r="626">
          <cell r="C626" t="str">
            <v>AC013BLD</v>
          </cell>
          <cell r="D626" t="str">
            <v>Galv Steel, 1mm</v>
          </cell>
          <cell r="E626" t="str">
            <v>BHO,BHS,BOO,BOS,BOW,BOK</v>
          </cell>
          <cell r="F626" t="str">
            <v>R,T,M,I</v>
          </cell>
          <cell r="H626" t="str">
            <v>12,18</v>
          </cell>
          <cell r="Q626" t="str">
            <v>pc</v>
          </cell>
          <cell r="T626">
            <v>1</v>
          </cell>
          <cell r="U626">
            <v>8.8000000000000009E-2</v>
          </cell>
          <cell r="V626" t="str">
            <v>Driver Sheet Metal, Galv Steel, 180mm, Silver Color, Bold Lighting LLC, 17024</v>
          </cell>
          <cell r="W626" t="str">
            <v>Alcomet</v>
          </cell>
          <cell r="Y626">
            <v>0.08</v>
          </cell>
          <cell r="Z626">
            <v>1.3</v>
          </cell>
          <cell r="AA626">
            <v>1</v>
          </cell>
        </row>
        <row r="627">
          <cell r="C627" t="str">
            <v>AC021BLD</v>
          </cell>
          <cell r="D627" t="str">
            <v>Galv Steel, 1mm</v>
          </cell>
          <cell r="E627" t="str">
            <v>BHO,BHS,BOO,BOS,BOW,BOK</v>
          </cell>
          <cell r="F627" t="str">
            <v>R,T,S,P,M,W,I</v>
          </cell>
          <cell r="H627" t="str">
            <v>24,30</v>
          </cell>
          <cell r="Q627" t="str">
            <v>pc</v>
          </cell>
          <cell r="T627">
            <v>1</v>
          </cell>
          <cell r="U627">
            <v>8.8000000000000009E-2</v>
          </cell>
          <cell r="V627" t="str">
            <v>Driver Sheet Metal, Galv Steel, 300mm, Silver Color, Bold Lighting LLC, 17024</v>
          </cell>
          <cell r="W627" t="str">
            <v>Alcomet</v>
          </cell>
          <cell r="Y627">
            <v>0.08</v>
          </cell>
          <cell r="Z627">
            <v>1.3</v>
          </cell>
          <cell r="AA627">
            <v>1</v>
          </cell>
        </row>
        <row r="628">
          <cell r="C628" t="str">
            <v>AC036BLD</v>
          </cell>
          <cell r="D628" t="str">
            <v>Galv Steel, 1mm</v>
          </cell>
          <cell r="E628" t="str">
            <v>BHO,BHS,BOO,BOS,BOW,BOK</v>
          </cell>
          <cell r="F628" t="str">
            <v>R,T,S,P,M,W,I</v>
          </cell>
          <cell r="H628" t="str">
            <v>36,42,48</v>
          </cell>
          <cell r="Q628" t="str">
            <v>pc</v>
          </cell>
          <cell r="T628">
            <v>1</v>
          </cell>
          <cell r="U628">
            <v>0.17600000000000002</v>
          </cell>
          <cell r="V628" t="str">
            <v>Driver Sheet Metal, Galv Steel, 550mm, Silver Color, Bold Lighting LLC, 17024</v>
          </cell>
          <cell r="W628" t="str">
            <v>Alcomet</v>
          </cell>
          <cell r="Y628">
            <v>0.16</v>
          </cell>
          <cell r="Z628">
            <v>1.3</v>
          </cell>
          <cell r="AA628">
            <v>1</v>
          </cell>
        </row>
        <row r="629">
          <cell r="C629" t="str">
            <v>AC015BLD</v>
          </cell>
          <cell r="D629" t="str">
            <v>Galv Steel, 1mm</v>
          </cell>
          <cell r="E629" t="str">
            <v>BHO,BHS,BOO,BOS,BOW,BOK</v>
          </cell>
          <cell r="F629" t="str">
            <v>R,T,S,P,M,W,I</v>
          </cell>
          <cell r="H629" t="str">
            <v>54,60</v>
          </cell>
          <cell r="Q629" t="str">
            <v>pc</v>
          </cell>
          <cell r="T629">
            <v>1</v>
          </cell>
          <cell r="U629">
            <v>0.17600000000000002</v>
          </cell>
          <cell r="V629" t="str">
            <v>Driver Sheet Metal, Galv Steel, 720mm, Silver Color, Bold Lighting LLC, 17024</v>
          </cell>
          <cell r="W629" t="str">
            <v>Alcomet</v>
          </cell>
          <cell r="Y629">
            <v>0.16</v>
          </cell>
          <cell r="Z629">
            <v>1.3</v>
          </cell>
          <cell r="AA629">
            <v>1</v>
          </cell>
        </row>
        <row r="631">
          <cell r="C631" t="str">
            <v>BR006BLD</v>
          </cell>
          <cell r="D631" t="str">
            <v>Galv Steel, 1.5mm</v>
          </cell>
          <cell r="E631" t="str">
            <v>BHO, BHS, BOO, BOS, BOW,BOK</v>
          </cell>
          <cell r="F631" t="str">
            <v>I</v>
          </cell>
          <cell r="Q631" t="str">
            <v>pc</v>
          </cell>
          <cell r="S631">
            <v>0.67</v>
          </cell>
          <cell r="U631">
            <v>6.6000000000000003E-2</v>
          </cell>
          <cell r="V631" t="str">
            <v>Outdoor Bracket, Housing Spacer, Galvanized Steel, Bold Lighting LLC, 17044</v>
          </cell>
          <cell r="Y631">
            <v>0.06</v>
          </cell>
          <cell r="Z631">
            <v>1.3</v>
          </cell>
          <cell r="AA631">
            <v>1</v>
          </cell>
        </row>
        <row r="633">
          <cell r="C633" t="str">
            <v>AC064GEN</v>
          </cell>
          <cell r="D633" t="str">
            <v>Accessories</v>
          </cell>
          <cell r="E633" t="str">
            <v>BHO, BHS, BOO, BOS, BOW,BOK</v>
          </cell>
          <cell r="Q633" t="str">
            <v>pc</v>
          </cell>
          <cell r="R633">
            <v>1</v>
          </cell>
          <cell r="T633">
            <v>1</v>
          </cell>
          <cell r="U633">
            <v>2.86E-2</v>
          </cell>
          <cell r="V633" t="str">
            <v>High Impact Hexagonal Plug, Plastic, 12mm Diameter, Black Color, BIMED TEKNIK ALETLER SAN. VE TIC. A.S., HITP-X02</v>
          </cell>
          <cell r="W633" t="str">
            <v>BIMED</v>
          </cell>
          <cell r="Y633">
            <v>2.5999999999999999E-2</v>
          </cell>
          <cell r="Z633">
            <v>1.5</v>
          </cell>
          <cell r="AA633">
            <v>1.86</v>
          </cell>
        </row>
        <row r="635">
          <cell r="C635" t="str">
            <v>EC000BLD</v>
          </cell>
          <cell r="D635" t="str">
            <v>Endcap</v>
          </cell>
          <cell r="E635" t="str">
            <v>BOP</v>
          </cell>
          <cell r="F635" t="str">
            <v>E,F</v>
          </cell>
          <cell r="Q635" t="str">
            <v>pc</v>
          </cell>
          <cell r="R635">
            <v>1</v>
          </cell>
          <cell r="T635">
            <v>2</v>
          </cell>
          <cell r="U635">
            <v>0.92400000000000004</v>
          </cell>
          <cell r="V635" t="str">
            <v>Outdoor Main Endcap, General, Bold Lighting LLC, 17013</v>
          </cell>
          <cell r="W635" t="str">
            <v>CN</v>
          </cell>
          <cell r="Y635">
            <v>0.84</v>
          </cell>
          <cell r="Z635">
            <v>2.27</v>
          </cell>
          <cell r="AA635">
            <v>1.58</v>
          </cell>
        </row>
        <row r="636">
          <cell r="C636" t="str">
            <v>EC000BLD</v>
          </cell>
          <cell r="D636" t="str">
            <v>Endcap</v>
          </cell>
          <cell r="E636" t="str">
            <v>BHO, BHS, BOO, BOS, BOW,BOK</v>
          </cell>
          <cell r="F636" t="str">
            <v>I, T,M</v>
          </cell>
          <cell r="Q636" t="str">
            <v>pc</v>
          </cell>
          <cell r="R636">
            <v>1</v>
          </cell>
          <cell r="T636">
            <v>2</v>
          </cell>
          <cell r="U636">
            <v>0.92400000000000004</v>
          </cell>
          <cell r="V636" t="str">
            <v>Outdoor Main Endcap, General, Bold Lighting LLC, 17013</v>
          </cell>
          <cell r="W636" t="str">
            <v>CN</v>
          </cell>
          <cell r="Y636">
            <v>0.84</v>
          </cell>
          <cell r="Z636">
            <v>2.27</v>
          </cell>
          <cell r="AA636">
            <v>1.58</v>
          </cell>
        </row>
        <row r="637">
          <cell r="C637" t="str">
            <v>EC000BLD</v>
          </cell>
          <cell r="D637" t="str">
            <v>Endcap</v>
          </cell>
          <cell r="E637" t="str">
            <v>BHO, BHS, BOO, BOS, BOW,BOK</v>
          </cell>
          <cell r="F637" t="str">
            <v>S, W, P,R</v>
          </cell>
          <cell r="G637" t="str">
            <v>M</v>
          </cell>
          <cell r="Q637" t="str">
            <v>pc</v>
          </cell>
          <cell r="R637">
            <v>1</v>
          </cell>
          <cell r="T637">
            <v>2</v>
          </cell>
          <cell r="U637">
            <v>0.92400000000000004</v>
          </cell>
          <cell r="V637" t="str">
            <v>Outdoor Main Endcap, General, Bold Lighting LLC, 17013</v>
          </cell>
          <cell r="W637" t="str">
            <v>CN</v>
          </cell>
          <cell r="Y637">
            <v>0.84</v>
          </cell>
          <cell r="Z637">
            <v>2.27</v>
          </cell>
          <cell r="AA637">
            <v>1.58</v>
          </cell>
        </row>
        <row r="638">
          <cell r="C638" t="str">
            <v>EC000BLD</v>
          </cell>
          <cell r="D638" t="str">
            <v>Endcap</v>
          </cell>
          <cell r="E638" t="str">
            <v>BHO, BHS, BOO, BOS, BOW,BOK</v>
          </cell>
          <cell r="F638" t="str">
            <v>S, W, P,R</v>
          </cell>
          <cell r="G638" t="str">
            <v>B,E</v>
          </cell>
          <cell r="Q638" t="str">
            <v>pc</v>
          </cell>
          <cell r="R638">
            <v>1</v>
          </cell>
          <cell r="T638">
            <v>1</v>
          </cell>
          <cell r="U638">
            <v>0.92400000000000004</v>
          </cell>
          <cell r="V638" t="str">
            <v>Outdoor Main Endcap, General, Bold Lighting LLC, 17013</v>
          </cell>
          <cell r="W638" t="str">
            <v>CN</v>
          </cell>
          <cell r="Y638">
            <v>0.84</v>
          </cell>
          <cell r="Z638">
            <v>2.27</v>
          </cell>
          <cell r="AA638">
            <v>1.58</v>
          </cell>
        </row>
        <row r="640">
          <cell r="C640" t="str">
            <v>EC011BLD</v>
          </cell>
          <cell r="D640" t="str">
            <v>Endcap</v>
          </cell>
          <cell r="E640" t="str">
            <v>BHO, BHS, BOO, BOS, BOW,BOP,BOK</v>
          </cell>
          <cell r="Q640" t="str">
            <v>pc</v>
          </cell>
          <cell r="R640">
            <v>1</v>
          </cell>
          <cell r="T640">
            <v>2</v>
          </cell>
          <cell r="U640">
            <v>0.72600000000000009</v>
          </cell>
          <cell r="V640" t="str">
            <v>Outdoor Driver Box Endcap, All Mountings, Bold Lighting LLC, 17022</v>
          </cell>
          <cell r="W640" t="str">
            <v>CN</v>
          </cell>
          <cell r="Y640">
            <v>0.66</v>
          </cell>
          <cell r="Z640">
            <v>2.27</v>
          </cell>
          <cell r="AA640">
            <v>1.58</v>
          </cell>
        </row>
        <row r="641">
          <cell r="C641" t="str">
            <v>EC012BLD</v>
          </cell>
          <cell r="D641" t="str">
            <v>Endcap</v>
          </cell>
          <cell r="E641" t="str">
            <v>BHO, BHS, BOO, BOS, BOW,BOK</v>
          </cell>
          <cell r="G641" t="str">
            <v>-</v>
          </cell>
          <cell r="Q641" t="str">
            <v>pc</v>
          </cell>
          <cell r="R641">
            <v>1</v>
          </cell>
          <cell r="T641">
            <v>2</v>
          </cell>
          <cell r="U641">
            <v>0.77</v>
          </cell>
          <cell r="V641" t="str">
            <v>Outdoor Driver Box Endcap with M20, All Mountings, Bold Lighting LLC, 17022</v>
          </cell>
          <cell r="W641" t="str">
            <v>CN</v>
          </cell>
          <cell r="Y641">
            <v>0.7</v>
          </cell>
          <cell r="Z641">
            <v>2.27</v>
          </cell>
          <cell r="AA641">
            <v>1.58</v>
          </cell>
        </row>
        <row r="642">
          <cell r="C642" t="str">
            <v>EC012BLD</v>
          </cell>
          <cell r="D642" t="str">
            <v>Endcap</v>
          </cell>
          <cell r="E642" t="str">
            <v>BHO, BHS, BOO, BOS, BOW,BOP,BOK</v>
          </cell>
          <cell r="G642" t="str">
            <v>-</v>
          </cell>
          <cell r="Q642" t="str">
            <v>pc</v>
          </cell>
          <cell r="R642">
            <v>1</v>
          </cell>
          <cell r="T642">
            <v>1</v>
          </cell>
          <cell r="U642">
            <v>0.77</v>
          </cell>
          <cell r="V642" t="str">
            <v>Outdoor Driver Box Endcap with M20, All Mountings, Bold Lighting LLC, 17022</v>
          </cell>
          <cell r="W642" t="str">
            <v>CN</v>
          </cell>
          <cell r="Y642">
            <v>0.7</v>
          </cell>
          <cell r="Z642">
            <v>2.27</v>
          </cell>
          <cell r="AA642">
            <v>1.58</v>
          </cell>
        </row>
        <row r="644">
          <cell r="C644" t="str">
            <v>BR009BLD</v>
          </cell>
          <cell r="D644" t="str">
            <v>Galv Steel, 1.5mm</v>
          </cell>
          <cell r="E644" t="str">
            <v>BHO, BHS, BOO, BOS, BOW,BOK</v>
          </cell>
          <cell r="F644" t="str">
            <v>R</v>
          </cell>
          <cell r="Q644" t="str">
            <v>pc</v>
          </cell>
          <cell r="R644">
            <v>1</v>
          </cell>
          <cell r="T644">
            <v>2</v>
          </cell>
          <cell r="U644">
            <v>2.2000000000000002E-2</v>
          </cell>
          <cell r="V644" t="str">
            <v>Outdoor Bracket, Trim Bracket, Galvanized Steel, Bold Lighting LLC, 17031</v>
          </cell>
          <cell r="Y644">
            <v>0.02</v>
          </cell>
          <cell r="Z644">
            <v>1.3</v>
          </cell>
          <cell r="AA644">
            <v>1</v>
          </cell>
        </row>
        <row r="646">
          <cell r="C646" t="str">
            <v>BR014BLD</v>
          </cell>
          <cell r="D646" t="str">
            <v>Galv Steel, 1.5mm</v>
          </cell>
          <cell r="E646" t="str">
            <v>BHO, BHS, BOO, BOS, BOW,BOK</v>
          </cell>
          <cell r="F646" t="str">
            <v>R</v>
          </cell>
          <cell r="G646" t="str">
            <v>B,M</v>
          </cell>
          <cell r="Q646" t="str">
            <v>pc</v>
          </cell>
          <cell r="R646">
            <v>1</v>
          </cell>
          <cell r="T646">
            <v>1</v>
          </cell>
          <cell r="U646">
            <v>7.7000000000000013E-2</v>
          </cell>
          <cell r="V646" t="str">
            <v>Outdoor Bracket, Trim Alignemnt Bracket, Galvanized Steel, Bold Lighting LLC, 17051</v>
          </cell>
          <cell r="Y646">
            <v>7.0000000000000007E-2</v>
          </cell>
          <cell r="Z646">
            <v>1.3</v>
          </cell>
          <cell r="AA646">
            <v>1</v>
          </cell>
        </row>
        <row r="648">
          <cell r="C648" t="str">
            <v>BR007BLD</v>
          </cell>
          <cell r="D648" t="str">
            <v>Galv Steel, 1.5mm</v>
          </cell>
          <cell r="E648" t="str">
            <v>BHO, BHS, BOO, BOS, BOW,BOK</v>
          </cell>
          <cell r="F648" t="str">
            <v>P</v>
          </cell>
          <cell r="Q648" t="str">
            <v>pc</v>
          </cell>
          <cell r="R648">
            <v>1</v>
          </cell>
          <cell r="T648">
            <v>2</v>
          </cell>
          <cell r="U648">
            <v>5.5000000000000007E-2</v>
          </cell>
          <cell r="V648" t="str">
            <v>Outdoor Bracket, Pendant Bracket, Galvanized Steel, Bold Lighting LLC, 17039</v>
          </cell>
          <cell r="Y648">
            <v>0.05</v>
          </cell>
          <cell r="Z648">
            <v>1.3</v>
          </cell>
          <cell r="AA648">
            <v>1</v>
          </cell>
        </row>
        <row r="650">
          <cell r="C650" t="str">
            <v>EC001BLD</v>
          </cell>
          <cell r="D650" t="str">
            <v>Endcap</v>
          </cell>
          <cell r="E650" t="str">
            <v>BHO, BHS, BOO, BOS, BOW,BOK</v>
          </cell>
          <cell r="F650" t="str">
            <v>P, S, W</v>
          </cell>
          <cell r="G650" t="str">
            <v>B,E</v>
          </cell>
          <cell r="Q650" t="str">
            <v>pc</v>
          </cell>
          <cell r="R650">
            <v>1</v>
          </cell>
          <cell r="T650">
            <v>1</v>
          </cell>
          <cell r="U650">
            <v>0.90200000000000002</v>
          </cell>
          <cell r="V650" t="str">
            <v>Outdoor Endcap, Surface/Wall/Pendant Mounted, Bold Lighting LLC, 17015</v>
          </cell>
          <cell r="W650" t="str">
            <v>CN</v>
          </cell>
          <cell r="Y650">
            <v>0.82</v>
          </cell>
          <cell r="Z650">
            <v>2.27</v>
          </cell>
          <cell r="AA650">
            <v>1.58</v>
          </cell>
        </row>
        <row r="651">
          <cell r="C651" t="str">
            <v>EC001BLD</v>
          </cell>
          <cell r="D651" t="str">
            <v>Endcap</v>
          </cell>
          <cell r="E651" t="str">
            <v>BHO, BHS, BOO, BOS, BOW,BOK</v>
          </cell>
          <cell r="F651" t="str">
            <v>P, S, W</v>
          </cell>
          <cell r="G651" t="str">
            <v>S</v>
          </cell>
          <cell r="Q651" t="str">
            <v>pc</v>
          </cell>
          <cell r="R651">
            <v>1</v>
          </cell>
          <cell r="T651">
            <v>2</v>
          </cell>
          <cell r="U651">
            <v>0.90200000000000002</v>
          </cell>
          <cell r="V651" t="str">
            <v>Outdoor Endcap, Surface/Wall/Pendant Mounted, Bold Lighting LLC, 17015</v>
          </cell>
          <cell r="W651" t="str">
            <v>CN</v>
          </cell>
          <cell r="Y651">
            <v>0.82</v>
          </cell>
          <cell r="Z651">
            <v>2.27</v>
          </cell>
          <cell r="AA651">
            <v>1.58</v>
          </cell>
        </row>
        <row r="653">
          <cell r="C653" t="str">
            <v>BR013BLD</v>
          </cell>
          <cell r="D653" t="str">
            <v>Galv Steel, 1.5mm</v>
          </cell>
          <cell r="E653" t="str">
            <v>BHO, BHS, BOO, BOS, BOW,BOK</v>
          </cell>
          <cell r="F653" t="str">
            <v>W</v>
          </cell>
          <cell r="Q653" t="str">
            <v>pc</v>
          </cell>
          <cell r="R653">
            <v>1</v>
          </cell>
          <cell r="T653">
            <v>2</v>
          </cell>
          <cell r="U653">
            <v>6.6000000000000003E-2</v>
          </cell>
          <cell r="V653" t="str">
            <v>Outdoor Bracket, WM Bracket, Galvanized Steel, Bold Lighting LLC, 17048</v>
          </cell>
          <cell r="Y653">
            <v>0.06</v>
          </cell>
          <cell r="Z653">
            <v>1.3</v>
          </cell>
          <cell r="AA653">
            <v>1</v>
          </cell>
        </row>
        <row r="655">
          <cell r="C655" t="str">
            <v>BR018BLD</v>
          </cell>
          <cell r="D655" t="str">
            <v>Galv Steel, 1.5mm</v>
          </cell>
          <cell r="E655" t="str">
            <v>BHO, BHS, BOO, BOS, BOW,BOK</v>
          </cell>
          <cell r="F655" t="str">
            <v>W</v>
          </cell>
          <cell r="Q655" t="str">
            <v>pc</v>
          </cell>
          <cell r="R655">
            <v>1</v>
          </cell>
          <cell r="T655">
            <v>2</v>
          </cell>
          <cell r="U655">
            <v>5.5000000000000007E-2</v>
          </cell>
          <cell r="V655" t="str">
            <v>Outdoor Bracket, WM Bracket 1, Galvanized Steel, Bold Lighting LLC, 17055</v>
          </cell>
          <cell r="Y655">
            <v>0.05</v>
          </cell>
          <cell r="Z655">
            <v>1.3</v>
          </cell>
          <cell r="AA655">
            <v>1</v>
          </cell>
        </row>
        <row r="657">
          <cell r="C657" t="str">
            <v>BR019BLD</v>
          </cell>
          <cell r="D657" t="str">
            <v>Galv Steel, 1.5mm</v>
          </cell>
          <cell r="E657" t="str">
            <v>BHO, BHS, BOO, BOS, BOW,BOK</v>
          </cell>
          <cell r="F657" t="str">
            <v>W</v>
          </cell>
          <cell r="Q657" t="str">
            <v>pc</v>
          </cell>
          <cell r="R657">
            <v>1</v>
          </cell>
          <cell r="T657">
            <v>2</v>
          </cell>
          <cell r="U657">
            <v>8.8000000000000009E-2</v>
          </cell>
          <cell r="V657" t="str">
            <v>Outdoor Bracket, WM Bracket 2, Galvanized Steel, Bold Lighting LLC, 17056</v>
          </cell>
          <cell r="Y657">
            <v>0.08</v>
          </cell>
          <cell r="Z657">
            <v>1.3</v>
          </cell>
          <cell r="AA657">
            <v>1</v>
          </cell>
        </row>
        <row r="659">
          <cell r="C659" t="str">
            <v>BR020BLD</v>
          </cell>
          <cell r="D659" t="str">
            <v>Galv Steel, 1.5mm</v>
          </cell>
          <cell r="E659" t="str">
            <v>BHO, BHS, BOO, BOS, BOW,BOK</v>
          </cell>
          <cell r="F659" t="str">
            <v>W-</v>
          </cell>
          <cell r="Q659" t="str">
            <v>pc</v>
          </cell>
          <cell r="R659">
            <v>1</v>
          </cell>
          <cell r="T659">
            <v>2</v>
          </cell>
          <cell r="U659">
            <v>7.7000000000000013E-2</v>
          </cell>
          <cell r="V659" t="str">
            <v>Outdoor Bracket, WM Arm Bracket, Galvanized Steel, Bold Lighting LLC, 17059</v>
          </cell>
          <cell r="Y659">
            <v>7.0000000000000007E-2</v>
          </cell>
          <cell r="Z659">
            <v>1.3</v>
          </cell>
          <cell r="AA659">
            <v>1</v>
          </cell>
        </row>
        <row r="661">
          <cell r="C661" t="str">
            <v>MA004XSI</v>
          </cell>
          <cell r="D661" t="str">
            <v>Steel, 1mm</v>
          </cell>
          <cell r="E661" t="str">
            <v>BHO, BHS, BOO, BOS, BOW,BOK</v>
          </cell>
          <cell r="F661" t="str">
            <v>I</v>
          </cell>
          <cell r="G661" t="str">
            <v>B,M</v>
          </cell>
          <cell r="Q661" t="str">
            <v>pc</v>
          </cell>
          <cell r="R661">
            <v>1</v>
          </cell>
          <cell r="T661">
            <v>4</v>
          </cell>
          <cell r="U661">
            <v>0.33</v>
          </cell>
          <cell r="V661" t="str">
            <v>Outdoor, Alignment Pin, Galvanized Steel, Naggiar Trading S.A.L, 17060</v>
          </cell>
          <cell r="Y661">
            <v>0.3</v>
          </cell>
          <cell r="Z661">
            <v>1.3</v>
          </cell>
          <cell r="AA661">
            <v>1</v>
          </cell>
        </row>
        <row r="663">
          <cell r="C663" t="str">
            <v>EC003BLD</v>
          </cell>
          <cell r="D663" t="str">
            <v>Aluminum, 2mm</v>
          </cell>
          <cell r="E663" t="str">
            <v>BHO, BHS, BOO, BOS, BOW,BOK</v>
          </cell>
          <cell r="F663" t="str">
            <v>I-</v>
          </cell>
          <cell r="G663" t="str">
            <v>B</v>
          </cell>
          <cell r="Q663" t="str">
            <v>pc</v>
          </cell>
          <cell r="R663">
            <v>1</v>
          </cell>
          <cell r="T663">
            <v>1</v>
          </cell>
          <cell r="U663">
            <v>1.07338</v>
          </cell>
          <cell r="V663" t="str">
            <v>Outdoor Housing Endcap, Inground, Bold Lighting LLC, 17042</v>
          </cell>
          <cell r="W663" t="str">
            <v>CN</v>
          </cell>
          <cell r="Y663">
            <v>0.9758</v>
          </cell>
          <cell r="Z663">
            <v>1.3</v>
          </cell>
          <cell r="AA663">
            <v>1</v>
          </cell>
        </row>
        <row r="664">
          <cell r="C664" t="str">
            <v>EC004BLD</v>
          </cell>
          <cell r="D664" t="str">
            <v>Aluminum, 2mm</v>
          </cell>
          <cell r="E664" t="str">
            <v>BHO, BHS, BOO, BOS, BOW,BOK</v>
          </cell>
          <cell r="F664" t="str">
            <v>I</v>
          </cell>
          <cell r="G664" t="str">
            <v>B,E</v>
          </cell>
          <cell r="Q664" t="str">
            <v>pc</v>
          </cell>
          <cell r="R664">
            <v>1</v>
          </cell>
          <cell r="T664">
            <v>1</v>
          </cell>
          <cell r="U664">
            <v>0.18700000000000003</v>
          </cell>
          <cell r="V664" t="str">
            <v>Outdoor Housing Endcap with Hole, Inground, Bold Lighting LLC, 17042</v>
          </cell>
          <cell r="W664" t="str">
            <v>CN</v>
          </cell>
          <cell r="Y664">
            <v>0.17</v>
          </cell>
          <cell r="Z664">
            <v>1.3</v>
          </cell>
          <cell r="AA664">
            <v>1</v>
          </cell>
        </row>
        <row r="665">
          <cell r="C665" t="str">
            <v>EC004BLD</v>
          </cell>
          <cell r="D665" t="str">
            <v>Aluminum, 2mm</v>
          </cell>
          <cell r="E665" t="str">
            <v>BHO, BHS, BOO, BOS, BOW,BOK</v>
          </cell>
          <cell r="F665" t="str">
            <v>I</v>
          </cell>
          <cell r="G665" t="str">
            <v>S</v>
          </cell>
          <cell r="Q665" t="str">
            <v>pc</v>
          </cell>
          <cell r="R665">
            <v>1</v>
          </cell>
          <cell r="T665">
            <v>2</v>
          </cell>
          <cell r="U665">
            <v>0.18700000000000003</v>
          </cell>
          <cell r="V665" t="str">
            <v>Outdoor Housing Endcap with Hole, Inground, Bold Lighting LLC, 17042</v>
          </cell>
          <cell r="W665" t="str">
            <v>CN</v>
          </cell>
          <cell r="Y665">
            <v>0.17</v>
          </cell>
          <cell r="Z665">
            <v>1.3</v>
          </cell>
          <cell r="AA665">
            <v>1</v>
          </cell>
        </row>
        <row r="666">
          <cell r="C666" t="str">
            <v>EC003BLD</v>
          </cell>
          <cell r="D666" t="str">
            <v>Aluminum, 2mm</v>
          </cell>
          <cell r="E666" t="str">
            <v>BHO, BHS, BOO, BOS, BOW,BOK</v>
          </cell>
          <cell r="F666" t="str">
            <v>I-</v>
          </cell>
          <cell r="G666" t="str">
            <v>S</v>
          </cell>
          <cell r="Q666" t="str">
            <v>pc</v>
          </cell>
          <cell r="R666">
            <v>1</v>
          </cell>
          <cell r="T666">
            <v>1</v>
          </cell>
          <cell r="U666">
            <v>1.07338</v>
          </cell>
          <cell r="V666" t="str">
            <v>Outdoor Housing Endcap, Inground, Bold Lighting LLC, 17042</v>
          </cell>
          <cell r="W666" t="str">
            <v>CN</v>
          </cell>
          <cell r="Y666">
            <v>0.9758</v>
          </cell>
          <cell r="Z666">
            <v>1.3</v>
          </cell>
          <cell r="AA666">
            <v>1</v>
          </cell>
        </row>
        <row r="668">
          <cell r="C668" t="str">
            <v>MA019XFI</v>
          </cell>
          <cell r="D668" t="str">
            <v>Mounting Accessory</v>
          </cell>
          <cell r="E668" t="str">
            <v>BHO, BHS, BOO, BOS, BOW,BOK</v>
          </cell>
          <cell r="F668" t="str">
            <v>R</v>
          </cell>
          <cell r="H668" t="str">
            <v>12,18,24,30,36</v>
          </cell>
          <cell r="Q668" t="str">
            <v>pc</v>
          </cell>
          <cell r="R668">
            <v>1</v>
          </cell>
          <cell r="T668">
            <v>6</v>
          </cell>
          <cell r="U668">
            <v>0.15400000000000003</v>
          </cell>
          <cell r="V668" t="str">
            <v>Outdoor, Spring Frin Trim, Steel, Xiamen Finewe Industry Co., Ltd., FMLY-BJSK-27B</v>
          </cell>
          <cell r="W668" t="str">
            <v>CN</v>
          </cell>
          <cell r="Y668">
            <v>0.14000000000000001</v>
          </cell>
          <cell r="Z668">
            <v>2.2999999999999998</v>
          </cell>
          <cell r="AA668">
            <v>2</v>
          </cell>
        </row>
        <row r="669">
          <cell r="C669" t="str">
            <v>MA019XFI</v>
          </cell>
          <cell r="D669" t="str">
            <v>Mounting Accessory</v>
          </cell>
          <cell r="E669" t="str">
            <v>BHO, BHS, BOO, BOS, BOW,BOK</v>
          </cell>
          <cell r="F669" t="str">
            <v>R</v>
          </cell>
          <cell r="H669" t="str">
            <v>42,48,54,60</v>
          </cell>
          <cell r="Q669" t="str">
            <v>pc</v>
          </cell>
          <cell r="R669">
            <v>1</v>
          </cell>
          <cell r="T669">
            <v>8</v>
          </cell>
          <cell r="U669">
            <v>0.15400000000000003</v>
          </cell>
          <cell r="V669" t="str">
            <v>Outdoor, Spring Frin Trim, Steel, Xiamen Finewe Industry Co., Ltd., FMLY-BJSK-27B</v>
          </cell>
          <cell r="W669" t="str">
            <v>CN</v>
          </cell>
          <cell r="Y669">
            <v>0.14000000000000001</v>
          </cell>
          <cell r="Z669">
            <v>2.2999999999999998</v>
          </cell>
          <cell r="AA669">
            <v>2</v>
          </cell>
        </row>
        <row r="671">
          <cell r="C671" t="str">
            <v>EC002BLD</v>
          </cell>
          <cell r="D671" t="str">
            <v>Endcap</v>
          </cell>
          <cell r="E671" t="str">
            <v>BHO, BHS, BOO, BOS, BOW,BOK</v>
          </cell>
          <cell r="F671" t="str">
            <v>R</v>
          </cell>
          <cell r="G671" t="str">
            <v>B,E</v>
          </cell>
          <cell r="Q671" t="str">
            <v>pc</v>
          </cell>
          <cell r="R671">
            <v>1</v>
          </cell>
          <cell r="T671">
            <v>1</v>
          </cell>
          <cell r="U671">
            <v>0.80300000000000005</v>
          </cell>
          <cell r="V671" t="str">
            <v>Billet Outdoor, Endcap, Recessed with Trim, Bold Lighting LLC, 17016</v>
          </cell>
          <cell r="W671" t="str">
            <v>CN</v>
          </cell>
          <cell r="Y671">
            <v>0.73</v>
          </cell>
          <cell r="Z671">
            <v>2.27</v>
          </cell>
          <cell r="AA671">
            <v>1.58</v>
          </cell>
        </row>
        <row r="672">
          <cell r="C672" t="str">
            <v>EC002BLD</v>
          </cell>
          <cell r="D672" t="str">
            <v>Endcap</v>
          </cell>
          <cell r="E672" t="str">
            <v>BHO, BHS, BOO, BOS, BOW,BOK</v>
          </cell>
          <cell r="F672" t="str">
            <v>R</v>
          </cell>
          <cell r="G672" t="str">
            <v>S</v>
          </cell>
          <cell r="Q672" t="str">
            <v>pc</v>
          </cell>
          <cell r="R672">
            <v>1</v>
          </cell>
          <cell r="T672">
            <v>2</v>
          </cell>
          <cell r="U672">
            <v>0.80300000000000005</v>
          </cell>
          <cell r="V672" t="str">
            <v>Billet Outdoor, Endcap, Recessed with Trim, Bold Lighting LLC, 17016</v>
          </cell>
          <cell r="W672" t="str">
            <v>CN</v>
          </cell>
          <cell r="Y672">
            <v>0.73</v>
          </cell>
          <cell r="Z672">
            <v>2.27</v>
          </cell>
          <cell r="AA672">
            <v>1.58</v>
          </cell>
        </row>
        <row r="674">
          <cell r="C674" t="str">
            <v>BR008BLD</v>
          </cell>
          <cell r="D674" t="str">
            <v>Galv Steel, 1.5mm</v>
          </cell>
          <cell r="E674" t="str">
            <v>BHO, BHS, BOO, BOS, BOW,BOK</v>
          </cell>
          <cell r="F674" t="str">
            <v>S</v>
          </cell>
          <cell r="Q674" t="str">
            <v>pc</v>
          </cell>
          <cell r="R674">
            <v>1</v>
          </cell>
          <cell r="T674">
            <v>2</v>
          </cell>
          <cell r="U674">
            <v>7.6999999999999999E-2</v>
          </cell>
          <cell r="V674" t="str">
            <v>Outdoor Bracket, SM Bracket, Galvanized Steel, Bold Lighting LLC, 17035</v>
          </cell>
          <cell r="Y674">
            <v>6.9999999999999993E-2</v>
          </cell>
          <cell r="Z674">
            <v>1.3</v>
          </cell>
          <cell r="AA674">
            <v>1</v>
          </cell>
        </row>
        <row r="676">
          <cell r="C676" t="str">
            <v>MA007BLD</v>
          </cell>
          <cell r="D676" t="str">
            <v>Galv Steel, 1.5mm</v>
          </cell>
          <cell r="E676" t="str">
            <v>BHO, BHS, BOO, BOS, BOW,BOK</v>
          </cell>
          <cell r="F676" t="str">
            <v>S</v>
          </cell>
          <cell r="G676" t="str">
            <v>B,M</v>
          </cell>
          <cell r="H676" t="str">
            <v>-</v>
          </cell>
          <cell r="Q676" t="str">
            <v>pc</v>
          </cell>
          <cell r="R676">
            <v>1</v>
          </cell>
          <cell r="T676">
            <v>2</v>
          </cell>
          <cell r="U676">
            <v>1.1000000000000001E-2</v>
          </cell>
          <cell r="V676" t="str">
            <v>Outdoor, Surface Mounted Allignment, Galvanized Steel, Bold Lighting LLC, 17049</v>
          </cell>
          <cell r="Y676">
            <v>0.01</v>
          </cell>
          <cell r="Z676">
            <v>1.3</v>
          </cell>
          <cell r="AA676">
            <v>1</v>
          </cell>
        </row>
        <row r="678">
          <cell r="C678" t="str">
            <v>MA006BLD</v>
          </cell>
          <cell r="D678" t="str">
            <v>Mounting Accessory</v>
          </cell>
          <cell r="E678" t="str">
            <v>BHO, BHS, BOO, BOS, BOW,BOK</v>
          </cell>
          <cell r="F678" t="str">
            <v>S</v>
          </cell>
          <cell r="Q678" t="str">
            <v>pc</v>
          </cell>
          <cell r="R678">
            <v>1</v>
          </cell>
          <cell r="T678">
            <v>2</v>
          </cell>
          <cell r="U678">
            <v>0.27500000000000002</v>
          </cell>
          <cell r="V678" t="str">
            <v>Outdoor, SM Rot-Bracket, Galvanized Steel, Bold Lighting LLC, SM001</v>
          </cell>
          <cell r="Y678">
            <v>0.25</v>
          </cell>
          <cell r="Z678">
            <v>1.3</v>
          </cell>
          <cell r="AA678">
            <v>1</v>
          </cell>
        </row>
        <row r="680">
          <cell r="C680" t="str">
            <v>EC005BLD</v>
          </cell>
          <cell r="D680" t="str">
            <v>Galv Steel, 0.6mm</v>
          </cell>
          <cell r="E680" t="str">
            <v>BHO, BHS, BOO, BOS, BOW,BOK</v>
          </cell>
          <cell r="F680" t="str">
            <v>T,M</v>
          </cell>
          <cell r="G680" t="str">
            <v>S</v>
          </cell>
          <cell r="Q680" t="str">
            <v>pc</v>
          </cell>
          <cell r="R680">
            <v>1</v>
          </cell>
          <cell r="T680">
            <v>2</v>
          </cell>
          <cell r="U680">
            <v>5.5000000000000007E-2</v>
          </cell>
          <cell r="V680" t="str">
            <v>Outdoor Endcap, Trimless, Bold Lighting LLC, 17806</v>
          </cell>
          <cell r="Y680">
            <v>0.05</v>
          </cell>
          <cell r="Z680">
            <v>1.3</v>
          </cell>
          <cell r="AA680">
            <v>1</v>
          </cell>
        </row>
        <row r="681">
          <cell r="C681" t="str">
            <v>EC005BLD</v>
          </cell>
          <cell r="D681" t="str">
            <v>Galv Steel, 0.6mm</v>
          </cell>
          <cell r="E681" t="str">
            <v>BHO, BHS, BOO, BOS, BOW,BOK</v>
          </cell>
          <cell r="F681" t="str">
            <v>T,M</v>
          </cell>
          <cell r="G681" t="str">
            <v>B,E</v>
          </cell>
          <cell r="Q681" t="str">
            <v>pc</v>
          </cell>
          <cell r="R681">
            <v>1</v>
          </cell>
          <cell r="T681">
            <v>1</v>
          </cell>
          <cell r="U681">
            <v>5.5000000000000007E-2</v>
          </cell>
          <cell r="V681" t="str">
            <v>Outdoor Endcap, Trimless, Bold Lighting LLC, 17806</v>
          </cell>
          <cell r="Y681">
            <v>0.05</v>
          </cell>
          <cell r="Z681">
            <v>1.3</v>
          </cell>
          <cell r="AA681">
            <v>1</v>
          </cell>
        </row>
        <row r="683">
          <cell r="C683" t="str">
            <v>EC022BLD</v>
          </cell>
          <cell r="D683" t="str">
            <v>SS304, 1mm</v>
          </cell>
          <cell r="E683" t="str">
            <v>BOP</v>
          </cell>
          <cell r="F683" t="str">
            <v>E,F</v>
          </cell>
          <cell r="G683" t="str">
            <v>S</v>
          </cell>
          <cell r="Q683" t="str">
            <v>pc</v>
          </cell>
          <cell r="R683">
            <v>1</v>
          </cell>
          <cell r="T683">
            <v>2</v>
          </cell>
          <cell r="U683">
            <v>5.5000000000000007E-2</v>
          </cell>
          <cell r="V683" t="str">
            <v>Billet Outdoor, Endcap, Step Light Trimless, Bold Lighting LLC, 17810</v>
          </cell>
          <cell r="Y683">
            <v>0.05</v>
          </cell>
          <cell r="Z683">
            <v>1.3</v>
          </cell>
          <cell r="AA683">
            <v>1</v>
          </cell>
        </row>
        <row r="685">
          <cell r="C685" t="str">
            <v>BR040BLD</v>
          </cell>
          <cell r="D685" t="str">
            <v>Galv Steel, 1.5mm</v>
          </cell>
          <cell r="E685" t="str">
            <v>BOP</v>
          </cell>
          <cell r="F685" t="str">
            <v>E,F</v>
          </cell>
          <cell r="G685" t="str">
            <v>S</v>
          </cell>
          <cell r="Q685" t="str">
            <v>pc</v>
          </cell>
          <cell r="R685">
            <v>1</v>
          </cell>
          <cell r="T685">
            <v>2</v>
          </cell>
          <cell r="U685">
            <v>5.5000000000000007E-2</v>
          </cell>
          <cell r="V685" t="str">
            <v>Outdoor Bracket, Step Light, Galvanized Steel, Bold Lighting LLC, 17811</v>
          </cell>
          <cell r="Y685">
            <v>0.05</v>
          </cell>
          <cell r="Z685">
            <v>1.3</v>
          </cell>
          <cell r="AA685">
            <v>1</v>
          </cell>
        </row>
        <row r="687">
          <cell r="C687" t="str">
            <v>BR038BLD</v>
          </cell>
          <cell r="D687" t="str">
            <v>SS304, 3mm</v>
          </cell>
          <cell r="E687" t="str">
            <v>BOP</v>
          </cell>
          <cell r="F687" t="str">
            <v>E</v>
          </cell>
          <cell r="G687" t="str">
            <v>S</v>
          </cell>
          <cell r="Q687" t="str">
            <v>pc</v>
          </cell>
          <cell r="R687">
            <v>1</v>
          </cell>
          <cell r="T687">
            <v>2</v>
          </cell>
          <cell r="U687">
            <v>5.5000000000000007E-2</v>
          </cell>
          <cell r="V687" t="str">
            <v>Outdoor Bracket, Cover, Step Light Trim, Stainless Steel, Bold Lighting LLC, 17808-R</v>
          </cell>
          <cell r="Y687">
            <v>0.05</v>
          </cell>
          <cell r="Z687">
            <v>1.3</v>
          </cell>
          <cell r="AA687">
            <v>1</v>
          </cell>
        </row>
        <row r="689">
          <cell r="C689" t="str">
            <v>LR046BLD</v>
          </cell>
          <cell r="D689" t="str">
            <v>Galv Steel, 0.6mm</v>
          </cell>
          <cell r="E689" t="str">
            <v>BOP</v>
          </cell>
          <cell r="F689" t="str">
            <v>E,F</v>
          </cell>
          <cell r="G689" t="str">
            <v>S</v>
          </cell>
          <cell r="M689" t="str">
            <v>L</v>
          </cell>
          <cell r="Q689" t="str">
            <v>pc</v>
          </cell>
          <cell r="R689">
            <v>1</v>
          </cell>
          <cell r="T689">
            <v>1</v>
          </cell>
          <cell r="U689">
            <v>5.5000000000000007E-2</v>
          </cell>
          <cell r="V689" t="str">
            <v>Step Light Stealth, Louver Reflector, No Color Color, 150mm Length, 30mm Width, Bold Lighting LLC, 17097, N/A</v>
          </cell>
          <cell r="Y689">
            <v>0.05</v>
          </cell>
          <cell r="Z689">
            <v>1.3</v>
          </cell>
          <cell r="AA689">
            <v>1</v>
          </cell>
        </row>
        <row r="691">
          <cell r="C691" t="str">
            <v>BR039BLD</v>
          </cell>
          <cell r="D691" t="str">
            <v>SS304, 3mm</v>
          </cell>
          <cell r="E691" t="str">
            <v>BOP</v>
          </cell>
          <cell r="F691" t="str">
            <v>F</v>
          </cell>
          <cell r="G691" t="str">
            <v>S</v>
          </cell>
          <cell r="Q691" t="str">
            <v>pc</v>
          </cell>
          <cell r="R691">
            <v>1</v>
          </cell>
          <cell r="T691">
            <v>2</v>
          </cell>
          <cell r="U691">
            <v>5.5000000000000007E-2</v>
          </cell>
          <cell r="V691" t="str">
            <v>Outdoor Bracket, Cover, Step Light Trimless, Stainless Steel, Bold Lighting LLC, 17808-T</v>
          </cell>
          <cell r="Y691">
            <v>0.05</v>
          </cell>
          <cell r="Z691">
            <v>1.3</v>
          </cell>
          <cell r="AA691">
            <v>1</v>
          </cell>
        </row>
        <row r="693">
          <cell r="C693" t="str">
            <v>BR021BLD</v>
          </cell>
          <cell r="D693" t="str">
            <v>Galv Steel, 1.5mm</v>
          </cell>
          <cell r="E693" t="str">
            <v>BHO, BHS, BOO, BOS, BOW,BOK</v>
          </cell>
          <cell r="F693" t="str">
            <v>T,M</v>
          </cell>
          <cell r="Q693" t="str">
            <v>pc</v>
          </cell>
          <cell r="R693">
            <v>1</v>
          </cell>
          <cell r="T693">
            <v>2</v>
          </cell>
          <cell r="U693">
            <v>4.4000000000000004E-2</v>
          </cell>
          <cell r="V693" t="str">
            <v>Outdoor Bracket, Push Pin Bracket - R02, Galvanized Steel, Bold Lighting LLC, 17063</v>
          </cell>
          <cell r="Y693">
            <v>0.04</v>
          </cell>
          <cell r="Z693">
            <v>1.3</v>
          </cell>
          <cell r="AA693">
            <v>1</v>
          </cell>
        </row>
        <row r="694">
          <cell r="C694" t="str">
            <v>MA005XUK</v>
          </cell>
          <cell r="D694" t="str">
            <v>Mounting Accessory</v>
          </cell>
          <cell r="E694" t="str">
            <v>BHO, BHS, BOO, BOS, BOW,BOK</v>
          </cell>
          <cell r="F694" t="str">
            <v>T,M</v>
          </cell>
          <cell r="Q694" t="str">
            <v>pc</v>
          </cell>
          <cell r="R694">
            <v>1</v>
          </cell>
          <cell r="T694">
            <v>2</v>
          </cell>
          <cell r="U694">
            <v>1.9910000000000003</v>
          </cell>
          <cell r="V694" t="str">
            <v>Outdoor, Push Pin, Galvanized Steel, XUKUN, XK225</v>
          </cell>
          <cell r="Y694">
            <v>1.81</v>
          </cell>
          <cell r="Z694">
            <v>1.5</v>
          </cell>
          <cell r="AA694">
            <v>1.5</v>
          </cell>
        </row>
        <row r="696">
          <cell r="C696" t="str">
            <v>BR012BLD</v>
          </cell>
          <cell r="D696" t="str">
            <v>Galv Steel, 1mm</v>
          </cell>
          <cell r="E696" t="str">
            <v>BHO, BHS, BOO, BOS, BOW,BOK</v>
          </cell>
          <cell r="F696" t="str">
            <v>T</v>
          </cell>
          <cell r="Q696" t="str">
            <v>pc</v>
          </cell>
          <cell r="R696">
            <v>1</v>
          </cell>
          <cell r="T696">
            <v>4</v>
          </cell>
          <cell r="U696">
            <v>3.3000000000000002E-2</v>
          </cell>
          <cell r="V696" t="str">
            <v>Outdoor Bracket, Trimless Flande, Galvanized Steel, Bold Lighting LLC, 17804</v>
          </cell>
          <cell r="Y696">
            <v>0.03</v>
          </cell>
          <cell r="Z696">
            <v>1.3</v>
          </cell>
          <cell r="AA696">
            <v>1</v>
          </cell>
        </row>
        <row r="698">
          <cell r="C698" t="str">
            <v>PS037BLD</v>
          </cell>
          <cell r="D698" t="str">
            <v>Aluminum, 2mm</v>
          </cell>
          <cell r="E698" t="str">
            <v>BIW, BJW</v>
          </cell>
          <cell r="F698" t="str">
            <v>S, T, R, P,M,W</v>
          </cell>
          <cell r="H698">
            <v>12</v>
          </cell>
          <cell r="Q698" t="str">
            <v>pc</v>
          </cell>
          <cell r="R698">
            <v>1</v>
          </cell>
          <cell r="T698">
            <v>1</v>
          </cell>
          <cell r="U698">
            <v>0.24200000000000002</v>
          </cell>
          <cell r="V698" t="str">
            <v>PCB Metal Sheet, Indoor Asymmetric, 300mm, Bold Lighting LLC, E22002</v>
          </cell>
          <cell r="Y698">
            <v>0.22</v>
          </cell>
          <cell r="Z698">
            <v>1.3</v>
          </cell>
          <cell r="AA698">
            <v>1</v>
          </cell>
        </row>
        <row r="699">
          <cell r="C699" t="str">
            <v>PS038BLD</v>
          </cell>
          <cell r="D699" t="str">
            <v>Aluminum, 2mm</v>
          </cell>
          <cell r="E699" t="str">
            <v>BIW, BJW</v>
          </cell>
          <cell r="F699" t="str">
            <v>S, T, R, P,M,W</v>
          </cell>
          <cell r="H699">
            <v>18</v>
          </cell>
          <cell r="Q699" t="str">
            <v>pc</v>
          </cell>
          <cell r="R699">
            <v>1</v>
          </cell>
          <cell r="T699">
            <v>1</v>
          </cell>
          <cell r="U699">
            <v>0.35200000000000004</v>
          </cell>
          <cell r="V699" t="str">
            <v>PCB Metal Sheet, Indoor Asymmetric, 450mm, Bold Lighting LLC, E22002</v>
          </cell>
          <cell r="Y699">
            <v>0.32</v>
          </cell>
          <cell r="Z699">
            <v>1.3</v>
          </cell>
          <cell r="AA699">
            <v>1</v>
          </cell>
        </row>
        <row r="700">
          <cell r="C700" t="str">
            <v>PS039BLD</v>
          </cell>
          <cell r="D700" t="str">
            <v>Aluminum, 2mm</v>
          </cell>
          <cell r="E700" t="str">
            <v>BIW, BJW</v>
          </cell>
          <cell r="F700" t="str">
            <v>S, T, R, P,M,W</v>
          </cell>
          <cell r="H700">
            <v>24</v>
          </cell>
          <cell r="Q700" t="str">
            <v>pc</v>
          </cell>
          <cell r="R700">
            <v>1</v>
          </cell>
          <cell r="T700">
            <v>1</v>
          </cell>
          <cell r="U700">
            <v>0.46200000000000002</v>
          </cell>
          <cell r="V700" t="str">
            <v>PCB Metal Sheet, Indoor Asymmetric, 600mm, Bold Lighting LLC, E22002</v>
          </cell>
          <cell r="Y700">
            <v>0.42</v>
          </cell>
          <cell r="Z700">
            <v>1.3</v>
          </cell>
          <cell r="AA700">
            <v>1</v>
          </cell>
        </row>
        <row r="701">
          <cell r="C701" t="str">
            <v>PS040BLD</v>
          </cell>
          <cell r="D701" t="str">
            <v>Aluminum, 2mm</v>
          </cell>
          <cell r="E701" t="str">
            <v>BIW, BJW</v>
          </cell>
          <cell r="F701" t="str">
            <v>S, T, R, P,M,W</v>
          </cell>
          <cell r="H701">
            <v>30</v>
          </cell>
          <cell r="Q701" t="str">
            <v>pc</v>
          </cell>
          <cell r="R701">
            <v>1</v>
          </cell>
          <cell r="T701">
            <v>1</v>
          </cell>
          <cell r="U701">
            <v>0.57200000000000006</v>
          </cell>
          <cell r="V701" t="str">
            <v>PCB Metal Sheet, Indoor Asymmetric, 750mm, Bold Lighting LLC, E22002</v>
          </cell>
          <cell r="Y701">
            <v>0.52</v>
          </cell>
          <cell r="Z701">
            <v>1.3</v>
          </cell>
          <cell r="AA701">
            <v>1</v>
          </cell>
        </row>
        <row r="702">
          <cell r="C702" t="str">
            <v>PS041BLD</v>
          </cell>
          <cell r="D702" t="str">
            <v>Aluminum, 2mm</v>
          </cell>
          <cell r="E702" t="str">
            <v>BIW, BJW</v>
          </cell>
          <cell r="F702" t="str">
            <v>S, T, R, P,M,W</v>
          </cell>
          <cell r="H702">
            <v>36</v>
          </cell>
          <cell r="Q702" t="str">
            <v>pc</v>
          </cell>
          <cell r="R702">
            <v>1</v>
          </cell>
          <cell r="T702">
            <v>1</v>
          </cell>
          <cell r="U702">
            <v>0.68200000000000005</v>
          </cell>
          <cell r="V702" t="str">
            <v>PCB Metal Sheet, Indoor Asymmetric, 900mm, Bold Lighting LLC, E22002</v>
          </cell>
          <cell r="Y702">
            <v>0.62</v>
          </cell>
          <cell r="Z702">
            <v>1.3</v>
          </cell>
          <cell r="AA702">
            <v>1</v>
          </cell>
        </row>
        <row r="703">
          <cell r="C703" t="str">
            <v>PS042BLD</v>
          </cell>
          <cell r="D703" t="str">
            <v>Aluminum, 2mm</v>
          </cell>
          <cell r="E703" t="str">
            <v>BIW, BJW</v>
          </cell>
          <cell r="F703" t="str">
            <v>S, T, R, P,M,W</v>
          </cell>
          <cell r="H703">
            <v>42</v>
          </cell>
          <cell r="Q703" t="str">
            <v>pc</v>
          </cell>
          <cell r="R703">
            <v>1</v>
          </cell>
          <cell r="T703">
            <v>1</v>
          </cell>
          <cell r="U703">
            <v>0.79200000000000004</v>
          </cell>
          <cell r="V703" t="str">
            <v>PCB Metal Sheet, Indoor Asymmetric, 1050mm, Bold Lighting LLC, E22002</v>
          </cell>
          <cell r="Y703">
            <v>0.72</v>
          </cell>
          <cell r="Z703">
            <v>1.3</v>
          </cell>
          <cell r="AA703">
            <v>1</v>
          </cell>
        </row>
        <row r="704">
          <cell r="C704" t="str">
            <v>PS043BLD</v>
          </cell>
          <cell r="D704" t="str">
            <v>Aluminum, 2mm</v>
          </cell>
          <cell r="E704" t="str">
            <v>BIW, BJW</v>
          </cell>
          <cell r="F704" t="str">
            <v>S, T, R, P,M,W</v>
          </cell>
          <cell r="H704">
            <v>48</v>
          </cell>
          <cell r="Q704" t="str">
            <v>pc</v>
          </cell>
          <cell r="R704">
            <v>1</v>
          </cell>
          <cell r="T704">
            <v>1</v>
          </cell>
          <cell r="U704">
            <v>0.90200000000000002</v>
          </cell>
          <cell r="V704" t="str">
            <v>PCB Metal Sheet, Indoor Asymmetric, 1200mm, Bold Lighting LLC, E22002</v>
          </cell>
          <cell r="Y704">
            <v>0.82</v>
          </cell>
          <cell r="Z704">
            <v>1.3</v>
          </cell>
          <cell r="AA704">
            <v>1</v>
          </cell>
        </row>
        <row r="705">
          <cell r="C705" t="str">
            <v>PS044BLD</v>
          </cell>
          <cell r="D705" t="str">
            <v>Aluminum, 2mm</v>
          </cell>
          <cell r="E705" t="str">
            <v>BIW, BJW</v>
          </cell>
          <cell r="F705" t="str">
            <v>S, T, R, P,M,W</v>
          </cell>
          <cell r="H705">
            <v>54</v>
          </cell>
          <cell r="Q705" t="str">
            <v>pc</v>
          </cell>
          <cell r="R705">
            <v>1</v>
          </cell>
          <cell r="T705">
            <v>1</v>
          </cell>
          <cell r="U705">
            <v>1.0120000000000002</v>
          </cell>
          <cell r="V705" t="str">
            <v>PCB Metal Sheet, Indoor Asymmetric, 1350mm, Bold Lighting LLC, E22002</v>
          </cell>
          <cell r="Y705">
            <v>0.92</v>
          </cell>
          <cell r="Z705">
            <v>1.3</v>
          </cell>
          <cell r="AA705">
            <v>1</v>
          </cell>
        </row>
        <row r="706">
          <cell r="C706" t="str">
            <v>PS045BLD</v>
          </cell>
          <cell r="D706" t="str">
            <v>Aluminum, 2mm</v>
          </cell>
          <cell r="E706" t="str">
            <v>BIW, BJW</v>
          </cell>
          <cell r="F706" t="str">
            <v>S, T, R, P,M,W</v>
          </cell>
          <cell r="H706">
            <v>60</v>
          </cell>
          <cell r="Q706" t="str">
            <v>pc</v>
          </cell>
          <cell r="R706">
            <v>1</v>
          </cell>
          <cell r="T706">
            <v>1</v>
          </cell>
          <cell r="U706">
            <v>1.1220000000000001</v>
          </cell>
          <cell r="V706" t="str">
            <v>PCB Metal Sheet, Indoor Asymmetric, 1500mm, Bold Lighting LLC, E22002</v>
          </cell>
          <cell r="Y706">
            <v>1.02</v>
          </cell>
          <cell r="Z706">
            <v>1.3</v>
          </cell>
          <cell r="AA706">
            <v>1</v>
          </cell>
        </row>
        <row r="708">
          <cell r="C708" t="str">
            <v>BR035BLD</v>
          </cell>
          <cell r="D708" t="str">
            <v>Galv Steel, 1mm</v>
          </cell>
          <cell r="E708" t="str">
            <v>BIK</v>
          </cell>
          <cell r="F708" t="str">
            <v>S, T, R, P,M,W</v>
          </cell>
          <cell r="H708" t="str">
            <v>12,18, 24, 30, 36</v>
          </cell>
          <cell r="K708" t="str">
            <v>A,B,C,D,E,F,G</v>
          </cell>
          <cell r="Q708" t="str">
            <v>pc</v>
          </cell>
          <cell r="R708">
            <v>1</v>
          </cell>
          <cell r="T708">
            <v>2</v>
          </cell>
          <cell r="U708">
            <v>2.2000000000000002E-2</v>
          </cell>
          <cell r="V708" t="str">
            <v>Indoor Bracket, Stealth Bracket Magnet, Galvanized Steel, Bold Lighting LLC, 22012-T1</v>
          </cell>
          <cell r="Y708">
            <v>0.02</v>
          </cell>
          <cell r="Z708">
            <v>1.5</v>
          </cell>
          <cell r="AA708">
            <v>1.5</v>
          </cell>
        </row>
        <row r="709">
          <cell r="C709" t="str">
            <v>BR035BLD</v>
          </cell>
          <cell r="D709" t="str">
            <v>Galv Steel, 1mm</v>
          </cell>
          <cell r="E709" t="str">
            <v>BIK</v>
          </cell>
          <cell r="F709" t="str">
            <v>S, T, R, P, M,W</v>
          </cell>
          <cell r="H709" t="str">
            <v>42, 48, 54, 60</v>
          </cell>
          <cell r="K709" t="str">
            <v>A,B,C,D,E,F,G</v>
          </cell>
          <cell r="Q709" t="str">
            <v>pc</v>
          </cell>
          <cell r="R709">
            <v>1</v>
          </cell>
          <cell r="T709">
            <v>3</v>
          </cell>
          <cell r="U709">
            <v>2.2000000000000002E-2</v>
          </cell>
          <cell r="V709" t="str">
            <v>Indoor Bracket, Stealth Bracket Magnet, Galvanized Steel, Bold Lighting LLC, 22012-T1</v>
          </cell>
          <cell r="Y709">
            <v>0.02</v>
          </cell>
          <cell r="Z709">
            <v>1.5</v>
          </cell>
          <cell r="AA709">
            <v>1.5</v>
          </cell>
        </row>
        <row r="711">
          <cell r="C711" t="str">
            <v>BR045BLD</v>
          </cell>
          <cell r="D711" t="str">
            <v>Galv Steel, 1mm</v>
          </cell>
          <cell r="E711" t="str">
            <v>BIK</v>
          </cell>
          <cell r="F711" t="str">
            <v>S P,M,W</v>
          </cell>
          <cell r="H711" t="str">
            <v>12,18, 24, 30, 36</v>
          </cell>
          <cell r="K711" t="str">
            <v>H,I,J,K,L,M,N</v>
          </cell>
          <cell r="Q711" t="str">
            <v>pc</v>
          </cell>
          <cell r="R711">
            <v>1</v>
          </cell>
          <cell r="T711">
            <v>2</v>
          </cell>
          <cell r="U711">
            <v>2.2000000000000002E-2</v>
          </cell>
          <cell r="V711" t="str">
            <v>Indoor Bracket, Remote, Stealth Bracket Magnet, Galvanized Steel, Bold Lighting LLC, 22012-T2</v>
          </cell>
          <cell r="Y711">
            <v>0.02</v>
          </cell>
          <cell r="Z711">
            <v>1.5</v>
          </cell>
          <cell r="AA711">
            <v>1.5</v>
          </cell>
        </row>
        <row r="712">
          <cell r="C712" t="str">
            <v>BR045BLD</v>
          </cell>
          <cell r="D712" t="str">
            <v>Galv Steel, 1mm</v>
          </cell>
          <cell r="E712" t="str">
            <v>BIK</v>
          </cell>
          <cell r="F712" t="str">
            <v>S P,M,W</v>
          </cell>
          <cell r="H712" t="str">
            <v>42, 48, 54, 60</v>
          </cell>
          <cell r="K712" t="str">
            <v>H,I,J,K,L,M,N</v>
          </cell>
          <cell r="Q712" t="str">
            <v>pc</v>
          </cell>
          <cell r="R712">
            <v>1</v>
          </cell>
          <cell r="T712">
            <v>3</v>
          </cell>
          <cell r="U712">
            <v>2.2000000000000002E-2</v>
          </cell>
          <cell r="V712" t="str">
            <v>Indoor Bracket, Remote, Stealth Bracket Magnet, Galvanized Steel, Bold Lighting LLC, 22012-T2</v>
          </cell>
          <cell r="Y712">
            <v>0.02</v>
          </cell>
          <cell r="Z712">
            <v>1.5</v>
          </cell>
          <cell r="AA712">
            <v>1.5</v>
          </cell>
        </row>
        <row r="714">
          <cell r="C714" t="str">
            <v>BR047BLD</v>
          </cell>
          <cell r="D714" t="str">
            <v>Galv Steel, 1.5mm</v>
          </cell>
          <cell r="E714" t="str">
            <v>BXO, BXH, BIO, BIS, BIW</v>
          </cell>
          <cell r="H714" t="str">
            <v>24, 30, 36, 42, 48, 54, 60</v>
          </cell>
          <cell r="Q714" t="str">
            <v>pc</v>
          </cell>
          <cell r="R714">
            <v>1</v>
          </cell>
          <cell r="T714">
            <v>1</v>
          </cell>
          <cell r="U714">
            <v>2.2000000000000002E-2</v>
          </cell>
          <cell r="V714" t="str">
            <v>Indoor Bracket, Safety Bracket, Galvanized Steel, Bold Lighting LLC, 22222</v>
          </cell>
          <cell r="Y714">
            <v>0.02</v>
          </cell>
          <cell r="Z714">
            <v>1.5</v>
          </cell>
          <cell r="AA714">
            <v>1.5</v>
          </cell>
        </row>
        <row r="716">
          <cell r="C716" t="str">
            <v>MG000GEN</v>
          </cell>
          <cell r="D716" t="str">
            <v>Magnet</v>
          </cell>
          <cell r="E716" t="str">
            <v>BIK</v>
          </cell>
          <cell r="F716" t="str">
            <v>S, T, R, P,M,W</v>
          </cell>
          <cell r="H716" t="str">
            <v>12,18, 24, 30, 36</v>
          </cell>
          <cell r="Q716" t="str">
            <v>pc</v>
          </cell>
          <cell r="R716">
            <v>1</v>
          </cell>
          <cell r="T716">
            <v>2</v>
          </cell>
          <cell r="U716">
            <v>0.18700000000000003</v>
          </cell>
          <cell r="V716" t="str">
            <v>Round Magnet, Dimensions: 25x8mm, Generic Items (Unbranded)</v>
          </cell>
          <cell r="W716" t="str">
            <v>CN</v>
          </cell>
          <cell r="Y716">
            <v>0.17</v>
          </cell>
          <cell r="Z716">
            <v>2</v>
          </cell>
          <cell r="AA716">
            <v>1.5</v>
          </cell>
        </row>
        <row r="717">
          <cell r="C717" t="str">
            <v>MG000GEN</v>
          </cell>
          <cell r="D717" t="str">
            <v>Magnet</v>
          </cell>
          <cell r="E717" t="str">
            <v>BIK</v>
          </cell>
          <cell r="F717" t="str">
            <v>S, T, R, P, M,W</v>
          </cell>
          <cell r="H717" t="str">
            <v>42, 48, 54, 60</v>
          </cell>
          <cell r="Q717" t="str">
            <v>pc</v>
          </cell>
          <cell r="R717">
            <v>1</v>
          </cell>
          <cell r="T717">
            <v>3</v>
          </cell>
          <cell r="U717">
            <v>0.18700000000000003</v>
          </cell>
          <cell r="V717" t="str">
            <v>Round Magnet, Dimensions: 25x8mm, Generic Items (Unbranded)</v>
          </cell>
          <cell r="W717" t="str">
            <v>CN</v>
          </cell>
          <cell r="Y717">
            <v>0.17</v>
          </cell>
          <cell r="Z717">
            <v>2</v>
          </cell>
          <cell r="AA717">
            <v>1.5</v>
          </cell>
        </row>
        <row r="719">
          <cell r="C719" t="str">
            <v>MA009XFI</v>
          </cell>
          <cell r="D719" t="str">
            <v>Mounting Accessory</v>
          </cell>
          <cell r="E719" t="str">
            <v>BXO, BXH, BIO, BIS, BIW</v>
          </cell>
          <cell r="F719" t="str">
            <v>S, T, R, P,M,W</v>
          </cell>
          <cell r="H719" t="str">
            <v>12,18, 24, 30, 36</v>
          </cell>
          <cell r="Q719" t="str">
            <v>pc</v>
          </cell>
          <cell r="R719">
            <v>1</v>
          </cell>
          <cell r="T719">
            <v>2</v>
          </cell>
          <cell r="U719">
            <v>0.16500000000000001</v>
          </cell>
          <cell r="V719" t="str">
            <v>Indoor, Mounting Spring, C75S, Xiamen Finewe Industry Co., Ltd., 22012</v>
          </cell>
          <cell r="W719" t="str">
            <v>CN</v>
          </cell>
          <cell r="Y719">
            <v>0.15</v>
          </cell>
          <cell r="Z719">
            <v>2</v>
          </cell>
          <cell r="AA719">
            <v>1.5</v>
          </cell>
        </row>
        <row r="720">
          <cell r="C720" t="str">
            <v>MA009XFI</v>
          </cell>
          <cell r="D720" t="str">
            <v>Mounting Accessory</v>
          </cell>
          <cell r="E720" t="str">
            <v>BXO, BXH, BIO, BIS, BIW</v>
          </cell>
          <cell r="F720" t="str">
            <v>S, T, R, P, M,W</v>
          </cell>
          <cell r="H720" t="str">
            <v>42, 48, 54, 60</v>
          </cell>
          <cell r="Q720" t="str">
            <v>pc</v>
          </cell>
          <cell r="R720">
            <v>1</v>
          </cell>
          <cell r="T720">
            <v>3</v>
          </cell>
          <cell r="U720">
            <v>0.16500000000000001</v>
          </cell>
          <cell r="V720" t="str">
            <v>Indoor, Mounting Spring, C75S, Xiamen Finewe Industry Co., Ltd., 22012</v>
          </cell>
          <cell r="W720" t="str">
            <v>CN</v>
          </cell>
          <cell r="Y720">
            <v>0.15</v>
          </cell>
          <cell r="Z720">
            <v>2</v>
          </cell>
          <cell r="AA720">
            <v>1.5</v>
          </cell>
        </row>
        <row r="722">
          <cell r="C722" t="str">
            <v>BR024BLD</v>
          </cell>
          <cell r="D722" t="str">
            <v>Galv Steel, 1mm</v>
          </cell>
          <cell r="E722" t="str">
            <v>BIK</v>
          </cell>
          <cell r="F722" t="str">
            <v>S, T, R, P, M,W</v>
          </cell>
          <cell r="Q722" t="str">
            <v>pc</v>
          </cell>
          <cell r="R722">
            <v>1</v>
          </cell>
          <cell r="T722" t="str">
            <v>2/D</v>
          </cell>
          <cell r="U722">
            <v>1.1000000000000001E-2</v>
          </cell>
          <cell r="V722" t="str">
            <v>Indoor Bracket, Kick Reflector Driver Bracket, Galvanized Steel, Bold Lighting LLC, 17096</v>
          </cell>
          <cell r="Y722">
            <v>0.01</v>
          </cell>
          <cell r="Z722">
            <v>1.3</v>
          </cell>
          <cell r="AA722">
            <v>1</v>
          </cell>
        </row>
        <row r="724">
          <cell r="C724" t="str">
            <v>PS000BLD</v>
          </cell>
          <cell r="D724" t="str">
            <v>Aluminum, 1.5mm</v>
          </cell>
          <cell r="E724" t="str">
            <v>BXH, BKH</v>
          </cell>
          <cell r="F724" t="str">
            <v>S, T, R, P, M,W</v>
          </cell>
          <cell r="H724">
            <v>12</v>
          </cell>
          <cell r="Q724" t="str">
            <v>pc</v>
          </cell>
          <cell r="R724">
            <v>1</v>
          </cell>
          <cell r="T724">
            <v>1</v>
          </cell>
          <cell r="U724">
            <v>0.35200000000000004</v>
          </cell>
          <cell r="V724" t="str">
            <v>PCB Metal Sheet, Indoor Honeycomb, 292mm, Bold Lighting LLC, E22010</v>
          </cell>
          <cell r="Y724">
            <v>0.32</v>
          </cell>
          <cell r="Z724">
            <v>1.3</v>
          </cell>
          <cell r="AA724">
            <v>1</v>
          </cell>
        </row>
        <row r="725">
          <cell r="C725" t="str">
            <v>PS001BLD</v>
          </cell>
          <cell r="D725" t="str">
            <v>Aluminum, 1.5mm</v>
          </cell>
          <cell r="E725" t="str">
            <v>BXH, BKH</v>
          </cell>
          <cell r="F725" t="str">
            <v>S, T, R, P, M,W</v>
          </cell>
          <cell r="H725">
            <v>24</v>
          </cell>
          <cell r="Q725" t="str">
            <v>pc</v>
          </cell>
          <cell r="R725">
            <v>1</v>
          </cell>
          <cell r="T725">
            <v>1</v>
          </cell>
          <cell r="U725">
            <v>0.72600000000000009</v>
          </cell>
          <cell r="V725" t="str">
            <v>PCB Metal Sheet, Indoor Honeycomb, 592mm, Bold Lighting LLC, E22010</v>
          </cell>
          <cell r="Y725">
            <v>0.66</v>
          </cell>
          <cell r="Z725">
            <v>1.3</v>
          </cell>
          <cell r="AA725">
            <v>1</v>
          </cell>
        </row>
        <row r="726">
          <cell r="C726" t="str">
            <v>PS002BLD</v>
          </cell>
          <cell r="D726" t="str">
            <v>Aluminum, 1.5mm</v>
          </cell>
          <cell r="E726" t="str">
            <v>BXH, BKH</v>
          </cell>
          <cell r="F726" t="str">
            <v>S, T, R, P, M,W</v>
          </cell>
          <cell r="H726">
            <v>36</v>
          </cell>
          <cell r="Q726" t="str">
            <v>pc</v>
          </cell>
          <cell r="R726">
            <v>1</v>
          </cell>
          <cell r="T726">
            <v>1</v>
          </cell>
          <cell r="U726">
            <v>1.1000000000000001</v>
          </cell>
          <cell r="V726" t="str">
            <v>PCB Metal Sheet, Indoor Honeycomb, 892mm, Bold Lighting LLC, E22010</v>
          </cell>
          <cell r="Y726">
            <v>1</v>
          </cell>
          <cell r="Z726">
            <v>1.3</v>
          </cell>
          <cell r="AA726">
            <v>1</v>
          </cell>
        </row>
        <row r="727">
          <cell r="C727" t="str">
            <v>PS003BLD</v>
          </cell>
          <cell r="D727" t="str">
            <v>Aluminum, 1.5mm</v>
          </cell>
          <cell r="E727" t="str">
            <v>BXH, BKH</v>
          </cell>
          <cell r="F727" t="str">
            <v>S, T, R, P, M,W</v>
          </cell>
          <cell r="H727">
            <v>48</v>
          </cell>
          <cell r="Q727" t="str">
            <v>pc</v>
          </cell>
          <cell r="R727">
            <v>1</v>
          </cell>
          <cell r="T727">
            <v>1</v>
          </cell>
          <cell r="U727">
            <v>1.4740000000000002</v>
          </cell>
          <cell r="V727" t="str">
            <v>PCB Metal Sheet, Indoor Honeycomb, 1192mm, Bold Lighting LLC, E22010</v>
          </cell>
          <cell r="Y727">
            <v>1.34</v>
          </cell>
          <cell r="Z727">
            <v>1.3</v>
          </cell>
          <cell r="AA727">
            <v>1</v>
          </cell>
        </row>
        <row r="728">
          <cell r="C728" t="str">
            <v>PS004BLD</v>
          </cell>
          <cell r="D728" t="str">
            <v>Aluminum, 1.5mm</v>
          </cell>
          <cell r="E728" t="str">
            <v>BXH, BKH</v>
          </cell>
          <cell r="F728" t="str">
            <v>S, T, R, P, M,W</v>
          </cell>
          <cell r="H728">
            <v>60</v>
          </cell>
          <cell r="Q728" t="str">
            <v>pc</v>
          </cell>
          <cell r="R728">
            <v>1</v>
          </cell>
          <cell r="T728">
            <v>1</v>
          </cell>
          <cell r="U728">
            <v>1.8480000000000001</v>
          </cell>
          <cell r="V728" t="str">
            <v>PCB Metal Sheet, Indoor Honeycomb, 1492mm, Bold Lighting LLC, E22010</v>
          </cell>
          <cell r="Y728">
            <v>1.68</v>
          </cell>
          <cell r="Z728">
            <v>1.3</v>
          </cell>
          <cell r="AA728">
            <v>1</v>
          </cell>
        </row>
        <row r="730">
          <cell r="C730" t="str">
            <v>PS019BLD</v>
          </cell>
          <cell r="D730" t="str">
            <v>Aluminum, 1.5mm</v>
          </cell>
          <cell r="E730" t="str">
            <v>BIS, BJS</v>
          </cell>
          <cell r="F730" t="str">
            <v>S, T, R, P, M,W</v>
          </cell>
          <cell r="H730">
            <v>12</v>
          </cell>
          <cell r="Q730" t="str">
            <v>pc</v>
          </cell>
          <cell r="R730">
            <v>1</v>
          </cell>
          <cell r="T730">
            <v>1</v>
          </cell>
          <cell r="U730">
            <v>0.27500000000000002</v>
          </cell>
          <cell r="V730" t="str">
            <v>PCB Metal Sheet, Indoor Symmetric, 300mm, Bold Lighting LLC, E22004</v>
          </cell>
          <cell r="Y730">
            <v>0.25</v>
          </cell>
          <cell r="Z730">
            <v>1.3</v>
          </cell>
          <cell r="AA730">
            <v>1</v>
          </cell>
        </row>
        <row r="731">
          <cell r="C731" t="str">
            <v>PS020BLD</v>
          </cell>
          <cell r="D731" t="str">
            <v>Aluminum, 1.5mm</v>
          </cell>
          <cell r="E731" t="str">
            <v>BIS, BJS</v>
          </cell>
          <cell r="F731" t="str">
            <v>S, T, R, P, M,W</v>
          </cell>
          <cell r="H731">
            <v>18</v>
          </cell>
          <cell r="Q731" t="str">
            <v>pc</v>
          </cell>
          <cell r="R731">
            <v>1</v>
          </cell>
          <cell r="T731">
            <v>1</v>
          </cell>
          <cell r="U731">
            <v>0.40700000000000003</v>
          </cell>
          <cell r="V731" t="str">
            <v>PCB Metal Sheet, Indoor Symmetric, 450mm, Bold Lighting LLC, E22004</v>
          </cell>
          <cell r="Y731">
            <v>0.37</v>
          </cell>
          <cell r="Z731">
            <v>1.3</v>
          </cell>
          <cell r="AA731">
            <v>1</v>
          </cell>
        </row>
        <row r="732">
          <cell r="C732" t="str">
            <v>PS021BLD</v>
          </cell>
          <cell r="D732" t="str">
            <v>Aluminum, 1.5mm</v>
          </cell>
          <cell r="E732" t="str">
            <v>BIS, BJS</v>
          </cell>
          <cell r="F732" t="str">
            <v>S, T, R, P, M,W</v>
          </cell>
          <cell r="H732">
            <v>24</v>
          </cell>
          <cell r="Q732" t="str">
            <v>pc</v>
          </cell>
          <cell r="R732">
            <v>1</v>
          </cell>
          <cell r="T732">
            <v>1</v>
          </cell>
          <cell r="U732">
            <v>0.53900000000000003</v>
          </cell>
          <cell r="V732" t="str">
            <v>PCB Metal Sheet, Indoor Symmetric, 600mm, Bold Lighting LLC, E22004</v>
          </cell>
          <cell r="Y732">
            <v>0.49</v>
          </cell>
          <cell r="Z732">
            <v>1.3</v>
          </cell>
          <cell r="AA732">
            <v>1</v>
          </cell>
        </row>
        <row r="733">
          <cell r="C733" t="str">
            <v>PS022BLD</v>
          </cell>
          <cell r="D733" t="str">
            <v>Aluminum, 1.5mm</v>
          </cell>
          <cell r="E733" t="str">
            <v>BIS, BJS</v>
          </cell>
          <cell r="F733" t="str">
            <v>S, T, R, P, M,W</v>
          </cell>
          <cell r="H733">
            <v>30</v>
          </cell>
          <cell r="Q733" t="str">
            <v>pc</v>
          </cell>
          <cell r="R733">
            <v>1</v>
          </cell>
          <cell r="T733">
            <v>1</v>
          </cell>
          <cell r="U733">
            <v>0.67100000000000004</v>
          </cell>
          <cell r="V733" t="str">
            <v>PCB Metal Sheet, Indoor Symmetric, 750mm, Bold Lighting LLC, E22004</v>
          </cell>
          <cell r="Y733">
            <v>0.61</v>
          </cell>
          <cell r="Z733">
            <v>1.3</v>
          </cell>
          <cell r="AA733">
            <v>1</v>
          </cell>
        </row>
        <row r="734">
          <cell r="C734" t="str">
            <v>PS023BLD</v>
          </cell>
          <cell r="D734" t="str">
            <v>Aluminum, 1.5mm</v>
          </cell>
          <cell r="E734" t="str">
            <v>BIS, BJS</v>
          </cell>
          <cell r="F734" t="str">
            <v>S, T, R, P, M,W</v>
          </cell>
          <cell r="H734">
            <v>36</v>
          </cell>
          <cell r="Q734" t="str">
            <v>pc</v>
          </cell>
          <cell r="R734">
            <v>1</v>
          </cell>
          <cell r="T734">
            <v>1</v>
          </cell>
          <cell r="U734">
            <v>0.80300000000000005</v>
          </cell>
          <cell r="V734" t="str">
            <v>PCB Metal Sheet, Indoor Symmetric, 900mm, Bold Lighting LLC, E22004</v>
          </cell>
          <cell r="Y734">
            <v>0.73</v>
          </cell>
          <cell r="Z734">
            <v>1.3</v>
          </cell>
          <cell r="AA734">
            <v>1</v>
          </cell>
        </row>
        <row r="735">
          <cell r="C735" t="str">
            <v>PS024BLD</v>
          </cell>
          <cell r="D735" t="str">
            <v>Aluminum, 1.5mm</v>
          </cell>
          <cell r="E735" t="str">
            <v>BIS, BJS</v>
          </cell>
          <cell r="F735" t="str">
            <v>S, T, R, P, M,W</v>
          </cell>
          <cell r="H735">
            <v>42</v>
          </cell>
          <cell r="Q735" t="str">
            <v>pc</v>
          </cell>
          <cell r="R735">
            <v>1</v>
          </cell>
          <cell r="T735">
            <v>1</v>
          </cell>
          <cell r="U735">
            <v>0.93500000000000005</v>
          </cell>
          <cell r="V735" t="str">
            <v>PCB Metal Sheet, Indoor Symmetric, 1050mm, Bold Lighting LLC, E22004</v>
          </cell>
          <cell r="Y735">
            <v>0.85</v>
          </cell>
          <cell r="Z735">
            <v>1.3</v>
          </cell>
          <cell r="AA735">
            <v>1</v>
          </cell>
        </row>
        <row r="736">
          <cell r="C736" t="str">
            <v>PS025BLD</v>
          </cell>
          <cell r="D736" t="str">
            <v>Aluminum, 1.5mm</v>
          </cell>
          <cell r="E736" t="str">
            <v>BIS, BJS</v>
          </cell>
          <cell r="F736" t="str">
            <v>S, T, R, P, M,W</v>
          </cell>
          <cell r="H736">
            <v>48</v>
          </cell>
          <cell r="Q736" t="str">
            <v>pc</v>
          </cell>
          <cell r="R736">
            <v>1</v>
          </cell>
          <cell r="T736">
            <v>1</v>
          </cell>
          <cell r="U736">
            <v>1.0669999999999999</v>
          </cell>
          <cell r="V736" t="str">
            <v>PCB Metal Sheet, Indoor Symmetric, 1200mm, Bold Lighting LLC, E22004</v>
          </cell>
          <cell r="Y736">
            <v>0.97</v>
          </cell>
          <cell r="Z736">
            <v>1.3</v>
          </cell>
          <cell r="AA736">
            <v>1</v>
          </cell>
        </row>
        <row r="737">
          <cell r="C737" t="str">
            <v>PS026BLD</v>
          </cell>
          <cell r="D737" t="str">
            <v>Aluminum, 1.5mm</v>
          </cell>
          <cell r="E737" t="str">
            <v>BIS, BJS</v>
          </cell>
          <cell r="F737" t="str">
            <v>S, T, R, P, M,W</v>
          </cell>
          <cell r="H737">
            <v>54</v>
          </cell>
          <cell r="Q737" t="str">
            <v>pc</v>
          </cell>
          <cell r="R737">
            <v>1</v>
          </cell>
          <cell r="T737">
            <v>1</v>
          </cell>
          <cell r="U737">
            <v>1.1990000000000003</v>
          </cell>
          <cell r="V737" t="str">
            <v>PCB Metal Sheet, Indoor Symmetric, 1350mm, Bold Lighting LLC, E22004</v>
          </cell>
          <cell r="Y737">
            <v>1.0900000000000001</v>
          </cell>
          <cell r="Z737">
            <v>1.3</v>
          </cell>
          <cell r="AA737">
            <v>1</v>
          </cell>
        </row>
        <row r="738">
          <cell r="C738" t="str">
            <v>PS027BLD</v>
          </cell>
          <cell r="D738" t="str">
            <v>Aluminum, 1.5mm</v>
          </cell>
          <cell r="E738" t="str">
            <v>BIS, BJS</v>
          </cell>
          <cell r="F738" t="str">
            <v>S, T, R, P, M,W</v>
          </cell>
          <cell r="H738">
            <v>60</v>
          </cell>
          <cell r="Q738" t="str">
            <v>pc</v>
          </cell>
          <cell r="R738">
            <v>1</v>
          </cell>
          <cell r="T738">
            <v>1</v>
          </cell>
          <cell r="U738">
            <v>1.331</v>
          </cell>
          <cell r="V738" t="str">
            <v>PCB Metal Sheet, Indoor Symmetric, 1500mm, Bold Lighting LLC, E22004</v>
          </cell>
          <cell r="Y738">
            <v>1.21</v>
          </cell>
          <cell r="Z738">
            <v>1.3</v>
          </cell>
          <cell r="AA738">
            <v>1</v>
          </cell>
        </row>
        <row r="740">
          <cell r="C740" t="str">
            <v>BR003BLD</v>
          </cell>
          <cell r="D740" t="str">
            <v>Galv Steel, 2mm</v>
          </cell>
          <cell r="E740" t="str">
            <v>BXO, BXH, BIO, BIS, BIW,BIK</v>
          </cell>
          <cell r="F740" t="str">
            <v>S, T, R, P,M,W</v>
          </cell>
          <cell r="G740" t="str">
            <v>B,M</v>
          </cell>
          <cell r="Q740" t="str">
            <v>pc</v>
          </cell>
          <cell r="R740">
            <v>1</v>
          </cell>
          <cell r="T740">
            <v>2</v>
          </cell>
          <cell r="U740">
            <v>2.2000000000000002E-2</v>
          </cell>
          <cell r="V740" t="str">
            <v>Indoor Bracket, Alignment Bracket 1, Galvanized Steel, Bold Lighting LLC, 22107</v>
          </cell>
          <cell r="Y740">
            <v>0.02</v>
          </cell>
          <cell r="Z740">
            <v>1.3</v>
          </cell>
          <cell r="AA740">
            <v>1</v>
          </cell>
        </row>
        <row r="742">
          <cell r="C742" t="str">
            <v>BR004BLD</v>
          </cell>
          <cell r="D742" t="str">
            <v>Galv Steel, 1mm</v>
          </cell>
          <cell r="E742" t="str">
            <v>BXO, BXH, BIO, BIS, BIW,BIK</v>
          </cell>
          <cell r="F742" t="str">
            <v>S, T, R, P, M,W</v>
          </cell>
          <cell r="G742" t="str">
            <v>B,M</v>
          </cell>
          <cell r="Q742" t="str">
            <v>pc</v>
          </cell>
          <cell r="R742">
            <v>1</v>
          </cell>
          <cell r="T742">
            <v>1</v>
          </cell>
          <cell r="U742">
            <v>2.2000000000000002E-2</v>
          </cell>
          <cell r="V742" t="str">
            <v>Indoor Bracket, Alignment Bracket 2, Galvanized Steel, Bold Lighting LLC, 22015</v>
          </cell>
          <cell r="Y742">
            <v>0.02</v>
          </cell>
          <cell r="Z742">
            <v>1.3</v>
          </cell>
          <cell r="AA742">
            <v>1</v>
          </cell>
        </row>
        <row r="744">
          <cell r="C744" t="str">
            <v>BR002BLD</v>
          </cell>
          <cell r="D744" t="str">
            <v>Galv Steel, 1mm</v>
          </cell>
          <cell r="E744" t="str">
            <v>BXO, BXH, BIO, BIS, BIW,BIK</v>
          </cell>
          <cell r="F744" t="str">
            <v>S, T, R, P, M,W</v>
          </cell>
          <cell r="Q744" t="str">
            <v>pc</v>
          </cell>
          <cell r="R744">
            <v>1</v>
          </cell>
          <cell r="T744">
            <v>2</v>
          </cell>
          <cell r="U744">
            <v>1.1000000000000001E-2</v>
          </cell>
          <cell r="V744" t="str">
            <v>Indoor Bracket, Safety Cable Bracket, Galvanized Steel, Bold Lighting LLC, 22020</v>
          </cell>
          <cell r="Y744">
            <v>0.01</v>
          </cell>
          <cell r="Z744">
            <v>1.3</v>
          </cell>
          <cell r="AA744">
            <v>1</v>
          </cell>
        </row>
        <row r="746">
          <cell r="C746" t="str">
            <v>EC009BLD</v>
          </cell>
          <cell r="D746" t="str">
            <v>Endcap</v>
          </cell>
          <cell r="E746" t="str">
            <v>BKO, BKH, BJO, BJS, BJW</v>
          </cell>
          <cell r="F746" t="str">
            <v>S,M,P</v>
          </cell>
          <cell r="G746" t="str">
            <v>B,E</v>
          </cell>
          <cell r="Q746" t="str">
            <v>pc</v>
          </cell>
          <cell r="R746">
            <v>1</v>
          </cell>
          <cell r="T746">
            <v>1</v>
          </cell>
          <cell r="U746">
            <v>0.90200000000000002</v>
          </cell>
          <cell r="V746" t="str">
            <v>Indoor Endcap, Remote, Surface, Bold Lighting LLC, 22010</v>
          </cell>
          <cell r="Y746">
            <v>0.82</v>
          </cell>
          <cell r="Z746">
            <v>1.77</v>
          </cell>
          <cell r="AA746">
            <v>1.58</v>
          </cell>
        </row>
        <row r="747">
          <cell r="C747" t="str">
            <v>EC009BLD</v>
          </cell>
          <cell r="D747" t="str">
            <v>Endcap</v>
          </cell>
          <cell r="E747" t="str">
            <v>BKO, BKH, BJO, BJS, BJW</v>
          </cell>
          <cell r="F747" t="str">
            <v>S,M,P</v>
          </cell>
          <cell r="G747" t="str">
            <v>S</v>
          </cell>
          <cell r="Q747" t="str">
            <v>pc</v>
          </cell>
          <cell r="R747">
            <v>1</v>
          </cell>
          <cell r="T747">
            <v>2</v>
          </cell>
          <cell r="U747">
            <v>0.90200000000000002</v>
          </cell>
          <cell r="V747" t="str">
            <v>Indoor Endcap, Remote, Surface, Bold Lighting LLC, 22010</v>
          </cell>
          <cell r="Y747">
            <v>0.82</v>
          </cell>
          <cell r="Z747">
            <v>1.77</v>
          </cell>
          <cell r="AA747">
            <v>1.58</v>
          </cell>
        </row>
        <row r="749">
          <cell r="C749" t="str">
            <v>MA010XFI</v>
          </cell>
          <cell r="D749" t="str">
            <v>SS201, 0.5mm</v>
          </cell>
          <cell r="E749" t="str">
            <v>BKO, BKH, BJO, BJS, BJW</v>
          </cell>
          <cell r="F749" t="str">
            <v>S,M,P</v>
          </cell>
          <cell r="H749" t="str">
            <v>12,18, 24, 30, 36</v>
          </cell>
          <cell r="Q749" t="str">
            <v>pc</v>
          </cell>
          <cell r="R749">
            <v>1</v>
          </cell>
          <cell r="T749">
            <v>2</v>
          </cell>
          <cell r="U749">
            <v>0.55000000000000004</v>
          </cell>
          <cell r="V749" t="str">
            <v>Indoor, Remote Mounting Spring 1, SS01, Xiamen Finewe Industry Co., Ltd., 22013</v>
          </cell>
          <cell r="W749" t="str">
            <v>CN</v>
          </cell>
          <cell r="Y749">
            <v>0.5</v>
          </cell>
          <cell r="Z749">
            <v>1.8</v>
          </cell>
          <cell r="AA749">
            <v>2</v>
          </cell>
        </row>
        <row r="750">
          <cell r="C750" t="str">
            <v>MA010XFI</v>
          </cell>
          <cell r="D750" t="str">
            <v>SS201, 0.5mm</v>
          </cell>
          <cell r="E750" t="str">
            <v>BKO, BKH, BJO, BJS, BJW</v>
          </cell>
          <cell r="F750" t="str">
            <v>S,M,P</v>
          </cell>
          <cell r="H750" t="str">
            <v>42, 48, 54, 60</v>
          </cell>
          <cell r="Q750" t="str">
            <v>pc</v>
          </cell>
          <cell r="R750">
            <v>1</v>
          </cell>
          <cell r="T750">
            <v>3</v>
          </cell>
          <cell r="U750">
            <v>0.55000000000000004</v>
          </cell>
          <cell r="V750" t="str">
            <v>Indoor, Remote Mounting Spring 1, SS01, Xiamen Finewe Industry Co., Ltd., 22013</v>
          </cell>
          <cell r="W750" t="str">
            <v>CN</v>
          </cell>
          <cell r="Y750">
            <v>0.5</v>
          </cell>
          <cell r="Z750">
            <v>1.8</v>
          </cell>
          <cell r="AA750">
            <v>2</v>
          </cell>
        </row>
        <row r="752">
          <cell r="C752" t="str">
            <v>MA011XFI</v>
          </cell>
          <cell r="D752" t="str">
            <v>SS201, 0.5mm</v>
          </cell>
          <cell r="E752" t="str">
            <v>BKO, BKH, BJO, BJS, BJW</v>
          </cell>
          <cell r="F752" t="str">
            <v>S,M,P</v>
          </cell>
          <cell r="H752" t="str">
            <v>12,18, 24, 30, 36</v>
          </cell>
          <cell r="Q752" t="str">
            <v>pc</v>
          </cell>
          <cell r="R752">
            <v>1</v>
          </cell>
          <cell r="T752">
            <v>2</v>
          </cell>
          <cell r="U752">
            <v>0.51700000000000002</v>
          </cell>
          <cell r="V752" t="str">
            <v>Indoor, Remote Mounting Spring 2, SS01, Xiamen Finewe Industry Co., Ltd., 22014</v>
          </cell>
          <cell r="W752" t="str">
            <v>CN</v>
          </cell>
          <cell r="Y752">
            <v>0.47</v>
          </cell>
          <cell r="Z752">
            <v>1.8</v>
          </cell>
          <cell r="AA752">
            <v>2</v>
          </cell>
        </row>
        <row r="753">
          <cell r="C753" t="str">
            <v>MA011XFI</v>
          </cell>
          <cell r="D753" t="str">
            <v>SS201, 0.5mm</v>
          </cell>
          <cell r="E753" t="str">
            <v>BKO, BKH, BJO, BJS, BJW</v>
          </cell>
          <cell r="F753" t="str">
            <v>S,M,P</v>
          </cell>
          <cell r="H753" t="str">
            <v>42, 48, 54, 60</v>
          </cell>
          <cell r="Q753" t="str">
            <v>pc</v>
          </cell>
          <cell r="R753">
            <v>1</v>
          </cell>
          <cell r="T753">
            <v>3</v>
          </cell>
          <cell r="U753">
            <v>0.51700000000000002</v>
          </cell>
          <cell r="V753" t="str">
            <v>Indoor, Remote Mounting Spring 2, SS01, Xiamen Finewe Industry Co., Ltd., 22014</v>
          </cell>
          <cell r="W753" t="str">
            <v>CN</v>
          </cell>
          <cell r="Y753">
            <v>0.47</v>
          </cell>
          <cell r="Z753">
            <v>1.8</v>
          </cell>
          <cell r="AA753">
            <v>2</v>
          </cell>
        </row>
        <row r="755">
          <cell r="C755" t="str">
            <v>BR025BLD</v>
          </cell>
          <cell r="D755" t="str">
            <v>Galv Steel, 1mm</v>
          </cell>
          <cell r="E755" t="str">
            <v>BKO, BKH, BJO, BJS, BJW</v>
          </cell>
          <cell r="F755" t="str">
            <v>S,M,P</v>
          </cell>
          <cell r="G755" t="str">
            <v>-</v>
          </cell>
          <cell r="Q755" t="str">
            <v>pc</v>
          </cell>
          <cell r="R755">
            <v>1</v>
          </cell>
          <cell r="T755">
            <v>2</v>
          </cell>
          <cell r="U755">
            <v>1.1000000000000001E-2</v>
          </cell>
          <cell r="V755" t="str">
            <v>Indoor Bracket, Remote Connector Bracket, Galvanized Steel, Bold Lighting LLC, 22213</v>
          </cell>
          <cell r="Y755">
            <v>0.01</v>
          </cell>
          <cell r="Z755">
            <v>1.3</v>
          </cell>
          <cell r="AA755">
            <v>1</v>
          </cell>
        </row>
        <row r="757">
          <cell r="C757" t="str">
            <v>BR005BLD</v>
          </cell>
          <cell r="D757" t="str">
            <v>Aluminum, 2mm</v>
          </cell>
          <cell r="E757" t="str">
            <v>BKO, BKH, BJO, BJS, BJW</v>
          </cell>
          <cell r="F757" t="str">
            <v>S,M,P</v>
          </cell>
          <cell r="G757" t="str">
            <v>B,M</v>
          </cell>
          <cell r="Q757" t="str">
            <v>pc</v>
          </cell>
          <cell r="R757">
            <v>1</v>
          </cell>
          <cell r="T757">
            <v>1</v>
          </cell>
          <cell r="U757">
            <v>4.4000000000000004E-2</v>
          </cell>
          <cell r="V757" t="str">
            <v>Indoor Bracket, Alignment Bracket R, Galvanized Steel, Bold Lighting LLC, 22106</v>
          </cell>
          <cell r="Y757">
            <v>0.04</v>
          </cell>
          <cell r="Z757">
            <v>1.3</v>
          </cell>
          <cell r="AA757">
            <v>1</v>
          </cell>
        </row>
        <row r="759">
          <cell r="C759" t="str">
            <v>BR015BLD</v>
          </cell>
          <cell r="D759" t="str">
            <v>Galv Steel, 1mm</v>
          </cell>
          <cell r="E759" t="str">
            <v>BXO, BXH, BIO, BIS, BIW,BIK</v>
          </cell>
          <cell r="F759" t="str">
            <v>R, T</v>
          </cell>
          <cell r="Q759" t="str">
            <v>pc</v>
          </cell>
          <cell r="R759">
            <v>1</v>
          </cell>
          <cell r="T759">
            <v>2</v>
          </cell>
          <cell r="U759">
            <v>8.8000000000000009E-2</v>
          </cell>
          <cell r="V759" t="str">
            <v>Indoor Bracket, Trimless Trim Bracket, Galvanized Steel, Bold Lighting LLC, 22101</v>
          </cell>
          <cell r="Y759">
            <v>0.08</v>
          </cell>
          <cell r="Z759">
            <v>1.3</v>
          </cell>
          <cell r="AA759">
            <v>1</v>
          </cell>
        </row>
        <row r="761">
          <cell r="C761" t="str">
            <v>EC006BLD</v>
          </cell>
          <cell r="D761" t="str">
            <v>Endcap</v>
          </cell>
          <cell r="E761" t="str">
            <v>BXO, BXH, BIO, BIS, BIW,BIK</v>
          </cell>
          <cell r="F761" t="str">
            <v>S,P,W,M</v>
          </cell>
          <cell r="G761" t="str">
            <v>S</v>
          </cell>
          <cell r="Q761" t="str">
            <v>pc</v>
          </cell>
          <cell r="R761">
            <v>1</v>
          </cell>
          <cell r="T761">
            <v>2</v>
          </cell>
          <cell r="U761">
            <v>0.82500000000000007</v>
          </cell>
          <cell r="V761" t="str">
            <v>Indoor Main Endcap, Surface/Wall/Pendant Mounted, Bold Lighting LLC, 22002</v>
          </cell>
          <cell r="W761" t="str">
            <v>CN</v>
          </cell>
          <cell r="Y761">
            <v>0.75</v>
          </cell>
          <cell r="Z761">
            <v>2.27</v>
          </cell>
          <cell r="AA761">
            <v>1.58</v>
          </cell>
        </row>
        <row r="762">
          <cell r="C762" t="str">
            <v>EC006BLD</v>
          </cell>
          <cell r="D762" t="str">
            <v>Endcap</v>
          </cell>
          <cell r="E762" t="str">
            <v>BXO, BXH, BIO, BIS, BIW,BIK</v>
          </cell>
          <cell r="F762" t="str">
            <v>S,P,W,M</v>
          </cell>
          <cell r="G762" t="str">
            <v>B,E</v>
          </cell>
          <cell r="Q762" t="str">
            <v>pc</v>
          </cell>
          <cell r="R762">
            <v>1</v>
          </cell>
          <cell r="T762">
            <v>1</v>
          </cell>
          <cell r="U762">
            <v>0.82500000000000007</v>
          </cell>
          <cell r="V762" t="str">
            <v>Indoor Main Endcap, Surface/Wall/Pendant Mounted, Bold Lighting LLC, 22002</v>
          </cell>
          <cell r="W762" t="str">
            <v>CN</v>
          </cell>
          <cell r="Y762">
            <v>0.75</v>
          </cell>
          <cell r="Z762">
            <v>2.27</v>
          </cell>
          <cell r="AA762">
            <v>1.58</v>
          </cell>
        </row>
        <row r="764">
          <cell r="C764" t="str">
            <v>EC007BLD</v>
          </cell>
          <cell r="D764" t="str">
            <v>Endcap</v>
          </cell>
          <cell r="E764" t="str">
            <v>BXO, BXH, BIO, BIS, BIW,BIK</v>
          </cell>
          <cell r="F764" t="str">
            <v>R</v>
          </cell>
          <cell r="G764" t="str">
            <v>S</v>
          </cell>
          <cell r="Q764" t="str">
            <v>pc</v>
          </cell>
          <cell r="R764">
            <v>1</v>
          </cell>
          <cell r="T764">
            <v>2</v>
          </cell>
          <cell r="U764">
            <v>0.71500000000000008</v>
          </cell>
          <cell r="V764" t="str">
            <v>Indoor Endcap, Recessed with Trim, Bold Lighting LLC, 22005</v>
          </cell>
          <cell r="W764" t="str">
            <v>CN</v>
          </cell>
          <cell r="Y764">
            <v>0.65</v>
          </cell>
          <cell r="Z764">
            <v>2.27</v>
          </cell>
          <cell r="AA764">
            <v>1.58</v>
          </cell>
        </row>
        <row r="765">
          <cell r="C765" t="str">
            <v>EC007BLD</v>
          </cell>
          <cell r="D765" t="str">
            <v>Endcap</v>
          </cell>
          <cell r="E765" t="str">
            <v>BXO, BXH, BIO, BIS, BIW,BIK</v>
          </cell>
          <cell r="F765" t="str">
            <v>R</v>
          </cell>
          <cell r="G765" t="str">
            <v>B,E</v>
          </cell>
          <cell r="Q765" t="str">
            <v>pc</v>
          </cell>
          <cell r="R765">
            <v>1</v>
          </cell>
          <cell r="T765">
            <v>1</v>
          </cell>
          <cell r="U765">
            <v>0.71500000000000008</v>
          </cell>
          <cell r="V765" t="str">
            <v>Indoor Endcap, Recessed with Trim, Bold Lighting LLC, 22005</v>
          </cell>
          <cell r="W765" t="str">
            <v>CN</v>
          </cell>
          <cell r="Y765">
            <v>0.65</v>
          </cell>
          <cell r="Z765">
            <v>2.27</v>
          </cell>
          <cell r="AA765">
            <v>1.58</v>
          </cell>
        </row>
        <row r="767">
          <cell r="C767" t="str">
            <v>EC008BLD</v>
          </cell>
          <cell r="D767" t="str">
            <v>Endcap</v>
          </cell>
          <cell r="E767" t="str">
            <v>BXO, BXH, BIO, BIS, BIW,BIK</v>
          </cell>
          <cell r="F767" t="str">
            <v>T</v>
          </cell>
          <cell r="G767" t="str">
            <v>S</v>
          </cell>
          <cell r="Q767" t="str">
            <v>pc</v>
          </cell>
          <cell r="R767">
            <v>1</v>
          </cell>
          <cell r="T767">
            <v>2</v>
          </cell>
          <cell r="U767">
            <v>1.056</v>
          </cell>
          <cell r="V767" t="str">
            <v>Indoor Endcap, Trimless, Bold Lighting LLC, 22009</v>
          </cell>
          <cell r="W767" t="str">
            <v>CN</v>
          </cell>
          <cell r="Y767">
            <v>0.96</v>
          </cell>
          <cell r="Z767">
            <v>2.27</v>
          </cell>
          <cell r="AA767">
            <v>1.58</v>
          </cell>
        </row>
        <row r="768">
          <cell r="C768" t="str">
            <v>EC008BLD</v>
          </cell>
          <cell r="D768" t="str">
            <v>Endcap</v>
          </cell>
          <cell r="E768" t="str">
            <v>BXO, BXH, BIO, BIS, BIW,BIK</v>
          </cell>
          <cell r="F768" t="str">
            <v>T</v>
          </cell>
          <cell r="G768" t="str">
            <v>B,E</v>
          </cell>
          <cell r="Q768" t="str">
            <v>pc</v>
          </cell>
          <cell r="R768">
            <v>1</v>
          </cell>
          <cell r="T768">
            <v>1</v>
          </cell>
          <cell r="U768">
            <v>1.056</v>
          </cell>
          <cell r="V768" t="str">
            <v>Indoor Endcap, Trimless, Bold Lighting LLC, 22009</v>
          </cell>
          <cell r="W768" t="str">
            <v>CN</v>
          </cell>
          <cell r="Y768">
            <v>0.96</v>
          </cell>
          <cell r="Z768">
            <v>2.27</v>
          </cell>
          <cell r="AA768">
            <v>1.58</v>
          </cell>
        </row>
        <row r="770">
          <cell r="C770" t="str">
            <v>MA012ZTP</v>
          </cell>
          <cell r="D770" t="str">
            <v>Safety Cable</v>
          </cell>
          <cell r="F770" t="str">
            <v>R,T,S,P,M</v>
          </cell>
          <cell r="Q770" t="str">
            <v>pc</v>
          </cell>
          <cell r="R770">
            <v>1</v>
          </cell>
          <cell r="T770">
            <v>2</v>
          </cell>
          <cell r="U770">
            <v>0.13200000000000001</v>
          </cell>
          <cell r="V770" t="str">
            <v>Indoor, Safety Cable, Galvanized Steel, Zhongshan Tuer Precision Manufacturing Co., Ltd., SC-01</v>
          </cell>
          <cell r="W770" t="str">
            <v>CN</v>
          </cell>
          <cell r="Y770">
            <v>0.12</v>
          </cell>
          <cell r="Z770">
            <v>2</v>
          </cell>
          <cell r="AA770">
            <v>1.5</v>
          </cell>
        </row>
        <row r="772">
          <cell r="C772" t="str">
            <v>BR016BLD</v>
          </cell>
          <cell r="D772" t="str">
            <v>Galv Steel, 1.5mm</v>
          </cell>
          <cell r="E772" t="str">
            <v>BXO, BXH, BIO, BIS, BIW,BIK</v>
          </cell>
          <cell r="F772" t="str">
            <v>W</v>
          </cell>
          <cell r="Q772" t="str">
            <v>pc</v>
          </cell>
          <cell r="R772">
            <v>1</v>
          </cell>
          <cell r="T772">
            <v>2</v>
          </cell>
          <cell r="U772">
            <v>4.4000000000000004E-2</v>
          </cell>
          <cell r="V772" t="str">
            <v>Indoor Bracket, WM Bracket 1, Galvanized Steel, Bold Lighting LLC, 22041</v>
          </cell>
          <cell r="Y772">
            <v>0.04</v>
          </cell>
          <cell r="Z772">
            <v>1.3</v>
          </cell>
          <cell r="AA772">
            <v>1</v>
          </cell>
        </row>
        <row r="773">
          <cell r="C773" t="str">
            <v>BR017BLD</v>
          </cell>
          <cell r="D773" t="str">
            <v>Galv Steel, 1.5mm</v>
          </cell>
          <cell r="E773" t="str">
            <v>BXO, BXH, BIO, BIS, BIW,BIK</v>
          </cell>
          <cell r="F773" t="str">
            <v>W</v>
          </cell>
          <cell r="Q773" t="str">
            <v>pc</v>
          </cell>
          <cell r="R773">
            <v>1</v>
          </cell>
          <cell r="T773">
            <v>2</v>
          </cell>
          <cell r="U773">
            <v>7.7000000000000013E-2</v>
          </cell>
          <cell r="V773" t="str">
            <v>Indoor Bracket, WM Bracket 2, Galvanized Steel, Bold Lighting LLC, 22042</v>
          </cell>
          <cell r="Y773">
            <v>7.0000000000000007E-2</v>
          </cell>
          <cell r="Z773">
            <v>1.3</v>
          </cell>
          <cell r="AA773">
            <v>1</v>
          </cell>
        </row>
        <row r="775">
          <cell r="C775" t="str">
            <v>CA007SJT</v>
          </cell>
          <cell r="D775" t="str">
            <v>Cables</v>
          </cell>
          <cell r="E775" t="str">
            <v>BHO,BHS,BOO,BOS,BOW,BOP,BOK</v>
          </cell>
          <cell r="G775" t="str">
            <v>B,S</v>
          </cell>
          <cell r="Q775" t="str">
            <v>m</v>
          </cell>
          <cell r="R775">
            <v>1</v>
          </cell>
          <cell r="T775">
            <v>1</v>
          </cell>
          <cell r="U775">
            <v>2.2660000000000005</v>
          </cell>
          <cell r="V775" t="str">
            <v>Outdoor Power Stranded Core Cable, 6 Conductors, 3x16 AWG-3x22AWG, 300V, Black Color</v>
          </cell>
          <cell r="Y775">
            <v>2.06</v>
          </cell>
          <cell r="Z775">
            <v>1.2</v>
          </cell>
          <cell r="AA775">
            <v>1.5</v>
          </cell>
        </row>
        <row r="776">
          <cell r="C776" t="str">
            <v>AC057RWE</v>
          </cell>
          <cell r="D776" t="str">
            <v>Cable Gland</v>
          </cell>
          <cell r="E776" t="str">
            <v>BHO,BHS,BOO,BOS,BOW,BOP,BOK</v>
          </cell>
          <cell r="G776" t="str">
            <v>B,S,M</v>
          </cell>
          <cell r="Q776" t="str">
            <v>pc</v>
          </cell>
          <cell r="R776">
            <v>1</v>
          </cell>
          <cell r="T776">
            <v>1</v>
          </cell>
          <cell r="U776">
            <v>0.1188</v>
          </cell>
          <cell r="V776" t="str">
            <v>Cable Gland, PA66, M18, Black Color</v>
          </cell>
          <cell r="Y776">
            <v>0.108</v>
          </cell>
          <cell r="Z776">
            <v>1.77</v>
          </cell>
          <cell r="AA776">
            <v>2.4500000000000002</v>
          </cell>
        </row>
        <row r="777">
          <cell r="C777" t="str">
            <v>CC010SJT</v>
          </cell>
          <cell r="D777" t="str">
            <v>Cables with Connectors</v>
          </cell>
          <cell r="E777" t="str">
            <v>BHO,BHS,BOO,BOS,BOW</v>
          </cell>
          <cell r="G777" t="str">
            <v>B,M</v>
          </cell>
          <cell r="Q777" t="str">
            <v>pc</v>
          </cell>
          <cell r="R777">
            <v>1</v>
          </cell>
          <cell r="T777" t="str">
            <v>1</v>
          </cell>
          <cell r="U777">
            <v>2.2660000000000005</v>
          </cell>
          <cell r="V777" t="str">
            <v>Outdoor Overmolded Cable with Connector, 6 Poles, Male Connection, 3 Wires 16 AWG and 3 Wires 22 AWG, 300V, 1000mm Cable Length, JINN FENG ELECTRONIC TECH CO., LIMITED, 53-200611-02</v>
          </cell>
          <cell r="W777" t="str">
            <v>CN</v>
          </cell>
          <cell r="Y777">
            <v>2.06</v>
          </cell>
          <cell r="Z777">
            <v>1.7</v>
          </cell>
          <cell r="AA777">
            <v>1.5</v>
          </cell>
        </row>
        <row r="778">
          <cell r="C778" t="str">
            <v>CC009SJT</v>
          </cell>
          <cell r="D778" t="str">
            <v>Connectors</v>
          </cell>
          <cell r="E778" t="str">
            <v>BHO,BHS,BOO,BOS,BOW</v>
          </cell>
          <cell r="G778" t="str">
            <v>M,E</v>
          </cell>
          <cell r="Q778" t="str">
            <v>pc</v>
          </cell>
          <cell r="R778">
            <v>1</v>
          </cell>
          <cell r="T778" t="str">
            <v>1</v>
          </cell>
          <cell r="U778">
            <v>1.1550000000000002</v>
          </cell>
          <cell r="V778" t="str">
            <v>Outdoor Panelmount Cable with Connector, 6 Poles, Female Connection, 3 Wires 16 AWG and 3 Wires 22 AWG, 300V, 1000mm Cable Length, JINN FENG ELECTRONIC TECH CO., LIMITED, 53-100651-01</v>
          </cell>
          <cell r="W778" t="str">
            <v>CN</v>
          </cell>
          <cell r="Y778">
            <v>1.05</v>
          </cell>
          <cell r="Z778">
            <v>1.7</v>
          </cell>
          <cell r="AA778">
            <v>1.5</v>
          </cell>
        </row>
        <row r="780">
          <cell r="C780" t="str">
            <v>CN011KRX</v>
          </cell>
          <cell r="D780" t="str">
            <v>Connectors</v>
          </cell>
          <cell r="O780" t="str">
            <v>B,C,D,F,G,I,J,K,M,N</v>
          </cell>
          <cell r="Q780" t="str">
            <v>pc</v>
          </cell>
          <cell r="R780">
            <v>1</v>
          </cell>
          <cell r="T780">
            <v>4</v>
          </cell>
          <cell r="U780">
            <v>2.0900000000000002E-2</v>
          </cell>
          <cell r="V780" t="str">
            <v>Push Wire Connector Connector, 16-20AWG, 2 Poles, Universal Connection</v>
          </cell>
          <cell r="Y780">
            <v>1.9E-2</v>
          </cell>
          <cell r="Z780">
            <v>1</v>
          </cell>
          <cell r="AA780">
            <v>2.4900000000000002</v>
          </cell>
        </row>
        <row r="781">
          <cell r="C781" t="str">
            <v>CN012KRX</v>
          </cell>
          <cell r="D781" t="str">
            <v>Connectors</v>
          </cell>
          <cell r="Q781" t="str">
            <v>pc</v>
          </cell>
          <cell r="R781">
            <v>1</v>
          </cell>
          <cell r="T781">
            <v>2</v>
          </cell>
          <cell r="U781">
            <v>2.7500000000000004E-2</v>
          </cell>
          <cell r="V781" t="str">
            <v>Push Wire Connector Connector, 16-20AWG, 3 Poles, Universal Connection</v>
          </cell>
          <cell r="Y781">
            <v>2.5000000000000001E-2</v>
          </cell>
          <cell r="Z781">
            <v>1</v>
          </cell>
          <cell r="AA781">
            <v>2.4900000000000002</v>
          </cell>
        </row>
        <row r="782">
          <cell r="C782" t="str">
            <v>CN013KRX</v>
          </cell>
          <cell r="D782" t="str">
            <v>Connectors</v>
          </cell>
          <cell r="Q782" t="str">
            <v>pc</v>
          </cell>
          <cell r="R782">
            <v>1</v>
          </cell>
          <cell r="T782">
            <v>2</v>
          </cell>
          <cell r="U782">
            <v>3.4100000000000005E-2</v>
          </cell>
          <cell r="V782" t="str">
            <v>Push Wire Connector Connector, 16-20AWG, 4 Poles, Universal Connection</v>
          </cell>
          <cell r="Y782">
            <v>3.1E-2</v>
          </cell>
          <cell r="Z782">
            <v>1</v>
          </cell>
          <cell r="AA782">
            <v>2.4900000000000002</v>
          </cell>
        </row>
        <row r="784">
          <cell r="C784" t="str">
            <v>CN010BJB</v>
          </cell>
          <cell r="D784" t="str">
            <v>Connectors</v>
          </cell>
          <cell r="E784" t="str">
            <v>-</v>
          </cell>
          <cell r="G784" t="str">
            <v>S,E</v>
          </cell>
          <cell r="Q784" t="str">
            <v>pc</v>
          </cell>
          <cell r="R784">
            <v>1</v>
          </cell>
          <cell r="T784">
            <v>1</v>
          </cell>
          <cell r="U784">
            <v>0.24200000000000002</v>
          </cell>
          <cell r="V784" t="str">
            <v>2 Poles terminal</v>
          </cell>
          <cell r="Y784">
            <v>0.22</v>
          </cell>
          <cell r="Z784">
            <v>1.9449999999999998</v>
          </cell>
          <cell r="AA784">
            <v>2.0700000000000003</v>
          </cell>
        </row>
        <row r="785">
          <cell r="C785" t="str">
            <v>CN010BJB</v>
          </cell>
          <cell r="D785" t="str">
            <v>Connectors</v>
          </cell>
          <cell r="E785" t="str">
            <v>-</v>
          </cell>
          <cell r="G785" t="str">
            <v>B,M</v>
          </cell>
          <cell r="Q785" t="str">
            <v>pc</v>
          </cell>
          <cell r="R785">
            <v>1</v>
          </cell>
          <cell r="T785">
            <v>2</v>
          </cell>
          <cell r="U785">
            <v>0.24200000000000002</v>
          </cell>
          <cell r="V785" t="str">
            <v>2 Poles terminal</v>
          </cell>
          <cell r="Y785">
            <v>0.22</v>
          </cell>
          <cell r="Z785">
            <v>1.9449999999999998</v>
          </cell>
          <cell r="AA785">
            <v>2.0700000000000003</v>
          </cell>
        </row>
        <row r="786">
          <cell r="C786" t="str">
            <v>CN009BJB</v>
          </cell>
          <cell r="D786" t="str">
            <v>Connectors</v>
          </cell>
          <cell r="E786" t="str">
            <v>-</v>
          </cell>
          <cell r="G786" t="str">
            <v>B,M</v>
          </cell>
          <cell r="Q786" t="str">
            <v>pc</v>
          </cell>
          <cell r="R786">
            <v>1</v>
          </cell>
          <cell r="T786">
            <v>2</v>
          </cell>
          <cell r="U786">
            <v>0.27500000000000002</v>
          </cell>
          <cell r="V786" t="str">
            <v>3 Poles terminal</v>
          </cell>
          <cell r="Y786">
            <v>0.25</v>
          </cell>
          <cell r="Z786">
            <v>1.9449999999999998</v>
          </cell>
          <cell r="AA786">
            <v>2.0700000000000003</v>
          </cell>
        </row>
        <row r="787">
          <cell r="C787" t="str">
            <v>CN009BJB</v>
          </cell>
          <cell r="D787" t="str">
            <v>Connectors</v>
          </cell>
          <cell r="E787" t="str">
            <v>-</v>
          </cell>
          <cell r="G787" t="str">
            <v>E,S</v>
          </cell>
          <cell r="Q787" t="str">
            <v>pc</v>
          </cell>
          <cell r="R787">
            <v>1</v>
          </cell>
          <cell r="T787">
            <v>1</v>
          </cell>
          <cell r="U787">
            <v>0.27500000000000002</v>
          </cell>
          <cell r="V787" t="str">
            <v>3 Poles terminal</v>
          </cell>
          <cell r="Y787">
            <v>0.25</v>
          </cell>
          <cell r="Z787">
            <v>1.9449999999999998</v>
          </cell>
          <cell r="AA787">
            <v>2.0700000000000003</v>
          </cell>
        </row>
        <row r="789">
          <cell r="C789" t="str">
            <v>CC011GEN</v>
          </cell>
          <cell r="D789" t="str">
            <v>Cables with Connectors</v>
          </cell>
          <cell r="E789" t="str">
            <v>BXO, BXH, BIO, BIS, BIW,BIK</v>
          </cell>
          <cell r="G789" t="str">
            <v>B,M,E</v>
          </cell>
          <cell r="H789" t="str">
            <v>18,24,30,36,42</v>
          </cell>
          <cell r="Q789" t="str">
            <v>pc</v>
          </cell>
          <cell r="T789">
            <v>1</v>
          </cell>
          <cell r="U789">
            <v>1.3640000000000001</v>
          </cell>
          <cell r="V789" t="str">
            <v>Cable Harness (Green, Black, White), 3 Poles, Universal Connection, 3 Wires 16 AWG and 3 Wires 18 AWG, 300V, 1050mm Cable Length</v>
          </cell>
          <cell r="Y789">
            <v>1.24</v>
          </cell>
          <cell r="Z789">
            <v>1.23</v>
          </cell>
          <cell r="AA789">
            <v>2.31</v>
          </cell>
        </row>
        <row r="790">
          <cell r="C790" t="str">
            <v>CC012GEN</v>
          </cell>
          <cell r="D790" t="str">
            <v>Cables with Connectors</v>
          </cell>
          <cell r="E790" t="str">
            <v>BXO, BXH, BIO, BIS, BIW,BIK</v>
          </cell>
          <cell r="G790" t="str">
            <v>B,M,E</v>
          </cell>
          <cell r="H790" t="str">
            <v>48, 54, 60</v>
          </cell>
          <cell r="Q790" t="str">
            <v>pc</v>
          </cell>
          <cell r="T790">
            <v>1</v>
          </cell>
          <cell r="U790">
            <v>2.2880000000000003</v>
          </cell>
          <cell r="V790" t="str">
            <v>Cable Harness (Green, Black, White), 3 Poles, Universal Connection, 3 Wires 16 AWG and 3 Wires 18 AWG, 300V, 1650mm Cable Length</v>
          </cell>
          <cell r="Y790">
            <v>2.08</v>
          </cell>
          <cell r="Z790">
            <v>1.23</v>
          </cell>
          <cell r="AA790">
            <v>2.31</v>
          </cell>
        </row>
        <row r="791">
          <cell r="C791" t="str">
            <v>CC013GEN</v>
          </cell>
          <cell r="D791" t="str">
            <v>Cables with Connectors</v>
          </cell>
          <cell r="E791" t="str">
            <v>BXO, BXH, BIO, BIS, BIW,BIK</v>
          </cell>
          <cell r="G791" t="str">
            <v>B,M,E</v>
          </cell>
          <cell r="H791" t="str">
            <v>18,24,30,36,42</v>
          </cell>
          <cell r="K791" t="str">
            <v>B,C,D,E,F,G</v>
          </cell>
          <cell r="Q791" t="str">
            <v>pc</v>
          </cell>
          <cell r="T791">
            <v>1</v>
          </cell>
          <cell r="U791">
            <v>0.65339999999999998</v>
          </cell>
          <cell r="V791" t="str">
            <v>Cable Harness (Pink, Purple), 2 Poles, Universal Connection, 2 Wires 18 AWG and 2 Wires 20 AWG, 300V, 1050mm Cable Length</v>
          </cell>
          <cell r="Y791">
            <v>0.59399999999999997</v>
          </cell>
          <cell r="Z791">
            <v>1.23</v>
          </cell>
          <cell r="AA791">
            <v>2.31</v>
          </cell>
        </row>
        <row r="792">
          <cell r="C792" t="str">
            <v>CC014GEN</v>
          </cell>
          <cell r="D792" t="str">
            <v>Cables with Connectors</v>
          </cell>
          <cell r="E792" t="str">
            <v>BXO, BXH, BIO, BIS, BIW,BIK</v>
          </cell>
          <cell r="G792" t="str">
            <v>B,M,E</v>
          </cell>
          <cell r="H792" t="str">
            <v>48, 54, 60</v>
          </cell>
          <cell r="K792" t="str">
            <v>B,C,D,E,F,G</v>
          </cell>
          <cell r="Q792" t="str">
            <v>pc</v>
          </cell>
          <cell r="T792">
            <v>1</v>
          </cell>
          <cell r="U792">
            <v>1.0494000000000001</v>
          </cell>
          <cell r="V792" t="str">
            <v>Cable Harness (Pink, Purple), 2 Poles, Universal Connection, 2 Wires 18 AWG and 2 Wires 20 AWG, 300V, 1650mm Cable Length</v>
          </cell>
          <cell r="Y792">
            <v>0.95399999999999996</v>
          </cell>
          <cell r="Z792">
            <v>1.23</v>
          </cell>
          <cell r="AA792">
            <v>2.31</v>
          </cell>
        </row>
        <row r="794">
          <cell r="C794" t="str">
            <v>AC023JIN</v>
          </cell>
          <cell r="D794" t="str">
            <v>Wires</v>
          </cell>
          <cell r="E794" t="str">
            <v>BOP</v>
          </cell>
          <cell r="F794" t="str">
            <v>-</v>
          </cell>
          <cell r="Q794" t="str">
            <v>pc</v>
          </cell>
          <cell r="T794" t="str">
            <v>1</v>
          </cell>
          <cell r="U794">
            <v>0.41250000000000003</v>
          </cell>
          <cell r="V794" t="str">
            <v>Cable Gland, Plastic, 20mm Diameter, Black Color, JINN FENG ELECTRONIC TECH CO., LIMITED, CGS_M20</v>
          </cell>
          <cell r="W794" t="str">
            <v>CN</v>
          </cell>
          <cell r="Y794">
            <v>0.375</v>
          </cell>
          <cell r="Z794">
            <v>1.72</v>
          </cell>
          <cell r="AA794">
            <v>1.3</v>
          </cell>
        </row>
        <row r="795">
          <cell r="C795" t="str">
            <v>AC023JIN</v>
          </cell>
          <cell r="D795" t="str">
            <v>Wires</v>
          </cell>
          <cell r="E795" t="str">
            <v>BHO,BHS,BOO,BOS,BOW</v>
          </cell>
          <cell r="F795" t="str">
            <v>-</v>
          </cell>
          <cell r="G795" t="str">
            <v>B,M</v>
          </cell>
          <cell r="Q795" t="str">
            <v>pc</v>
          </cell>
          <cell r="T795" t="str">
            <v>1</v>
          </cell>
          <cell r="U795">
            <v>0.41250000000000003</v>
          </cell>
          <cell r="V795" t="str">
            <v>Cable Gland, Plastic, 20mm Diameter, Black Color, JINN FENG ELECTRONIC TECH CO., LIMITED, CGS_M20</v>
          </cell>
          <cell r="W795" t="str">
            <v>CN</v>
          </cell>
          <cell r="Y795">
            <v>0.375</v>
          </cell>
          <cell r="Z795">
            <v>1.72</v>
          </cell>
          <cell r="AA795">
            <v>1.3</v>
          </cell>
        </row>
        <row r="796">
          <cell r="C796" t="str">
            <v>AC063GEN</v>
          </cell>
          <cell r="D796" t="str">
            <v>Wires</v>
          </cell>
          <cell r="E796" t="str">
            <v>BXO,BXH,BIO,BIS,BIW,BKO,BKH,BJO,BJS,BJW</v>
          </cell>
          <cell r="G796" t="str">
            <v>B,M</v>
          </cell>
          <cell r="Q796" t="str">
            <v>pc</v>
          </cell>
          <cell r="T796">
            <v>1</v>
          </cell>
          <cell r="U796">
            <v>0.38500000000000001</v>
          </cell>
          <cell r="V796" t="str">
            <v>Grommet Open, PVC, A:15.5 B:11.0 C:8 D:9.0 E:3.0, White/Black Color</v>
          </cell>
          <cell r="Y796">
            <v>0.35</v>
          </cell>
          <cell r="Z796">
            <v>1.5</v>
          </cell>
          <cell r="AA796">
            <v>1.86</v>
          </cell>
        </row>
        <row r="797">
          <cell r="C797" t="str">
            <v>CA000AZA</v>
          </cell>
          <cell r="D797" t="str">
            <v>Cables</v>
          </cell>
          <cell r="K797" t="str">
            <v>F,M</v>
          </cell>
          <cell r="Q797" t="str">
            <v>pc</v>
          </cell>
          <cell r="T797">
            <v>1</v>
          </cell>
          <cell r="U797">
            <v>2.2000000000000002</v>
          </cell>
          <cell r="V797" t="str">
            <v>1m DMX Cable, 3 Poles, 120 Ohm, OD6</v>
          </cell>
          <cell r="Y797">
            <v>2</v>
          </cell>
          <cell r="Z797">
            <v>1.22</v>
          </cell>
          <cell r="AA797">
            <v>1.3</v>
          </cell>
        </row>
        <row r="799">
          <cell r="C799" t="str">
            <v>CA002SAL</v>
          </cell>
          <cell r="D799" t="str">
            <v>Cables</v>
          </cell>
          <cell r="E799" t="str">
            <v>BXO,BXH,BIS,BIW,BKO,BKH,BJO,BJS,BJW,BIK</v>
          </cell>
          <cell r="F799" t="str">
            <v>P</v>
          </cell>
          <cell r="G799" t="str">
            <v>B,S</v>
          </cell>
          <cell r="K799" t="str">
            <v>I,J,L,K,M,N</v>
          </cell>
          <cell r="Q799" t="str">
            <v>linear</v>
          </cell>
          <cell r="T799">
            <v>1900</v>
          </cell>
          <cell r="U799">
            <v>0.88000000000000012</v>
          </cell>
          <cell r="V799" t="str">
            <v>Indoor Power Stranded Core Cable, 2 Conductors, 18 AWG, 300V, Black Color, SALCAVI, SVT-2XAWG18</v>
          </cell>
          <cell r="Y799">
            <v>0.8</v>
          </cell>
          <cell r="Z799">
            <v>1.55</v>
          </cell>
          <cell r="AA799">
            <v>1.3</v>
          </cell>
        </row>
        <row r="800">
          <cell r="C800" t="str">
            <v>CA004SAL</v>
          </cell>
          <cell r="D800" t="str">
            <v>Cables</v>
          </cell>
          <cell r="E800" t="str">
            <v>BXO,BXH,BIS,BIW,BKO,BKH,BJO,BJS,BJW,BIK</v>
          </cell>
          <cell r="F800" t="str">
            <v>P</v>
          </cell>
          <cell r="G800" t="str">
            <v>B,S</v>
          </cell>
          <cell r="K800" t="str">
            <v>B,C,D,E,F,G</v>
          </cell>
          <cell r="Q800" t="str">
            <v>linear</v>
          </cell>
          <cell r="T800">
            <v>1900</v>
          </cell>
          <cell r="U800">
            <v>1.6500000000000001</v>
          </cell>
          <cell r="V800" t="str">
            <v>Indoor Power Stranded Core Cable, 5 Conductors, 18 AWG, 300V, Grey Color, SALCAVI, SJT-5x18AWG</v>
          </cell>
          <cell r="Y800">
            <v>1.5</v>
          </cell>
          <cell r="Z800">
            <v>1.55</v>
          </cell>
          <cell r="AA800">
            <v>1.3</v>
          </cell>
        </row>
        <row r="801">
          <cell r="C801" t="str">
            <v>CA002SAL</v>
          </cell>
          <cell r="D801" t="str">
            <v>Cables</v>
          </cell>
          <cell r="E801" t="str">
            <v>BXO,BXH,BIS,BIW,BKO,BKH,BJO,BJS,BJW,BIK</v>
          </cell>
          <cell r="F801" t="str">
            <v>S, T, R, M,W</v>
          </cell>
          <cell r="G801" t="str">
            <v>B,S</v>
          </cell>
          <cell r="K801" t="str">
            <v>I,J,L,K,M,N</v>
          </cell>
          <cell r="Q801" t="str">
            <v>linear</v>
          </cell>
          <cell r="T801">
            <v>1100</v>
          </cell>
          <cell r="U801">
            <v>0.46200000000000002</v>
          </cell>
          <cell r="V801" t="str">
            <v>Indoor Power Stranded Core Cable, 2 Conductors, 18 AWG, 300V, Black Color, SALCAVI, SVT-2XAWG18</v>
          </cell>
          <cell r="Y801">
            <v>0.42</v>
          </cell>
          <cell r="Z801">
            <v>1.55</v>
          </cell>
          <cell r="AA801">
            <v>1.3</v>
          </cell>
        </row>
        <row r="802">
          <cell r="C802" t="str">
            <v>CA004SAL</v>
          </cell>
          <cell r="D802" t="str">
            <v>Cables</v>
          </cell>
          <cell r="E802" t="str">
            <v>BXO,BXH,BIS,BIW,BKO,BKH,BJO,BJS,BJW,BIK</v>
          </cell>
          <cell r="F802" t="str">
            <v>S, T, R, M,W</v>
          </cell>
          <cell r="G802" t="str">
            <v>B,S</v>
          </cell>
          <cell r="K802" t="str">
            <v>B,C,D,E,F,G</v>
          </cell>
          <cell r="Q802" t="str">
            <v>linear</v>
          </cell>
          <cell r="T802">
            <v>1100</v>
          </cell>
          <cell r="U802">
            <v>0.9900000000000001</v>
          </cell>
          <cell r="V802" t="str">
            <v>Indoor Power Stranded Core Cable, 5 Conductors, 18 AWG, 300V, Grey Color, SALCAVI, SJT-5x18AWG</v>
          </cell>
          <cell r="Y802">
            <v>0.9</v>
          </cell>
          <cell r="Z802">
            <v>1.55</v>
          </cell>
          <cell r="AA802">
            <v>1.3</v>
          </cell>
        </row>
        <row r="803">
          <cell r="C803" t="str">
            <v>CA003SAL</v>
          </cell>
          <cell r="D803" t="str">
            <v>Cables</v>
          </cell>
          <cell r="E803" t="str">
            <v>BHO,BHS,BOO,BOS,BOW,BOP,BOK</v>
          </cell>
          <cell r="G803" t="str">
            <v>B,S</v>
          </cell>
          <cell r="K803" t="str">
            <v>I,J,L,K,M,N</v>
          </cell>
          <cell r="Q803" t="str">
            <v>linear</v>
          </cell>
          <cell r="T803">
            <v>1100</v>
          </cell>
          <cell r="U803">
            <v>0.7370000000000001</v>
          </cell>
          <cell r="V803" t="str">
            <v>Outdoor Power Stranded Core Cable, 2 Conductors, 16 AWG, 300V, Black Color, SALCAVI, SJTOW-2XAWG16</v>
          </cell>
          <cell r="Y803">
            <v>0.67</v>
          </cell>
          <cell r="Z803">
            <v>1.55</v>
          </cell>
          <cell r="AA803">
            <v>1.3</v>
          </cell>
        </row>
        <row r="804">
          <cell r="C804" t="str">
            <v>CA006SAL</v>
          </cell>
          <cell r="D804" t="str">
            <v>Cables</v>
          </cell>
          <cell r="E804" t="str">
            <v>BHO,BHS,BOO,BOS,BOW,BOP,BOK</v>
          </cell>
          <cell r="G804" t="str">
            <v>B,S</v>
          </cell>
          <cell r="K804" t="str">
            <v>B,C,D,E,F,G</v>
          </cell>
          <cell r="Q804" t="str">
            <v>linear</v>
          </cell>
          <cell r="T804">
            <v>1100</v>
          </cell>
          <cell r="U804">
            <v>1.4960000000000002</v>
          </cell>
          <cell r="V804" t="str">
            <v>Outdoor Power Stranded Core Cable, 5 Conductors, 16 AWG, 300V, Black Color, SALCAVI, SJTOW-5XAWG16</v>
          </cell>
          <cell r="Y804">
            <v>1.36</v>
          </cell>
          <cell r="Z804">
            <v>1.55</v>
          </cell>
          <cell r="AA804">
            <v>1.3</v>
          </cell>
        </row>
        <row r="806">
          <cell r="C806" t="str">
            <v>WI005SAL</v>
          </cell>
          <cell r="D806" t="str">
            <v>Wires</v>
          </cell>
          <cell r="O806" t="str">
            <v>27,30,35,40,WD,TW</v>
          </cell>
          <cell r="S806">
            <v>460</v>
          </cell>
          <cell r="U806">
            <v>4.5540000000000004E-2</v>
          </cell>
          <cell r="V806" t="str">
            <v>Solid Core Wire, 20 AWG, 300V, Red Color, Linear Meter, Between PCB &amp; Driver, SALCAVI, Style-1569</v>
          </cell>
          <cell r="Y806">
            <v>0.09</v>
          </cell>
          <cell r="Z806">
            <v>1.55</v>
          </cell>
          <cell r="AA806">
            <v>1.3</v>
          </cell>
        </row>
        <row r="807">
          <cell r="C807" t="str">
            <v>WI006SAL</v>
          </cell>
          <cell r="D807" t="str">
            <v>Wires</v>
          </cell>
          <cell r="O807" t="str">
            <v>27,30,35,40,WD,TW</v>
          </cell>
          <cell r="S807">
            <v>460</v>
          </cell>
          <cell r="U807">
            <v>4.5540000000000004E-2</v>
          </cell>
          <cell r="V807" t="str">
            <v>Solid Core Wire, 20 AWG, 300V, Black Color, Linear Meter,Between PCB &amp; Driver,  SALCAVI, Style-1569</v>
          </cell>
          <cell r="Y807">
            <v>0.09</v>
          </cell>
          <cell r="Z807">
            <v>1.55</v>
          </cell>
          <cell r="AA807">
            <v>1.3</v>
          </cell>
        </row>
        <row r="808">
          <cell r="C808" t="str">
            <v>WI007SAL</v>
          </cell>
          <cell r="D808" t="str">
            <v>Wires</v>
          </cell>
          <cell r="O808" t="str">
            <v>TW</v>
          </cell>
          <cell r="S808">
            <v>460</v>
          </cell>
          <cell r="U808">
            <v>4.5540000000000004E-2</v>
          </cell>
          <cell r="V808" t="str">
            <v>Solid Core Wire, 20 AWG, 300V, Orange Color, Linear Meter,Between PCB &amp; Driver,  SALCAVI, Style-1569</v>
          </cell>
          <cell r="Y808">
            <v>0.09</v>
          </cell>
          <cell r="Z808">
            <v>1.55</v>
          </cell>
          <cell r="AA808">
            <v>1.3</v>
          </cell>
        </row>
        <row r="809">
          <cell r="C809" t="str">
            <v>WI008SAL</v>
          </cell>
          <cell r="D809" t="str">
            <v>Wires</v>
          </cell>
          <cell r="O809" t="str">
            <v>TW</v>
          </cell>
          <cell r="S809">
            <v>460</v>
          </cell>
          <cell r="U809">
            <v>4.5540000000000004E-2</v>
          </cell>
          <cell r="V809" t="str">
            <v>Solid Core Wire, 20 AWG, 300V, Grey Color, Linear Meter, Between PCB &amp; Driver, SALCAVI, Style-1569</v>
          </cell>
          <cell r="Y809">
            <v>0.09</v>
          </cell>
          <cell r="Z809">
            <v>1.55</v>
          </cell>
          <cell r="AA809">
            <v>1.3</v>
          </cell>
        </row>
        <row r="811">
          <cell r="C811" t="str">
            <v>WI000SAL</v>
          </cell>
          <cell r="D811" t="str">
            <v>Wires</v>
          </cell>
          <cell r="E811" t="str">
            <v>-----</v>
          </cell>
          <cell r="S811">
            <v>460</v>
          </cell>
          <cell r="U811">
            <v>8.8550000000000004E-2</v>
          </cell>
          <cell r="V811" t="str">
            <v>Stranded Core Wire, 16 AWG, 600V, White Color, Linear Meter, Power feeding Driver, SALCAVI, Style-1015</v>
          </cell>
          <cell r="Y811">
            <v>0.17499999999999999</v>
          </cell>
          <cell r="Z811">
            <v>1.55</v>
          </cell>
          <cell r="AA811">
            <v>1.3</v>
          </cell>
        </row>
        <row r="812">
          <cell r="C812" t="str">
            <v>WI001SAL</v>
          </cell>
          <cell r="D812" t="str">
            <v>Wires</v>
          </cell>
          <cell r="E812" t="str">
            <v>-----</v>
          </cell>
          <cell r="S812">
            <v>460</v>
          </cell>
          <cell r="U812">
            <v>8.8550000000000004E-2</v>
          </cell>
          <cell r="V812" t="str">
            <v>Stranded Core Wire, 16 AWG, 600V, Black Color, Linear Meter, Power feeding Driver,SALCAVI, Style-1015</v>
          </cell>
          <cell r="Y812">
            <v>0.17499999999999999</v>
          </cell>
          <cell r="Z812">
            <v>1.55</v>
          </cell>
          <cell r="AA812">
            <v>1.3</v>
          </cell>
        </row>
        <row r="813">
          <cell r="C813" t="str">
            <v>WI002SAL</v>
          </cell>
          <cell r="D813" t="str">
            <v>Wires</v>
          </cell>
          <cell r="E813" t="str">
            <v>-----</v>
          </cell>
          <cell r="S813">
            <v>460</v>
          </cell>
          <cell r="U813">
            <v>8.8550000000000004E-2</v>
          </cell>
          <cell r="V813" t="str">
            <v>Stranded Core Wire, 16 AWG, 600V, Green Color, Linear Meter,Power feeding Driver, SALCAVI, Style-1015</v>
          </cell>
          <cell r="Y813">
            <v>0.17499999999999999</v>
          </cell>
          <cell r="Z813">
            <v>1.55</v>
          </cell>
          <cell r="AA813">
            <v>1.3</v>
          </cell>
        </row>
        <row r="815">
          <cell r="C815" t="str">
            <v>WI003SAL</v>
          </cell>
          <cell r="D815" t="str">
            <v>Wires</v>
          </cell>
          <cell r="E815" t="str">
            <v>BXO, BXH, BIO, BIS, BIW, BKO, BKH, BJO, BJS, BJW</v>
          </cell>
          <cell r="G815" t="str">
            <v>B,S</v>
          </cell>
          <cell r="K815" t="str">
            <v>B,C,D,E,F,G</v>
          </cell>
          <cell r="O815" t="str">
            <v>27,30,35,40,WD,TW</v>
          </cell>
          <cell r="S815">
            <v>460</v>
          </cell>
          <cell r="U815">
            <v>6.3250000000000015E-2</v>
          </cell>
          <cell r="V815" t="str">
            <v>Stranded Core Wire, 18 AWG, 300V, Pink Color, Linear Meter, Dimming inputs for driver, SALCAVI, Style-1569</v>
          </cell>
          <cell r="Y815">
            <v>0.125</v>
          </cell>
          <cell r="Z815">
            <v>1.55</v>
          </cell>
          <cell r="AA815">
            <v>1.3</v>
          </cell>
        </row>
        <row r="816">
          <cell r="C816" t="str">
            <v>WI004SAL</v>
          </cell>
          <cell r="D816" t="str">
            <v>Wires</v>
          </cell>
          <cell r="E816" t="str">
            <v>BXO, BXH, BIO, BIS, BIW, BKO, BKH, BJO, BJS, BJW</v>
          </cell>
          <cell r="G816" t="str">
            <v>B,S</v>
          </cell>
          <cell r="K816" t="str">
            <v>B,C,D,E,F,G</v>
          </cell>
          <cell r="O816" t="str">
            <v>27,30,35,40,WD,TW</v>
          </cell>
          <cell r="S816">
            <v>460</v>
          </cell>
          <cell r="U816">
            <v>6.3250000000000015E-2</v>
          </cell>
          <cell r="V816" t="str">
            <v>Stranded Core Wire, 18 AWG, 300V, Violet Color, Linear Meter, Dimming inputs for driver,SALCAVI, Style-1569</v>
          </cell>
          <cell r="Y816">
            <v>0.125</v>
          </cell>
          <cell r="Z816">
            <v>1.55</v>
          </cell>
          <cell r="AA816">
            <v>1.3</v>
          </cell>
        </row>
        <row r="817">
          <cell r="C817" t="str">
            <v>WI004SAL</v>
          </cell>
          <cell r="D817" t="str">
            <v>Wires</v>
          </cell>
          <cell r="E817" t="str">
            <v>BXO, BXH, BIO, BIS, BIW, BKO, BKH, BJO, BJS, BJW</v>
          </cell>
          <cell r="G817" t="str">
            <v>B,S</v>
          </cell>
          <cell r="K817" t="str">
            <v>B,C,D,E,F,G</v>
          </cell>
          <cell r="O817" t="str">
            <v>TW</v>
          </cell>
          <cell r="S817">
            <v>460</v>
          </cell>
          <cell r="U817">
            <v>6.3250000000000015E-2</v>
          </cell>
          <cell r="V817" t="str">
            <v>Stranded Core Wire, 18 AWG, 300V, Violet Color, Linear Meter, Dimming inputs for driver, SALCAVI, Style-1569</v>
          </cell>
          <cell r="Y817">
            <v>0.125</v>
          </cell>
          <cell r="Z817">
            <v>1.55</v>
          </cell>
          <cell r="AA817">
            <v>1.3</v>
          </cell>
        </row>
        <row r="819">
          <cell r="C819" t="str">
            <v>CC003XTZ</v>
          </cell>
          <cell r="D819" t="str">
            <v>Cables with Connectors</v>
          </cell>
          <cell r="E819" t="str">
            <v>BXO, BXH, BIO, BIS, BIW, BKO, BKH, BJO, BJS, BJW,BIK</v>
          </cell>
          <cell r="F819" t="str">
            <v>cancelled</v>
          </cell>
          <cell r="H819" t="str">
            <v>12,18,24,30,36,42,48,54,60</v>
          </cell>
          <cell r="O819" t="str">
            <v>27, 30, 35, 40,WD</v>
          </cell>
          <cell r="Q819" t="str">
            <v>pc</v>
          </cell>
          <cell r="T819" t="str">
            <v>1/d</v>
          </cell>
          <cell r="U819">
            <v>0</v>
          </cell>
          <cell r="V819" t="str">
            <v>Indoor Latched with Heatshrink Cable with Connector, 2 Poles, Female Connection, 2 Wires 22 AWG, 300V, 150mm Cable Length, XTZ (Shenzhen Xiangtianzhong Technology Co.,Ltd), XTZ-220804-01 2P</v>
          </cell>
          <cell r="W819" t="str">
            <v>CN</v>
          </cell>
          <cell r="Y819">
            <v>0</v>
          </cell>
          <cell r="Z819" t="str">
            <v>Cancelled</v>
          </cell>
          <cell r="AA819" t="str">
            <v>Cancelled</v>
          </cell>
        </row>
        <row r="820">
          <cell r="C820" t="str">
            <v>CC004XTZ</v>
          </cell>
          <cell r="D820" t="str">
            <v>Cables with Connectors</v>
          </cell>
          <cell r="E820" t="str">
            <v>BXO, BXH, BIO, BIS, BIW, BKO, BKH, BJO, BJS, BJW,BIK</v>
          </cell>
          <cell r="F820" t="str">
            <v>cancelled</v>
          </cell>
          <cell r="H820" t="str">
            <v>12,18,24,30,36,42,48,54,60</v>
          </cell>
          <cell r="O820" t="str">
            <v>27, 30, 35, 40,WD</v>
          </cell>
          <cell r="Q820" t="str">
            <v>pc</v>
          </cell>
          <cell r="T820" t="str">
            <v>1/d</v>
          </cell>
          <cell r="U820">
            <v>0</v>
          </cell>
          <cell r="V820" t="str">
            <v>Indoor Latched with Heatshrink Cable with Connector, 2 Poles, Male Connection, 3 Wires 22 AWG, 300V, 150mm Cable Length, XTZ (Shenzhen Xiangtianzhong Technology Co.,Ltd), XTZ-220805-01 2PM</v>
          </cell>
          <cell r="W820" t="str">
            <v>CN</v>
          </cell>
          <cell r="Y820">
            <v>0</v>
          </cell>
          <cell r="Z820" t="str">
            <v>Cancelled</v>
          </cell>
          <cell r="AA820" t="str">
            <v>Cancelled</v>
          </cell>
        </row>
        <row r="821">
          <cell r="C821" t="str">
            <v>CC005XTZ</v>
          </cell>
          <cell r="D821" t="str">
            <v>Cables with Connectors</v>
          </cell>
          <cell r="E821" t="str">
            <v>BXO, BXH, BIO, BIS, BIW, BKO, BKH, BJO, BJS, BJW,BIK</v>
          </cell>
          <cell r="F821" t="str">
            <v>cancelled</v>
          </cell>
          <cell r="H821" t="str">
            <v>12,18,24,30,36,42,48,54,60</v>
          </cell>
          <cell r="O821" t="str">
            <v>TW</v>
          </cell>
          <cell r="Q821" t="str">
            <v>pc</v>
          </cell>
          <cell r="T821" t="str">
            <v>1/d</v>
          </cell>
          <cell r="U821">
            <v>0</v>
          </cell>
          <cell r="V821" t="str">
            <v>Indoor Latched with Heatshrink Cable with Connector, 4 Poles, Female Connection, 4 Wires 22 AWG, 300V, 150mm Cable Length, XTZ (Shenzhen Xiangtianzhong Technology Co.,Ltd), XTZ-220804-02 4P</v>
          </cell>
          <cell r="W821" t="str">
            <v>CN</v>
          </cell>
          <cell r="Y821">
            <v>0</v>
          </cell>
          <cell r="Z821" t="str">
            <v>Cancelled</v>
          </cell>
          <cell r="AA821" t="str">
            <v>Cancelled</v>
          </cell>
        </row>
        <row r="822">
          <cell r="C822" t="str">
            <v>CC006XTZ</v>
          </cell>
          <cell r="D822" t="str">
            <v>Cables with Connectors</v>
          </cell>
          <cell r="E822" t="str">
            <v>BXO, BXH, BIO, BIS, BIW, BKO, BKH, BJO, BJS, BJW,BIK</v>
          </cell>
          <cell r="F822" t="str">
            <v>cancelled</v>
          </cell>
          <cell r="H822" t="str">
            <v>12,18,24,30,36,42,48,54,60</v>
          </cell>
          <cell r="O822" t="str">
            <v>TW</v>
          </cell>
          <cell r="Q822" t="str">
            <v>pc</v>
          </cell>
          <cell r="T822" t="str">
            <v>1/d</v>
          </cell>
          <cell r="U822">
            <v>0</v>
          </cell>
          <cell r="V822" t="str">
            <v>Indoor Latched with Heatshrink Cable with Connector, 4 Poles, Male Connection, 5 Wires 22 AWG, 300V, 150mm Cable Length, XTZ (Shenzhen Xiangtianzhong Technology Co.,Ltd), XTZ-220805-02 4PM</v>
          </cell>
          <cell r="W822" t="str">
            <v>CN</v>
          </cell>
          <cell r="Y822">
            <v>0</v>
          </cell>
          <cell r="Z822" t="str">
            <v>Cancelled</v>
          </cell>
          <cell r="AA822" t="str">
            <v>Cancelled</v>
          </cell>
        </row>
        <row r="823">
          <cell r="C823" t="str">
            <v>CC007XTZ</v>
          </cell>
          <cell r="D823" t="str">
            <v>Cables with Connectors</v>
          </cell>
          <cell r="E823" t="str">
            <v>BXO, BXH, BIO, BIS, BIW, BKO, BKH, BJO, BJS, BJW,BIK</v>
          </cell>
          <cell r="F823" t="str">
            <v>cancelled</v>
          </cell>
          <cell r="H823" t="str">
            <v>12,18,24,30,36,42,48,54,60</v>
          </cell>
          <cell r="O823" t="str">
            <v>CC</v>
          </cell>
          <cell r="Q823" t="str">
            <v>pc</v>
          </cell>
          <cell r="T823" t="str">
            <v>1/d</v>
          </cell>
          <cell r="U823">
            <v>0</v>
          </cell>
          <cell r="V823" t="str">
            <v>Indoor Latched with Heatshrink Cable with Connector, 8 Poles, Female Connection, 6 Wires 22 AWG, 300V, 150mm Cable Length, XTZ (Shenzhen Xiangtianzhong Technology Co.,Ltd), XTZ-220804-03 8P</v>
          </cell>
          <cell r="W823" t="str">
            <v>CN</v>
          </cell>
          <cell r="Y823">
            <v>0</v>
          </cell>
          <cell r="Z823" t="str">
            <v>Cancelled</v>
          </cell>
          <cell r="AA823" t="str">
            <v>Cancelled</v>
          </cell>
        </row>
        <row r="824">
          <cell r="C824" t="str">
            <v>CC008XTZ</v>
          </cell>
          <cell r="D824" t="str">
            <v>Cables with Connectors</v>
          </cell>
          <cell r="E824" t="str">
            <v>BXO, BXH, BIO, BIS, BIW, BKO, BKH, BJO, BJS, BJW,BIK</v>
          </cell>
          <cell r="F824" t="str">
            <v>cancelled</v>
          </cell>
          <cell r="H824" t="str">
            <v>12,18,24,30,36,42,48,54,60</v>
          </cell>
          <cell r="O824" t="str">
            <v>CC</v>
          </cell>
          <cell r="Q824" t="str">
            <v>pc</v>
          </cell>
          <cell r="T824" t="str">
            <v>1/d</v>
          </cell>
          <cell r="U824">
            <v>0</v>
          </cell>
          <cell r="V824" t="str">
            <v>Indoor Latched with Heatshrink Cable with Connector, 8 Poles, Male Connection, 7 Wires 22 AWG, 300V, 150mm Cable Length, XTZ (Shenzhen Xiangtianzhong Technology Co.,Ltd), XTZ-220805-03 8PM</v>
          </cell>
          <cell r="W824" t="str">
            <v>CN</v>
          </cell>
          <cell r="Y824">
            <v>0</v>
          </cell>
          <cell r="Z824" t="str">
            <v>Cancelled</v>
          </cell>
          <cell r="AA824" t="str">
            <v>Cancelled</v>
          </cell>
        </row>
        <row r="826">
          <cell r="C826" t="str">
            <v>LE000KIB</v>
          </cell>
          <cell r="D826" t="str">
            <v>Optic_Lens</v>
          </cell>
          <cell r="E826" t="str">
            <v>BIS, BOS, BJS</v>
          </cell>
          <cell r="M826" t="str">
            <v>S</v>
          </cell>
          <cell r="Q826" t="str">
            <v>pc</v>
          </cell>
          <cell r="S826">
            <v>6</v>
          </cell>
          <cell r="U826">
            <v>0.31900000000000001</v>
          </cell>
          <cell r="V826" t="str">
            <v>Symmetric Lens, 29mm Diameter, 16.4mm Height, 10°x10° Beam Angle, KingBrite Technology Co.,Ltd, KB-Y29-10P-XP</v>
          </cell>
          <cell r="W826" t="str">
            <v>CN</v>
          </cell>
          <cell r="Y826">
            <v>0.28999999999999998</v>
          </cell>
          <cell r="Z826">
            <v>1.35</v>
          </cell>
          <cell r="AA826">
            <v>1.4</v>
          </cell>
        </row>
        <row r="827">
          <cell r="C827" t="str">
            <v>LE001KIB</v>
          </cell>
          <cell r="D827" t="str">
            <v>Optic_Lens</v>
          </cell>
          <cell r="E827" t="str">
            <v>BIS, BOS, BJS</v>
          </cell>
          <cell r="M827" t="str">
            <v>N</v>
          </cell>
          <cell r="Q827" t="str">
            <v>pc</v>
          </cell>
          <cell r="S827">
            <v>6</v>
          </cell>
          <cell r="U827">
            <v>0.29700000000000004</v>
          </cell>
          <cell r="V827" t="str">
            <v>Symmetric Lens, 29mm Diameter, 16.4mm Height, 20°x20° Beam Angle, KingBrite Technology Co.,Ltd, KB-Y29-20P-XP</v>
          </cell>
          <cell r="W827" t="str">
            <v>CN</v>
          </cell>
          <cell r="Y827">
            <v>0.27</v>
          </cell>
          <cell r="Z827">
            <v>1.35</v>
          </cell>
          <cell r="AA827">
            <v>1.4</v>
          </cell>
        </row>
        <row r="828">
          <cell r="C828" t="str">
            <v>LE002KIB</v>
          </cell>
          <cell r="D828" t="str">
            <v>Optic_Lens</v>
          </cell>
          <cell r="E828" t="str">
            <v>BIS, BOS, BJS</v>
          </cell>
          <cell r="M828" t="str">
            <v>M</v>
          </cell>
          <cell r="Q828" t="str">
            <v>pc</v>
          </cell>
          <cell r="S828">
            <v>6</v>
          </cell>
          <cell r="U828">
            <v>0.29700000000000004</v>
          </cell>
          <cell r="V828" t="str">
            <v>Symmetric Lens, 29mm Diameter, 16.4mm Height, 28°x28° Beam Angle, KingBrite Technology Co.,Ltd, KB-Y29-40P-XP</v>
          </cell>
          <cell r="W828" t="str">
            <v>CN</v>
          </cell>
          <cell r="Y828">
            <v>0.27</v>
          </cell>
          <cell r="Z828">
            <v>1.35</v>
          </cell>
          <cell r="AA828">
            <v>1.4</v>
          </cell>
        </row>
        <row r="829">
          <cell r="C829" t="str">
            <v>LE003KIB</v>
          </cell>
          <cell r="D829" t="str">
            <v>Optic_Lens</v>
          </cell>
          <cell r="E829" t="str">
            <v>BIS, BOS, BJS</v>
          </cell>
          <cell r="M829" t="str">
            <v>F</v>
          </cell>
          <cell r="Q829" t="str">
            <v>pc</v>
          </cell>
          <cell r="S829">
            <v>6</v>
          </cell>
          <cell r="U829">
            <v>0.29700000000000004</v>
          </cell>
          <cell r="V829" t="str">
            <v>Symmetric Lens, 29mm Diameter, 16.4mm Height, 50°x50° Beam Angle, KingBrite Technology Co.,Ltd, KB-H29-50P-XML</v>
          </cell>
          <cell r="W829" t="str">
            <v>CN</v>
          </cell>
          <cell r="Y829">
            <v>0.27</v>
          </cell>
          <cell r="Z829">
            <v>1.35</v>
          </cell>
          <cell r="AA829">
            <v>1.4</v>
          </cell>
        </row>
        <row r="830">
          <cell r="C830" t="str">
            <v>LE008KIB</v>
          </cell>
          <cell r="D830" t="str">
            <v>Optic_Lens</v>
          </cell>
          <cell r="E830" t="str">
            <v>BIS, BOS, BJS</v>
          </cell>
          <cell r="M830" t="str">
            <v>E</v>
          </cell>
          <cell r="Q830" t="str">
            <v>pc</v>
          </cell>
          <cell r="S830">
            <v>6</v>
          </cell>
          <cell r="U830">
            <v>0.31900000000000001</v>
          </cell>
          <cell r="V830" t="str">
            <v>Symmetric Lens, 29mm Diameter, 16.4mm Height, 10°x28° Beam Angle, KingBrite Technology Co.,Ltd, KB-Y29-1030-XP</v>
          </cell>
          <cell r="W830" t="str">
            <v>CN</v>
          </cell>
          <cell r="Y830">
            <v>0.28999999999999998</v>
          </cell>
          <cell r="Z830">
            <v>1.35</v>
          </cell>
          <cell r="AA830">
            <v>1.4</v>
          </cell>
        </row>
        <row r="831">
          <cell r="C831" t="str">
            <v>LE004KIB</v>
          </cell>
          <cell r="D831" t="str">
            <v>Optic_Lens</v>
          </cell>
          <cell r="E831" t="str">
            <v>BIS, BOS, BJS</v>
          </cell>
          <cell r="M831" t="str">
            <v>G</v>
          </cell>
          <cell r="Q831" t="str">
            <v>pc</v>
          </cell>
          <cell r="S831">
            <v>6</v>
          </cell>
          <cell r="U831">
            <v>0.31900000000000001</v>
          </cell>
          <cell r="V831" t="str">
            <v>Elliptical Lens, 29mm Diameter, 16.4mm Height, 10°x36° Beam Angle, KingBrite Technology Co.,Ltd, KB-Y29-1045-XP</v>
          </cell>
          <cell r="W831" t="str">
            <v>CN</v>
          </cell>
          <cell r="Y831">
            <v>0.28999999999999998</v>
          </cell>
          <cell r="Z831">
            <v>1.35</v>
          </cell>
          <cell r="AA831">
            <v>1.4</v>
          </cell>
        </row>
        <row r="832">
          <cell r="C832" t="str">
            <v>LE020KIB</v>
          </cell>
          <cell r="D832" t="str">
            <v>Optic_Lens</v>
          </cell>
          <cell r="E832" t="str">
            <v>BIW, BOW, BJW</v>
          </cell>
          <cell r="M832" t="str">
            <v>G</v>
          </cell>
          <cell r="Q832" t="str">
            <v>pc</v>
          </cell>
          <cell r="S832">
            <v>6</v>
          </cell>
          <cell r="U832">
            <v>0.41800000000000004</v>
          </cell>
          <cell r="V832" t="str">
            <v>Symmetric Lens, 37mm Diameter, 18.8mm Height, 15°x15° Beam Angle, KingBrite Technology Co.,Ltd, KB-H37-15P-XML-R</v>
          </cell>
          <cell r="W832" t="str">
            <v>CN</v>
          </cell>
          <cell r="Y832">
            <v>0.38</v>
          </cell>
          <cell r="Z832">
            <v>1.35</v>
          </cell>
          <cell r="AA832">
            <v>1.4</v>
          </cell>
        </row>
        <row r="833">
          <cell r="C833" t="str">
            <v>LE021KIB</v>
          </cell>
          <cell r="D833" t="str">
            <v>Optic_Lens</v>
          </cell>
          <cell r="E833" t="str">
            <v>BIW, BOW, BJW</v>
          </cell>
          <cell r="M833" t="str">
            <v>W</v>
          </cell>
          <cell r="Q833" t="str">
            <v>pc</v>
          </cell>
          <cell r="S833">
            <v>6</v>
          </cell>
          <cell r="U833">
            <v>0.41800000000000004</v>
          </cell>
          <cell r="V833" t="str">
            <v>Symmetric Lens, 37mm Diameter, 18.8mm Height, 25°x25° Beam Angle, KingBrite Technology Co.,Ltd, KB-H37-25P-XML-R</v>
          </cell>
          <cell r="W833" t="str">
            <v>CN</v>
          </cell>
          <cell r="Y833">
            <v>0.38</v>
          </cell>
          <cell r="Z833">
            <v>1.35</v>
          </cell>
          <cell r="AA833">
            <v>1.4</v>
          </cell>
        </row>
        <row r="834">
          <cell r="C834" t="str">
            <v>LE022LED</v>
          </cell>
          <cell r="D834" t="str">
            <v>Optic_Lens</v>
          </cell>
          <cell r="E834" t="str">
            <v>BXH, BHS, BKH</v>
          </cell>
          <cell r="M834" t="str">
            <v>S</v>
          </cell>
          <cell r="Q834" t="str">
            <v>pc</v>
          </cell>
          <cell r="S834">
            <v>10</v>
          </cell>
          <cell r="U834">
            <v>0.29700000000000004</v>
          </cell>
          <cell r="V834" t="str">
            <v>Symmetric Lens, 16mm Diameter, 9.1mm Height, 15°x15° Beam Angle, Ledlink Optics, Inc., LL01ZZ-HQ15L06-M2</v>
          </cell>
          <cell r="W834" t="str">
            <v>CN</v>
          </cell>
          <cell r="Y834">
            <v>0.27</v>
          </cell>
          <cell r="Z834">
            <v>1.35</v>
          </cell>
          <cell r="AA834">
            <v>1.4</v>
          </cell>
        </row>
        <row r="835">
          <cell r="C835" t="str">
            <v>LE023LED</v>
          </cell>
          <cell r="D835" t="str">
            <v>Optic_Lens</v>
          </cell>
          <cell r="E835" t="str">
            <v>BXH, BHS, BKH</v>
          </cell>
          <cell r="M835" t="str">
            <v>N</v>
          </cell>
          <cell r="Q835" t="str">
            <v>pc</v>
          </cell>
          <cell r="S835">
            <v>10</v>
          </cell>
          <cell r="U835">
            <v>0.37400000000000005</v>
          </cell>
          <cell r="V835" t="str">
            <v>Symmetric Lens, 16mm Diameter, 9.1mm Height, 25°x25° Beam Angle, Ledlink Optics, Inc., LL01ZZ-HQ25L06-M2</v>
          </cell>
          <cell r="W835" t="str">
            <v>CN</v>
          </cell>
          <cell r="Y835">
            <v>0.34</v>
          </cell>
          <cell r="Z835">
            <v>1.35</v>
          </cell>
          <cell r="AA835">
            <v>1.4</v>
          </cell>
        </row>
        <row r="836">
          <cell r="C836" t="str">
            <v>LE025LED</v>
          </cell>
          <cell r="D836" t="str">
            <v>Optic_Lens</v>
          </cell>
          <cell r="E836" t="str">
            <v>BXH, BHS, BKH</v>
          </cell>
          <cell r="M836" t="str">
            <v>M</v>
          </cell>
          <cell r="Q836" t="str">
            <v>pc</v>
          </cell>
          <cell r="S836">
            <v>10</v>
          </cell>
          <cell r="U836">
            <v>0.33</v>
          </cell>
          <cell r="V836" t="str">
            <v>Symmetric Lens, 16mm Diameter, 9.1mm Height, 35°x35° Beam Angle, Ledlink Optics, Inc., LL01ZZ-HQ30L06-M2</v>
          </cell>
          <cell r="W836" t="str">
            <v>CN</v>
          </cell>
          <cell r="Y836">
            <v>0.3</v>
          </cell>
          <cell r="Z836">
            <v>1.35</v>
          </cell>
          <cell r="AA836">
            <v>1.4</v>
          </cell>
        </row>
        <row r="837">
          <cell r="C837" t="str">
            <v>LE026LED</v>
          </cell>
          <cell r="D837" t="str">
            <v>Optic_Lens</v>
          </cell>
          <cell r="E837" t="str">
            <v>BXH, BHS, BKH</v>
          </cell>
          <cell r="M837" t="str">
            <v>F</v>
          </cell>
          <cell r="Q837" t="str">
            <v>pc</v>
          </cell>
          <cell r="S837">
            <v>10</v>
          </cell>
          <cell r="U837">
            <v>0.33</v>
          </cell>
          <cell r="V837" t="str">
            <v>Symmetric Lens, 16mm Diameter, 9.1mm Height, 60°x60° Beam Angle, Ledlink Optics, Inc., LL01ZZ-HQ60L06-M2</v>
          </cell>
          <cell r="W837" t="str">
            <v>CN</v>
          </cell>
          <cell r="Y837">
            <v>0.3</v>
          </cell>
          <cell r="Z837">
            <v>1.35</v>
          </cell>
          <cell r="AA837">
            <v>1.4</v>
          </cell>
        </row>
        <row r="838">
          <cell r="C838" t="str">
            <v>LE026LED</v>
          </cell>
          <cell r="D838" t="str">
            <v>Optic_Lens</v>
          </cell>
          <cell r="E838" t="str">
            <v>BXH, BHS, BKH</v>
          </cell>
          <cell r="M838" t="str">
            <v>W</v>
          </cell>
          <cell r="Q838" t="str">
            <v>pc</v>
          </cell>
          <cell r="S838">
            <v>10</v>
          </cell>
          <cell r="U838">
            <v>0.33</v>
          </cell>
          <cell r="V838" t="str">
            <v>Symmetric Lens, 16mm Diameter, 9.1mm Height, 60°x60° Beam Angle, Ledlink Optics, Inc., LL01ZZ-HQ60L06-M2</v>
          </cell>
          <cell r="W838" t="str">
            <v>CN</v>
          </cell>
          <cell r="Y838">
            <v>0.3</v>
          </cell>
          <cell r="Z838">
            <v>1.35</v>
          </cell>
          <cell r="AA838">
            <v>1.4</v>
          </cell>
        </row>
        <row r="839">
          <cell r="C839" t="str">
            <v>LE033LDL</v>
          </cell>
          <cell r="D839" t="str">
            <v>Optic_Lens</v>
          </cell>
          <cell r="E839" t="str">
            <v>BXH, BHS, BKH</v>
          </cell>
          <cell r="M839" t="str">
            <v>A</v>
          </cell>
          <cell r="Q839" t="str">
            <v>pc</v>
          </cell>
          <cell r="S839">
            <v>10</v>
          </cell>
          <cell r="U839">
            <v>0.37400000000000005</v>
          </cell>
          <cell r="V839" t="str">
            <v>Asymmetric Lens, 16mm Diameter, 10mm Height, 10°x40° Beam Angle, Ledil, CA15365_TINA2-O-WAS</v>
          </cell>
          <cell r="W839" t="str">
            <v>CN</v>
          </cell>
          <cell r="Y839">
            <v>0.34</v>
          </cell>
          <cell r="Z839">
            <v>1.35</v>
          </cell>
          <cell r="AA839">
            <v>1.4</v>
          </cell>
        </row>
        <row r="840">
          <cell r="C840" t="str">
            <v>LE027LED</v>
          </cell>
          <cell r="D840" t="str">
            <v>Optic_Lens</v>
          </cell>
          <cell r="E840" t="str">
            <v>BXH, BHS, BKH</v>
          </cell>
          <cell r="M840" t="str">
            <v>E</v>
          </cell>
          <cell r="Q840" t="str">
            <v>pc</v>
          </cell>
          <cell r="S840">
            <v>10</v>
          </cell>
          <cell r="U840">
            <v>0.33</v>
          </cell>
          <cell r="V840" t="str">
            <v>Elliptical Lens, 16mm Diameter, 9.1mm Height, 25°x45° Beam Angle, Ledlink Optics, Inc., LL01ZZ-HQ2545L06-M2</v>
          </cell>
          <cell r="W840" t="str">
            <v>CN</v>
          </cell>
          <cell r="Y840">
            <v>0.3</v>
          </cell>
          <cell r="Z840">
            <v>1.35</v>
          </cell>
          <cell r="AA840">
            <v>1.4</v>
          </cell>
        </row>
        <row r="841">
          <cell r="C841" t="str">
            <v>LE000KIB</v>
          </cell>
          <cell r="D841" t="str">
            <v>Optic_Lens</v>
          </cell>
          <cell r="E841" t="str">
            <v>BIS, BOS, BJS</v>
          </cell>
          <cell r="H841" t="str">
            <v>18,30,42,54</v>
          </cell>
          <cell r="M841" t="str">
            <v>S</v>
          </cell>
          <cell r="Q841" t="str">
            <v>pc</v>
          </cell>
          <cell r="T841">
            <v>3</v>
          </cell>
          <cell r="U841">
            <v>0.31900000000000001</v>
          </cell>
          <cell r="V841" t="str">
            <v>Symmetric Lens, 29mm Diameter, 16.4mm Height, 10°x10° Beam Angle, KingBrite Technology Co.,Ltd, KB-Y29-10P-XP</v>
          </cell>
          <cell r="W841" t="str">
            <v>CN</v>
          </cell>
          <cell r="Y841">
            <v>0.28999999999999998</v>
          </cell>
          <cell r="Z841">
            <v>1.35</v>
          </cell>
          <cell r="AA841">
            <v>1.4</v>
          </cell>
        </row>
        <row r="842">
          <cell r="C842" t="str">
            <v>LE001KIB</v>
          </cell>
          <cell r="D842" t="str">
            <v>Optic_Lens</v>
          </cell>
          <cell r="E842" t="str">
            <v>BIS, BOS, BJS</v>
          </cell>
          <cell r="H842" t="str">
            <v>18,30,42,54</v>
          </cell>
          <cell r="M842" t="str">
            <v>N</v>
          </cell>
          <cell r="Q842" t="str">
            <v>pc</v>
          </cell>
          <cell r="T842">
            <v>3</v>
          </cell>
          <cell r="U842">
            <v>0.29700000000000004</v>
          </cell>
          <cell r="V842" t="str">
            <v>Symmetric Lens, 29mm Diameter, 16.4mm Height, 20°x20° Beam Angle, KingBrite Technology Co.,Ltd, KB-Y29-20P-XP</v>
          </cell>
          <cell r="W842" t="str">
            <v>CN</v>
          </cell>
          <cell r="Y842">
            <v>0.27</v>
          </cell>
          <cell r="Z842">
            <v>1.35</v>
          </cell>
          <cell r="AA842">
            <v>1.4</v>
          </cell>
        </row>
        <row r="843">
          <cell r="C843" t="str">
            <v>LE002KIB</v>
          </cell>
          <cell r="D843" t="str">
            <v>Optic_Lens</v>
          </cell>
          <cell r="E843" t="str">
            <v>BIS, BOS, BJS</v>
          </cell>
          <cell r="H843" t="str">
            <v>18,30,42,54</v>
          </cell>
          <cell r="M843" t="str">
            <v>M</v>
          </cell>
          <cell r="Q843" t="str">
            <v>pc</v>
          </cell>
          <cell r="T843">
            <v>3</v>
          </cell>
          <cell r="U843">
            <v>0.29700000000000004</v>
          </cell>
          <cell r="V843" t="str">
            <v>Symmetric Lens, 29mm Diameter, 16.4mm Height, 28°x28° Beam Angle, KingBrite Technology Co.,Ltd, KB-Y29-40P-XP</v>
          </cell>
          <cell r="W843" t="str">
            <v>CN</v>
          </cell>
          <cell r="Y843">
            <v>0.27</v>
          </cell>
          <cell r="Z843">
            <v>1.35</v>
          </cell>
          <cell r="AA843">
            <v>1.4</v>
          </cell>
        </row>
        <row r="844">
          <cell r="C844" t="str">
            <v>LE003KIB</v>
          </cell>
          <cell r="D844" t="str">
            <v>Optic_Lens</v>
          </cell>
          <cell r="E844" t="str">
            <v>BIS, BOS, BJS</v>
          </cell>
          <cell r="H844" t="str">
            <v>18,30,42,54</v>
          </cell>
          <cell r="M844" t="str">
            <v>F</v>
          </cell>
          <cell r="Q844" t="str">
            <v>pc</v>
          </cell>
          <cell r="T844">
            <v>3</v>
          </cell>
          <cell r="U844">
            <v>0.29700000000000004</v>
          </cell>
          <cell r="V844" t="str">
            <v>Symmetric Lens, 29mm Diameter, 16.4mm Height, 50°x50° Beam Angle, KingBrite Technology Co.,Ltd, KB-H29-50P-XML</v>
          </cell>
          <cell r="W844" t="str">
            <v>CN</v>
          </cell>
          <cell r="Y844">
            <v>0.27</v>
          </cell>
          <cell r="Z844">
            <v>1.35</v>
          </cell>
          <cell r="AA844">
            <v>1.4</v>
          </cell>
        </row>
        <row r="845">
          <cell r="C845" t="str">
            <v>LE008KIB</v>
          </cell>
          <cell r="D845" t="str">
            <v>Optic_Lens</v>
          </cell>
          <cell r="E845" t="str">
            <v>BIS, BOS, BJS</v>
          </cell>
          <cell r="H845" t="str">
            <v>18,30,42,54</v>
          </cell>
          <cell r="M845" t="str">
            <v>E</v>
          </cell>
          <cell r="Q845" t="str">
            <v>pc</v>
          </cell>
          <cell r="T845">
            <v>3</v>
          </cell>
          <cell r="U845">
            <v>0.31900000000000001</v>
          </cell>
          <cell r="V845" t="str">
            <v>Symmetric Lens, 29mm Diameter, 16.4mm Height, 10°x28° Beam Angle, KingBrite Technology Co.,Ltd, KB-Y29-1030-XP</v>
          </cell>
          <cell r="W845" t="str">
            <v>CN</v>
          </cell>
          <cell r="Y845">
            <v>0.28999999999999998</v>
          </cell>
          <cell r="Z845">
            <v>1.35</v>
          </cell>
          <cell r="AA845">
            <v>1.4</v>
          </cell>
        </row>
        <row r="846">
          <cell r="C846" t="str">
            <v>LE004KIB</v>
          </cell>
          <cell r="D846" t="str">
            <v>Optic_Lens</v>
          </cell>
          <cell r="E846" t="str">
            <v>BIS, BOS, BJS</v>
          </cell>
          <cell r="H846" t="str">
            <v>18,30,42,54</v>
          </cell>
          <cell r="M846" t="str">
            <v>G</v>
          </cell>
          <cell r="Q846" t="str">
            <v>pc</v>
          </cell>
          <cell r="T846">
            <v>3</v>
          </cell>
          <cell r="U846">
            <v>0.31900000000000001</v>
          </cell>
          <cell r="V846" t="str">
            <v>Elliptical Lens, 29mm Diameter, 16.4mm Height, 10°x36° Beam Angle, KingBrite Technology Co.,Ltd, KB-Y29-1045-XP</v>
          </cell>
          <cell r="W846" t="str">
            <v>CN</v>
          </cell>
          <cell r="Y846">
            <v>0.28999999999999998</v>
          </cell>
          <cell r="Z846">
            <v>1.35</v>
          </cell>
          <cell r="AA846">
            <v>1.4</v>
          </cell>
        </row>
        <row r="847">
          <cell r="C847" t="str">
            <v>LE020KIB</v>
          </cell>
          <cell r="D847" t="str">
            <v>Optic_Lens</v>
          </cell>
          <cell r="E847" t="str">
            <v>BIW, BOW, BJW</v>
          </cell>
          <cell r="H847" t="str">
            <v>18,30,42,54</v>
          </cell>
          <cell r="M847" t="str">
            <v>G</v>
          </cell>
          <cell r="Q847" t="str">
            <v>pc</v>
          </cell>
          <cell r="T847">
            <v>3</v>
          </cell>
          <cell r="U847">
            <v>0.41800000000000004</v>
          </cell>
          <cell r="V847" t="str">
            <v>Symmetric Lens, 37mm Diameter, 18.8mm Height, 15°x15° Beam Angle, KingBrite Technology Co.,Ltd, KB-H37-15P-XML-R</v>
          </cell>
          <cell r="W847" t="str">
            <v>CN</v>
          </cell>
          <cell r="Y847">
            <v>0.38</v>
          </cell>
          <cell r="Z847">
            <v>1.35</v>
          </cell>
          <cell r="AA847">
            <v>1.4</v>
          </cell>
        </row>
        <row r="848">
          <cell r="C848" t="str">
            <v>LE021KIB</v>
          </cell>
          <cell r="D848" t="str">
            <v>Optic_Lens</v>
          </cell>
          <cell r="E848" t="str">
            <v>BOP</v>
          </cell>
          <cell r="H848">
            <v>6</v>
          </cell>
          <cell r="M848" t="str">
            <v>P</v>
          </cell>
          <cell r="Q848" t="str">
            <v>pc</v>
          </cell>
          <cell r="T848">
            <v>3</v>
          </cell>
          <cell r="U848">
            <v>0.41800000000000004</v>
          </cell>
          <cell r="V848" t="str">
            <v>Symmetric Lens, 37mm Diameter, 18.8mm Height, 25°x25° Beam Angle, KingBrite Technology Co.,Ltd, KB-H37-25P-XML-R</v>
          </cell>
          <cell r="W848" t="str">
            <v>CN</v>
          </cell>
          <cell r="Y848">
            <v>0.38</v>
          </cell>
          <cell r="Z848">
            <v>1.35</v>
          </cell>
          <cell r="AA848">
            <v>1.4</v>
          </cell>
        </row>
        <row r="849">
          <cell r="C849" t="str">
            <v>LE021KIB</v>
          </cell>
          <cell r="D849" t="str">
            <v>Optic_Lens</v>
          </cell>
          <cell r="E849" t="str">
            <v>BIW, BOW, BJW</v>
          </cell>
          <cell r="H849" t="str">
            <v>18,30,42,54</v>
          </cell>
          <cell r="M849" t="str">
            <v>W</v>
          </cell>
          <cell r="Q849" t="str">
            <v>pc</v>
          </cell>
          <cell r="T849">
            <v>3</v>
          </cell>
          <cell r="U849">
            <v>0.41800000000000004</v>
          </cell>
          <cell r="V849" t="str">
            <v>Symmetric Lens, 37mm Diameter, 18.8mm Height, 25°x25° Beam Angle, KingBrite Technology Co.,Ltd, KB-H37-25P-XML-R</v>
          </cell>
          <cell r="W849" t="str">
            <v>CN</v>
          </cell>
          <cell r="Y849">
            <v>0.38</v>
          </cell>
          <cell r="Z849">
            <v>1.35</v>
          </cell>
          <cell r="AA849">
            <v>1.4</v>
          </cell>
        </row>
        <row r="851">
          <cell r="C851" t="str">
            <v>DI000GIP</v>
          </cell>
          <cell r="D851" t="str">
            <v>Optic_Diffuser</v>
          </cell>
          <cell r="E851" t="str">
            <v>BHO, BOO</v>
          </cell>
          <cell r="L851" t="str">
            <v>O</v>
          </cell>
          <cell r="M851" t="str">
            <v>L</v>
          </cell>
          <cell r="Q851" t="str">
            <v>linear</v>
          </cell>
          <cell r="S851">
            <v>300</v>
          </cell>
          <cell r="T851">
            <v>1</v>
          </cell>
          <cell r="U851">
            <v>1.0449999999999999</v>
          </cell>
          <cell r="V851" t="str">
            <v>Indoor Diffuser, Plastic Extrusion, Linear Meter, 50mm Width, Opal 120°, BL-505, GI PLAST Srl, 37PE59LPMSOPM</v>
          </cell>
          <cell r="Y851">
            <v>0.95</v>
          </cell>
          <cell r="Z851">
            <v>1.34</v>
          </cell>
          <cell r="AA851">
            <v>1.86</v>
          </cell>
        </row>
        <row r="853">
          <cell r="C853" t="str">
            <v>DI000GIP</v>
          </cell>
          <cell r="D853" t="str">
            <v>Optic_Diffuser</v>
          </cell>
          <cell r="E853" t="str">
            <v>BIO, BKO, BJO</v>
          </cell>
          <cell r="M853" t="str">
            <v>L</v>
          </cell>
          <cell r="Q853" t="str">
            <v>linear</v>
          </cell>
          <cell r="S853">
            <v>300</v>
          </cell>
          <cell r="U853">
            <v>1.0449999999999999</v>
          </cell>
          <cell r="V853" t="str">
            <v>Indoor Diffuser, Plastic Extrusion, Linear Meter, 50mm Width, Opal 120°, BL-505, GI PLAST Srl, 37PE59LPMSOPM</v>
          </cell>
          <cell r="W853" t="str">
            <v>CN</v>
          </cell>
          <cell r="Y853">
            <v>0.95</v>
          </cell>
          <cell r="Z853">
            <v>1.34</v>
          </cell>
          <cell r="AA853">
            <v>1.86</v>
          </cell>
        </row>
        <row r="854">
          <cell r="C854" t="str">
            <v>DI000GIP</v>
          </cell>
          <cell r="D854" t="str">
            <v>Optic_Diffuser</v>
          </cell>
          <cell r="E854" t="str">
            <v>BIO, BOO, BKO, BJO</v>
          </cell>
          <cell r="M854" t="str">
            <v>A,E</v>
          </cell>
          <cell r="Q854" t="str">
            <v>linear</v>
          </cell>
          <cell r="S854">
            <v>300</v>
          </cell>
          <cell r="U854">
            <v>0</v>
          </cell>
          <cell r="V854" t="str">
            <v>Opal Sheet Clear</v>
          </cell>
          <cell r="W854" t="str">
            <v>CN</v>
          </cell>
          <cell r="Y854">
            <v>0</v>
          </cell>
          <cell r="Z854">
            <v>1.34</v>
          </cell>
          <cell r="AA854">
            <v>1.86</v>
          </cell>
        </row>
        <row r="855">
          <cell r="D855" t="str">
            <v>Optic_Reflector</v>
          </cell>
          <cell r="E855" t="str">
            <v>BIS, BOS, BJS</v>
          </cell>
          <cell r="L855" t="str">
            <v>.</v>
          </cell>
          <cell r="Q855" t="str">
            <v>pc</v>
          </cell>
          <cell r="S855">
            <v>1</v>
          </cell>
          <cell r="U855">
            <v>0</v>
          </cell>
          <cell r="W855" t="str">
            <v>CN</v>
          </cell>
          <cell r="Y855">
            <v>0</v>
          </cell>
          <cell r="Z855">
            <v>1.34</v>
          </cell>
          <cell r="AA855">
            <v>1.76</v>
          </cell>
        </row>
        <row r="856">
          <cell r="C856" t="str">
            <v>LR003BLD</v>
          </cell>
          <cell r="D856" t="str">
            <v>Optic_Reflector</v>
          </cell>
          <cell r="E856" t="str">
            <v>BIS, BOS, BJS</v>
          </cell>
          <cell r="L856" t="str">
            <v>C</v>
          </cell>
          <cell r="Q856" t="str">
            <v>pc</v>
          </cell>
          <cell r="S856">
            <v>1</v>
          </cell>
          <cell r="U856">
            <v>2.0350000000000001</v>
          </cell>
          <cell r="V856" t="str">
            <v>Linear Symmetric Reflector, Specular Chrome Color, 300mm Length, 50mm Width, Bold Lighting LLC, 17-Sym, DK-300*50-REF-SYM-BL-BK-BC-D1</v>
          </cell>
          <cell r="W856" t="str">
            <v>CN</v>
          </cell>
          <cell r="Y856">
            <v>1.85</v>
          </cell>
          <cell r="Z856">
            <v>1.34</v>
          </cell>
          <cell r="AA856">
            <v>1.76</v>
          </cell>
        </row>
        <row r="857">
          <cell r="C857" t="str">
            <v>LR002BLD</v>
          </cell>
          <cell r="D857" t="str">
            <v>Optic_Reflector</v>
          </cell>
          <cell r="E857" t="str">
            <v>BIS, BOS, BJS</v>
          </cell>
          <cell r="L857" t="str">
            <v>N</v>
          </cell>
          <cell r="Q857" t="str">
            <v>pc</v>
          </cell>
          <cell r="S857">
            <v>1</v>
          </cell>
          <cell r="U857">
            <v>1.7380000000000002</v>
          </cell>
          <cell r="V857" t="str">
            <v>Linear Symmetric Reflector, Black Nickel Color, 300mm Length, 50mm Width, Bold Lighting LLC, 17-Sym, DK-300*50-REF-SYM-BL-BK-GM-1-D1</v>
          </cell>
          <cell r="W857" t="str">
            <v>CN</v>
          </cell>
          <cell r="Y857">
            <v>1.58</v>
          </cell>
          <cell r="Z857">
            <v>1.34</v>
          </cell>
          <cell r="AA857">
            <v>1.76</v>
          </cell>
        </row>
        <row r="858">
          <cell r="C858" t="str">
            <v>LR001BLD</v>
          </cell>
          <cell r="D858" t="str">
            <v>Optic_Reflector</v>
          </cell>
          <cell r="E858" t="str">
            <v>BIS, BOS, BJS</v>
          </cell>
          <cell r="L858" t="str">
            <v>B</v>
          </cell>
          <cell r="Q858" t="str">
            <v>pc</v>
          </cell>
          <cell r="S858">
            <v>1</v>
          </cell>
          <cell r="U858">
            <v>2.0350000000000001</v>
          </cell>
          <cell r="V858" t="str">
            <v>Linear Symmetric Reflector, Black Color, 300mm Length, 50mm Width, Bold Lighting LLC, 17-Sym, DK-300*50-REF-SYM-BL-BK-MABK-PQ1</v>
          </cell>
          <cell r="W858" t="str">
            <v>CN</v>
          </cell>
          <cell r="Y858">
            <v>1.85</v>
          </cell>
          <cell r="Z858">
            <v>1.34</v>
          </cell>
          <cell r="AA858">
            <v>1.76</v>
          </cell>
        </row>
        <row r="859">
          <cell r="D859" t="str">
            <v>Optic_Reflector</v>
          </cell>
          <cell r="E859" t="str">
            <v>BIS, BOS, BJS</v>
          </cell>
          <cell r="L859" t="str">
            <v>.</v>
          </cell>
          <cell r="Q859" t="str">
            <v>pc</v>
          </cell>
          <cell r="S859">
            <v>1</v>
          </cell>
          <cell r="U859">
            <v>0</v>
          </cell>
          <cell r="W859" t="str">
            <v>CN</v>
          </cell>
          <cell r="Y859">
            <v>0</v>
          </cell>
          <cell r="Z859">
            <v>1.34</v>
          </cell>
          <cell r="AA859">
            <v>1.76</v>
          </cell>
        </row>
        <row r="860">
          <cell r="D860" t="str">
            <v>Optic_Reflector</v>
          </cell>
          <cell r="E860" t="str">
            <v>BIS, BOS, BJS</v>
          </cell>
          <cell r="L860" t="str">
            <v>.</v>
          </cell>
          <cell r="Q860" t="str">
            <v>pc</v>
          </cell>
          <cell r="S860">
            <v>1</v>
          </cell>
          <cell r="U860">
            <v>0</v>
          </cell>
          <cell r="W860" t="str">
            <v>CN</v>
          </cell>
          <cell r="Y860">
            <v>0</v>
          </cell>
          <cell r="Z860">
            <v>1.34</v>
          </cell>
          <cell r="AA860">
            <v>1.76</v>
          </cell>
        </row>
        <row r="861">
          <cell r="C861" t="str">
            <v>LR004BLD</v>
          </cell>
          <cell r="D861" t="str">
            <v>Optic_Reflector</v>
          </cell>
          <cell r="E861" t="str">
            <v>BIS, BOS, BJS</v>
          </cell>
          <cell r="L861" t="str">
            <v>G</v>
          </cell>
          <cell r="Q861" t="str">
            <v>pc</v>
          </cell>
          <cell r="S861">
            <v>1</v>
          </cell>
          <cell r="U861">
            <v>1.7270000000000003</v>
          </cell>
          <cell r="V861" t="str">
            <v>Linear Symmetric Reflector, Bright Gold Color, 300mm Length, 50mm Width, Bold Lighting LLC, 17-Sym, DK-300*50-REF-SYM-BL-WT-GD-D1</v>
          </cell>
          <cell r="W861" t="str">
            <v>CN</v>
          </cell>
          <cell r="Y861">
            <v>1.57</v>
          </cell>
          <cell r="Z861">
            <v>1.34</v>
          </cell>
          <cell r="AA861">
            <v>1.76</v>
          </cell>
        </row>
        <row r="862">
          <cell r="C862" t="str">
            <v>LR000BLD</v>
          </cell>
          <cell r="D862" t="str">
            <v>Optic_Reflector</v>
          </cell>
          <cell r="E862" t="str">
            <v>BIS, BOS, BJS</v>
          </cell>
          <cell r="L862" t="str">
            <v>W</v>
          </cell>
          <cell r="Q862" t="str">
            <v>pc</v>
          </cell>
          <cell r="S862">
            <v>1</v>
          </cell>
          <cell r="U862">
            <v>2.0240000000000005</v>
          </cell>
          <cell r="V862" t="str">
            <v>Linear Symmetric Reflector, White Color, 300mm Length, 50mm Width, Bold Lighting LLC, 17-Sym, DK-300*50-REF-SYM-BL-WT-MAWT-PQ1</v>
          </cell>
          <cell r="W862" t="str">
            <v>CN</v>
          </cell>
          <cell r="Y862">
            <v>1.84</v>
          </cell>
          <cell r="Z862">
            <v>1.34</v>
          </cell>
          <cell r="AA862">
            <v>1.76</v>
          </cell>
        </row>
        <row r="863">
          <cell r="D863" t="str">
            <v>Optic_Reflector</v>
          </cell>
          <cell r="E863" t="str">
            <v>BIS, BOS, BJS</v>
          </cell>
          <cell r="H863" t="str">
            <v>18,30,42,54</v>
          </cell>
          <cell r="L863" t="str">
            <v>.</v>
          </cell>
          <cell r="Q863" t="str">
            <v>pc</v>
          </cell>
          <cell r="T863">
            <v>1</v>
          </cell>
          <cell r="U863">
            <v>0</v>
          </cell>
          <cell r="W863" t="str">
            <v>CN</v>
          </cell>
          <cell r="Y863">
            <v>0</v>
          </cell>
          <cell r="Z863">
            <v>1.34</v>
          </cell>
          <cell r="AA863">
            <v>1.76</v>
          </cell>
        </row>
        <row r="864">
          <cell r="C864" t="str">
            <v>LR008BLD</v>
          </cell>
          <cell r="D864" t="str">
            <v>Optic_Reflector</v>
          </cell>
          <cell r="E864" t="str">
            <v>BIS, BOS, BJS</v>
          </cell>
          <cell r="H864" t="str">
            <v>18,30,42,54</v>
          </cell>
          <cell r="L864" t="str">
            <v>C</v>
          </cell>
          <cell r="Q864" t="str">
            <v>pc</v>
          </cell>
          <cell r="T864">
            <v>1</v>
          </cell>
          <cell r="U864">
            <v>1.54</v>
          </cell>
          <cell r="V864" t="str">
            <v>Linear Symmetric Reflector, Specular Chrome Color, 150mm Length, 50mm Width, Bold Lighting LLC, 17-Sym-1.5, DK-150*50-REF-SYM-BL-BK-BC-D1</v>
          </cell>
          <cell r="W864" t="str">
            <v>CN</v>
          </cell>
          <cell r="Y864">
            <v>1.4</v>
          </cell>
          <cell r="Z864">
            <v>1.34</v>
          </cell>
          <cell r="AA864">
            <v>1.76</v>
          </cell>
        </row>
        <row r="865">
          <cell r="C865" t="str">
            <v>LR007BLD</v>
          </cell>
          <cell r="D865" t="str">
            <v>Optic_Reflector</v>
          </cell>
          <cell r="E865" t="str">
            <v>BIS, BOS, BJS</v>
          </cell>
          <cell r="H865" t="str">
            <v>18,30,42,54</v>
          </cell>
          <cell r="L865" t="str">
            <v>N</v>
          </cell>
          <cell r="Q865" t="str">
            <v>pc</v>
          </cell>
          <cell r="T865">
            <v>1</v>
          </cell>
          <cell r="U865">
            <v>1.54</v>
          </cell>
          <cell r="V865" t="str">
            <v>Linear Symmetric Reflector, Black Nickel Color, 150mm Length, 50mm Width, Bold Lighting LLC, 17-Sym-1.5, DK-150*50-REF-SYM-BL-BK-GM-1-D1</v>
          </cell>
          <cell r="W865" t="str">
            <v>CN</v>
          </cell>
          <cell r="Y865">
            <v>1.4</v>
          </cell>
          <cell r="Z865">
            <v>1.34</v>
          </cell>
          <cell r="AA865">
            <v>1.76</v>
          </cell>
        </row>
        <row r="866">
          <cell r="C866" t="str">
            <v>LR006BLD</v>
          </cell>
          <cell r="D866" t="str">
            <v>Optic_Reflector</v>
          </cell>
          <cell r="E866" t="str">
            <v>BIS, BOS, BJS</v>
          </cell>
          <cell r="H866" t="str">
            <v>18,30,42,54</v>
          </cell>
          <cell r="L866" t="str">
            <v>B</v>
          </cell>
          <cell r="Q866" t="str">
            <v>pc</v>
          </cell>
          <cell r="T866">
            <v>1</v>
          </cell>
          <cell r="U866">
            <v>1.54</v>
          </cell>
          <cell r="V866" t="str">
            <v>Linear Symmetric Reflector, Black Color, 150mm Length, 50mm Width, Bold Lighting LLC, 17-Sym-1.5, DK-150*50-REF-SYM-BL-BK-MABK-PQ1</v>
          </cell>
          <cell r="W866" t="str">
            <v>CN</v>
          </cell>
          <cell r="Y866">
            <v>1.4</v>
          </cell>
          <cell r="Z866">
            <v>1.34</v>
          </cell>
          <cell r="AA866">
            <v>1.76</v>
          </cell>
        </row>
        <row r="867">
          <cell r="D867" t="str">
            <v>Optic_Reflector</v>
          </cell>
          <cell r="E867" t="str">
            <v>BIS, BOS, BJS</v>
          </cell>
          <cell r="H867" t="str">
            <v>18,30,42,54</v>
          </cell>
          <cell r="L867" t="str">
            <v>.</v>
          </cell>
          <cell r="Q867" t="str">
            <v>pc</v>
          </cell>
          <cell r="T867">
            <v>1</v>
          </cell>
          <cell r="U867">
            <v>0</v>
          </cell>
          <cell r="W867" t="str">
            <v>CN</v>
          </cell>
          <cell r="Y867">
            <v>0</v>
          </cell>
          <cell r="Z867">
            <v>1.34</v>
          </cell>
          <cell r="AA867">
            <v>1.76</v>
          </cell>
        </row>
        <row r="868">
          <cell r="D868" t="str">
            <v>Optic_Reflector</v>
          </cell>
          <cell r="E868" t="str">
            <v>BIS, BOS, BJS</v>
          </cell>
          <cell r="H868" t="str">
            <v>18,30,42,54</v>
          </cell>
          <cell r="L868" t="str">
            <v>.</v>
          </cell>
          <cell r="Q868" t="str">
            <v>pc</v>
          </cell>
          <cell r="T868">
            <v>1</v>
          </cell>
          <cell r="U868">
            <v>0</v>
          </cell>
          <cell r="W868" t="str">
            <v>CN</v>
          </cell>
          <cell r="Y868">
            <v>0</v>
          </cell>
          <cell r="Z868">
            <v>1.34</v>
          </cell>
          <cell r="AA868">
            <v>1.76</v>
          </cell>
        </row>
        <row r="869">
          <cell r="C869" t="str">
            <v>LR009BLD</v>
          </cell>
          <cell r="D869" t="str">
            <v>Optic_Reflector</v>
          </cell>
          <cell r="E869" t="str">
            <v>BIS, BOS, BJS</v>
          </cell>
          <cell r="H869" t="str">
            <v>18,30,42,54</v>
          </cell>
          <cell r="L869" t="str">
            <v>G</v>
          </cell>
          <cell r="Q869" t="str">
            <v>pc</v>
          </cell>
          <cell r="T869">
            <v>1</v>
          </cell>
          <cell r="U869">
            <v>0.49500000000000005</v>
          </cell>
          <cell r="V869" t="str">
            <v>Linear Symmetric Reflector, Bright Gold Color, 150mm Length, 50mm Width, Bold Lighting LLC, 17-Sym-1.5, DK-150*50-REF-SYM-BL-WT-GD-D1</v>
          </cell>
          <cell r="W869" t="str">
            <v>CN</v>
          </cell>
          <cell r="Y869">
            <v>0.45</v>
          </cell>
          <cell r="Z869">
            <v>1.34</v>
          </cell>
          <cell r="AA869">
            <v>1.76</v>
          </cell>
        </row>
        <row r="870">
          <cell r="C870" t="str">
            <v>LR005BLD</v>
          </cell>
          <cell r="D870" t="str">
            <v>Optic_Reflector</v>
          </cell>
          <cell r="E870" t="str">
            <v>BIS, BOS, BJS</v>
          </cell>
          <cell r="H870" t="str">
            <v>18,30,42,54</v>
          </cell>
          <cell r="L870" t="str">
            <v>W</v>
          </cell>
          <cell r="Q870" t="str">
            <v>pc</v>
          </cell>
          <cell r="T870">
            <v>1</v>
          </cell>
          <cell r="U870">
            <v>0.49500000000000005</v>
          </cell>
          <cell r="V870" t="str">
            <v>Linear Symmetric Reflector, White Color, 150mm Length, 50mm Width, Bold Lighting LLC, 17-Sym-1.5, DK-150*50-REF-SYM-BL-WT-MAWT-PQ1</v>
          </cell>
          <cell r="W870" t="str">
            <v>CN</v>
          </cell>
          <cell r="Y870">
            <v>0.45</v>
          </cell>
          <cell r="Z870">
            <v>1.34</v>
          </cell>
          <cell r="AA870">
            <v>1.76</v>
          </cell>
        </row>
        <row r="871">
          <cell r="D871" t="str">
            <v>Optic_Reflector</v>
          </cell>
          <cell r="E871" t="str">
            <v>BIW, BOW, BJW</v>
          </cell>
          <cell r="L871" t="str">
            <v>.</v>
          </cell>
          <cell r="Q871" t="str">
            <v>pc</v>
          </cell>
          <cell r="S871">
            <v>1</v>
          </cell>
          <cell r="U871">
            <v>0</v>
          </cell>
          <cell r="W871" t="str">
            <v>CN</v>
          </cell>
          <cell r="Y871">
            <v>0</v>
          </cell>
          <cell r="Z871">
            <v>1.34</v>
          </cell>
          <cell r="AA871">
            <v>1.76</v>
          </cell>
        </row>
        <row r="872">
          <cell r="C872" t="str">
            <v>LR013BLD</v>
          </cell>
          <cell r="D872" t="str">
            <v>Optic_Reflector</v>
          </cell>
          <cell r="E872" t="str">
            <v>BIW, BOW, BJW</v>
          </cell>
          <cell r="L872" t="str">
            <v>C</v>
          </cell>
          <cell r="Q872" t="str">
            <v>pc</v>
          </cell>
          <cell r="S872">
            <v>1</v>
          </cell>
          <cell r="U872">
            <v>1.7820000000000003</v>
          </cell>
          <cell r="V872" t="str">
            <v>Linear Washer Reflector, Specular Chrome Color, 300mm Length, 50mm Width, Bold Lighting LLC, 17-WW, DK-300*50-GSZ-H18-BL-BK-BC-D1</v>
          </cell>
          <cell r="W872" t="str">
            <v>CN</v>
          </cell>
          <cell r="Y872">
            <v>1.62</v>
          </cell>
          <cell r="Z872">
            <v>1.34</v>
          </cell>
          <cell r="AA872">
            <v>1.76</v>
          </cell>
        </row>
        <row r="873">
          <cell r="C873" t="str">
            <v>LR012BLD</v>
          </cell>
          <cell r="D873" t="str">
            <v>Optic_Reflector</v>
          </cell>
          <cell r="E873" t="str">
            <v>BIW, BOW, BJW</v>
          </cell>
          <cell r="L873" t="str">
            <v>N</v>
          </cell>
          <cell r="Q873" t="str">
            <v>pc</v>
          </cell>
          <cell r="S873">
            <v>1</v>
          </cell>
          <cell r="U873">
            <v>2.5410000000000004</v>
          </cell>
          <cell r="V873" t="str">
            <v>Linear Washer Reflector, Black Nickel Color, 300mm Length, 50mm Width, Bold Lighting LLC, 17-WW, DK-300*50-GSZ-H18-BL-BK-GM-1-D1</v>
          </cell>
          <cell r="W873" t="str">
            <v>CN</v>
          </cell>
          <cell r="Y873">
            <v>2.31</v>
          </cell>
          <cell r="Z873">
            <v>1.34</v>
          </cell>
          <cell r="AA873">
            <v>1.76</v>
          </cell>
        </row>
        <row r="874">
          <cell r="C874" t="str">
            <v>LR011BLD</v>
          </cell>
          <cell r="D874" t="str">
            <v>Optic_Reflector</v>
          </cell>
          <cell r="E874" t="str">
            <v>BIW, BOW, BJW</v>
          </cell>
          <cell r="L874" t="str">
            <v>B</v>
          </cell>
          <cell r="Q874" t="str">
            <v>pc</v>
          </cell>
          <cell r="S874">
            <v>1</v>
          </cell>
          <cell r="U874">
            <v>2.2549999999999999</v>
          </cell>
          <cell r="V874" t="str">
            <v>Linear Washer Reflector, Black Color, 300mm Length, 50mm Width, Bold Lighting LLC, 17-WW, DK-300*50-GSZ-H18-BL-BK-MABK-PQ1</v>
          </cell>
          <cell r="W874" t="str">
            <v>CN</v>
          </cell>
          <cell r="Y874">
            <v>2.0499999999999998</v>
          </cell>
          <cell r="Z874">
            <v>1.34</v>
          </cell>
          <cell r="AA874">
            <v>1.76</v>
          </cell>
        </row>
        <row r="875">
          <cell r="D875" t="str">
            <v>Optic_Reflector</v>
          </cell>
          <cell r="E875" t="str">
            <v>BIW, BOW, BJW</v>
          </cell>
          <cell r="L875" t="str">
            <v>.</v>
          </cell>
          <cell r="Q875" t="str">
            <v>pc</v>
          </cell>
          <cell r="S875">
            <v>1</v>
          </cell>
          <cell r="U875">
            <v>0</v>
          </cell>
          <cell r="W875" t="str">
            <v>CN</v>
          </cell>
          <cell r="Y875">
            <v>0</v>
          </cell>
          <cell r="Z875">
            <v>1.34</v>
          </cell>
          <cell r="AA875">
            <v>1.76</v>
          </cell>
        </row>
        <row r="876">
          <cell r="D876" t="str">
            <v>Optic_Reflector</v>
          </cell>
          <cell r="E876" t="str">
            <v>BIW, BOW, BJW</v>
          </cell>
          <cell r="L876" t="str">
            <v>.</v>
          </cell>
          <cell r="Q876" t="str">
            <v>pc</v>
          </cell>
          <cell r="S876">
            <v>1</v>
          </cell>
          <cell r="U876">
            <v>0</v>
          </cell>
          <cell r="W876" t="str">
            <v>CN</v>
          </cell>
          <cell r="Y876">
            <v>0</v>
          </cell>
          <cell r="Z876">
            <v>1.34</v>
          </cell>
          <cell r="AA876">
            <v>1.76</v>
          </cell>
        </row>
        <row r="877">
          <cell r="C877" t="str">
            <v>LR014BLD</v>
          </cell>
          <cell r="D877" t="str">
            <v>Optic_Reflector</v>
          </cell>
          <cell r="E877" t="str">
            <v>BIW, BOW, BJW</v>
          </cell>
          <cell r="L877" t="str">
            <v>G</v>
          </cell>
          <cell r="Q877" t="str">
            <v>pc</v>
          </cell>
          <cell r="S877">
            <v>1</v>
          </cell>
          <cell r="U877">
            <v>1.9800000000000002</v>
          </cell>
          <cell r="V877" t="str">
            <v>Linear Washer Reflector, Bright Gold Color, 300mm Length, 50mm Width, Bold Lighting LLC, 17-WW, DK-300*50-GSZ-H18-BL-WT-GD-D1</v>
          </cell>
          <cell r="W877" t="str">
            <v>CN</v>
          </cell>
          <cell r="Y877">
            <v>1.8</v>
          </cell>
          <cell r="Z877">
            <v>1.34</v>
          </cell>
          <cell r="AA877">
            <v>1.76</v>
          </cell>
        </row>
        <row r="878">
          <cell r="C878" t="str">
            <v>LR010BLD</v>
          </cell>
          <cell r="D878" t="str">
            <v>Optic_Reflector</v>
          </cell>
          <cell r="E878" t="str">
            <v>BIW, BOW, BJW</v>
          </cell>
          <cell r="L878" t="str">
            <v>W</v>
          </cell>
          <cell r="Q878" t="str">
            <v>pc</v>
          </cell>
          <cell r="S878">
            <v>1</v>
          </cell>
          <cell r="U878">
            <v>1.32</v>
          </cell>
          <cell r="V878" t="str">
            <v>Linear Washer Reflector, White Color, 300mm Length, 50mm Width, Bold Lighting LLC, 17-WW, DK-300*50-GSZ-H18-BL-WT-MAWT-PQ1</v>
          </cell>
          <cell r="W878" t="str">
            <v>CN</v>
          </cell>
          <cell r="Y878">
            <v>1.2</v>
          </cell>
          <cell r="Z878">
            <v>1.34</v>
          </cell>
          <cell r="AA878">
            <v>1.76</v>
          </cell>
        </row>
        <row r="879">
          <cell r="D879" t="str">
            <v>Optic_Reflector</v>
          </cell>
          <cell r="E879" t="str">
            <v>BIW, BOW, BJW</v>
          </cell>
          <cell r="H879" t="str">
            <v>18,30,42,54</v>
          </cell>
          <cell r="L879" t="str">
            <v>.</v>
          </cell>
          <cell r="Q879" t="str">
            <v>pc</v>
          </cell>
          <cell r="T879">
            <v>1</v>
          </cell>
          <cell r="U879">
            <v>0</v>
          </cell>
          <cell r="W879" t="str">
            <v>CN</v>
          </cell>
          <cell r="Y879">
            <v>0</v>
          </cell>
          <cell r="Z879">
            <v>1.34</v>
          </cell>
          <cell r="AA879">
            <v>1.76</v>
          </cell>
        </row>
        <row r="880">
          <cell r="C880" t="str">
            <v>LR018BLD</v>
          </cell>
          <cell r="D880" t="str">
            <v>Optic_Reflector</v>
          </cell>
          <cell r="E880" t="str">
            <v>BIW, BOW, BJW</v>
          </cell>
          <cell r="H880" t="str">
            <v>18,30,42,54</v>
          </cell>
          <cell r="L880" t="str">
            <v>C</v>
          </cell>
          <cell r="Q880" t="str">
            <v>pc</v>
          </cell>
          <cell r="T880">
            <v>1</v>
          </cell>
          <cell r="U880">
            <v>0.71500000000000008</v>
          </cell>
          <cell r="V880" t="str">
            <v>Linear Washer Reflector, Specular Chrome Color, 150mm Length, 50mm Width, Bold Lighting LLC, 17-WW-1.5, DK-150*50-GSZ-H18-BL-BK-BC-D1</v>
          </cell>
          <cell r="W880" t="str">
            <v>CN</v>
          </cell>
          <cell r="Y880">
            <v>0.65</v>
          </cell>
          <cell r="Z880">
            <v>1.34</v>
          </cell>
          <cell r="AA880">
            <v>1.76</v>
          </cell>
        </row>
        <row r="881">
          <cell r="C881" t="str">
            <v>LR017BLD</v>
          </cell>
          <cell r="D881" t="str">
            <v>Optic_Reflector</v>
          </cell>
          <cell r="E881" t="str">
            <v>BIW, BOW, BJW</v>
          </cell>
          <cell r="H881" t="str">
            <v>18,30,42,54</v>
          </cell>
          <cell r="L881" t="str">
            <v>N</v>
          </cell>
          <cell r="Q881" t="str">
            <v>pc</v>
          </cell>
          <cell r="T881">
            <v>1</v>
          </cell>
          <cell r="U881">
            <v>0.71500000000000008</v>
          </cell>
          <cell r="V881" t="str">
            <v>Linear Washer Reflector, Black Nickel Color, 150mm Length, 50mm Width, Bold Lighting LLC, 17-WW-1.5, DK-150*50-GSZ-H18-BL-BK-GM-1-D1</v>
          </cell>
          <cell r="W881" t="str">
            <v>CN</v>
          </cell>
          <cell r="Y881">
            <v>0.65</v>
          </cell>
          <cell r="Z881">
            <v>1.34</v>
          </cell>
          <cell r="AA881">
            <v>1.76</v>
          </cell>
        </row>
        <row r="882">
          <cell r="C882" t="str">
            <v>LR016BLD</v>
          </cell>
          <cell r="D882" t="str">
            <v>Optic_Reflector</v>
          </cell>
          <cell r="E882" t="str">
            <v>BIW, BOW, BJW</v>
          </cell>
          <cell r="H882" t="str">
            <v>18,30,42,54</v>
          </cell>
          <cell r="L882" t="str">
            <v>B</v>
          </cell>
          <cell r="Q882" t="str">
            <v>pc</v>
          </cell>
          <cell r="T882">
            <v>1</v>
          </cell>
          <cell r="U882">
            <v>0.66</v>
          </cell>
          <cell r="V882" t="str">
            <v>Linear Washer Reflector, Black Color, 150mm Length, 50mm Width, Bold Lighting LLC, 17-WW-1.5, DK-150*50-GSZ-H18-BL-BK-MABK-PQ1</v>
          </cell>
          <cell r="W882" t="str">
            <v>CN</v>
          </cell>
          <cell r="Y882">
            <v>0.6</v>
          </cell>
          <cell r="Z882">
            <v>1.34</v>
          </cell>
          <cell r="AA882">
            <v>1.76</v>
          </cell>
        </row>
        <row r="883">
          <cell r="D883" t="str">
            <v>Optic_Reflector</v>
          </cell>
          <cell r="E883" t="str">
            <v>BIW, BOW, BJW</v>
          </cell>
          <cell r="H883" t="str">
            <v>18,30,42,54</v>
          </cell>
          <cell r="L883" t="str">
            <v>.</v>
          </cell>
          <cell r="Q883" t="str">
            <v>pc</v>
          </cell>
          <cell r="T883">
            <v>1</v>
          </cell>
          <cell r="U883">
            <v>0</v>
          </cell>
          <cell r="W883" t="str">
            <v>CN</v>
          </cell>
          <cell r="Y883">
            <v>0</v>
          </cell>
          <cell r="Z883">
            <v>1.34</v>
          </cell>
          <cell r="AA883">
            <v>1.76</v>
          </cell>
        </row>
        <row r="884">
          <cell r="D884" t="str">
            <v>Optic_Reflector</v>
          </cell>
          <cell r="E884" t="str">
            <v>BIW, BOW, BJW</v>
          </cell>
          <cell r="H884" t="str">
            <v>18,30,42,54</v>
          </cell>
          <cell r="L884" t="str">
            <v>.</v>
          </cell>
          <cell r="Q884" t="str">
            <v>pc</v>
          </cell>
          <cell r="T884">
            <v>1</v>
          </cell>
          <cell r="U884">
            <v>0</v>
          </cell>
          <cell r="W884" t="str">
            <v>CN</v>
          </cell>
          <cell r="Y884">
            <v>0</v>
          </cell>
          <cell r="Z884">
            <v>1.34</v>
          </cell>
          <cell r="AA884">
            <v>1.76</v>
          </cell>
        </row>
        <row r="885">
          <cell r="C885" t="str">
            <v>LR019BLD</v>
          </cell>
          <cell r="D885" t="str">
            <v>Optic_Reflector</v>
          </cell>
          <cell r="E885" t="str">
            <v>BIW, BOW, BJW</v>
          </cell>
          <cell r="H885" t="str">
            <v>18,30,42,54</v>
          </cell>
          <cell r="L885" t="str">
            <v>G</v>
          </cell>
          <cell r="Q885" t="str">
            <v>pc</v>
          </cell>
          <cell r="T885">
            <v>1</v>
          </cell>
          <cell r="U885">
            <v>0.66</v>
          </cell>
          <cell r="V885" t="str">
            <v>Linear Washer Reflector, Bright Gold Color, 150mm Length, 50mm Width, Bold Lighting LLC, 17-WW-1.5, DK-150*50-GSZ-H18-BL-WT-GD-D1</v>
          </cell>
          <cell r="W885" t="str">
            <v>CN</v>
          </cell>
          <cell r="Y885">
            <v>0.6</v>
          </cell>
          <cell r="Z885">
            <v>1.34</v>
          </cell>
          <cell r="AA885">
            <v>1.76</v>
          </cell>
        </row>
        <row r="886">
          <cell r="C886" t="str">
            <v>LR015BLD</v>
          </cell>
          <cell r="D886" t="str">
            <v>Optic_Reflector</v>
          </cell>
          <cell r="E886" t="str">
            <v>BIW, BOW, BJW</v>
          </cell>
          <cell r="H886" t="str">
            <v>18,30,42,54</v>
          </cell>
          <cell r="L886" t="str">
            <v>W</v>
          </cell>
          <cell r="Q886" t="str">
            <v>pc</v>
          </cell>
          <cell r="T886">
            <v>1</v>
          </cell>
          <cell r="U886">
            <v>0.66</v>
          </cell>
          <cell r="V886" t="str">
            <v>Linear Washer Reflector, White Color, 150mm Length, 50mm Width, Bold Lighting LLC, 17-WW-1.5, DK-150*50-GSZ-H18-BL-WT-MAWT-PQ1</v>
          </cell>
          <cell r="W886" t="str">
            <v>CN</v>
          </cell>
          <cell r="Y886">
            <v>0.6</v>
          </cell>
          <cell r="Z886">
            <v>1.34</v>
          </cell>
          <cell r="AA886">
            <v>1.76</v>
          </cell>
        </row>
        <row r="887">
          <cell r="D887" t="str">
            <v>Optic_Reflector</v>
          </cell>
          <cell r="E887" t="str">
            <v>BOP</v>
          </cell>
          <cell r="H887">
            <v>6</v>
          </cell>
          <cell r="L887" t="str">
            <v>.</v>
          </cell>
          <cell r="M887" t="str">
            <v>P</v>
          </cell>
          <cell r="Q887" t="str">
            <v>pc</v>
          </cell>
          <cell r="T887">
            <v>1</v>
          </cell>
          <cell r="U887">
            <v>0</v>
          </cell>
          <cell r="W887" t="str">
            <v>CN</v>
          </cell>
          <cell r="Y887">
            <v>0</v>
          </cell>
          <cell r="Z887">
            <v>1.34</v>
          </cell>
          <cell r="AA887">
            <v>1.76</v>
          </cell>
        </row>
        <row r="888">
          <cell r="C888" t="str">
            <v>LR018BLD</v>
          </cell>
          <cell r="D888" t="str">
            <v>Optic_Reflector</v>
          </cell>
          <cell r="E888" t="str">
            <v>BOP</v>
          </cell>
          <cell r="H888">
            <v>6</v>
          </cell>
          <cell r="L888" t="str">
            <v>C</v>
          </cell>
          <cell r="M888" t="str">
            <v>P</v>
          </cell>
          <cell r="Q888" t="str">
            <v>pc</v>
          </cell>
          <cell r="T888">
            <v>1</v>
          </cell>
          <cell r="U888">
            <v>0.71500000000000008</v>
          </cell>
          <cell r="V888" t="str">
            <v>Linear Washer Reflector, Specular Chrome Color, 150mm Length, 50mm Width, Bold Lighting LLC, 17-WW-1.5, DK-150*50-GSZ-H18-BL-BK-BC-D1</v>
          </cell>
          <cell r="W888" t="str">
            <v>CN</v>
          </cell>
          <cell r="Y888">
            <v>0.65</v>
          </cell>
          <cell r="Z888">
            <v>1.34</v>
          </cell>
          <cell r="AA888">
            <v>1.76</v>
          </cell>
        </row>
        <row r="889">
          <cell r="C889" t="str">
            <v>LR017BLD</v>
          </cell>
          <cell r="D889" t="str">
            <v>Optic_Reflector</v>
          </cell>
          <cell r="E889" t="str">
            <v>BOP</v>
          </cell>
          <cell r="H889">
            <v>6</v>
          </cell>
          <cell r="L889" t="str">
            <v>N</v>
          </cell>
          <cell r="M889" t="str">
            <v>P</v>
          </cell>
          <cell r="Q889" t="str">
            <v>pc</v>
          </cell>
          <cell r="T889">
            <v>1</v>
          </cell>
          <cell r="U889">
            <v>0.71500000000000008</v>
          </cell>
          <cell r="V889" t="str">
            <v>Linear Washer Reflector, Black Nickel Color, 150mm Length, 50mm Width, Bold Lighting LLC, 17-WW-1.5, DK-150*50-GSZ-H18-BL-BK-GM-1-D1</v>
          </cell>
          <cell r="W889" t="str">
            <v>CN</v>
          </cell>
          <cell r="Y889">
            <v>0.65</v>
          </cell>
          <cell r="Z889">
            <v>1.34</v>
          </cell>
          <cell r="AA889">
            <v>1.76</v>
          </cell>
        </row>
        <row r="890">
          <cell r="C890" t="str">
            <v>LR016BLD</v>
          </cell>
          <cell r="D890" t="str">
            <v>Optic_Reflector</v>
          </cell>
          <cell r="E890" t="str">
            <v>BOP</v>
          </cell>
          <cell r="H890">
            <v>6</v>
          </cell>
          <cell r="L890" t="str">
            <v>B</v>
          </cell>
          <cell r="M890" t="str">
            <v>P</v>
          </cell>
          <cell r="Q890" t="str">
            <v>pc</v>
          </cell>
          <cell r="T890">
            <v>1</v>
          </cell>
          <cell r="U890">
            <v>0.66</v>
          </cell>
          <cell r="V890" t="str">
            <v>Linear Washer Reflector, Black Color, 150mm Length, 50mm Width, Bold Lighting LLC, 17-WW-1.5, DK-150*50-GSZ-H18-BL-BK-MABK-PQ1</v>
          </cell>
          <cell r="W890" t="str">
            <v>CN</v>
          </cell>
          <cell r="Y890">
            <v>0.6</v>
          </cell>
          <cell r="Z890">
            <v>1.34</v>
          </cell>
          <cell r="AA890">
            <v>1.76</v>
          </cell>
        </row>
        <row r="891">
          <cell r="D891" t="str">
            <v>Optic_Reflector</v>
          </cell>
          <cell r="E891" t="str">
            <v>BOP</v>
          </cell>
          <cell r="H891">
            <v>6</v>
          </cell>
          <cell r="L891" t="str">
            <v>.</v>
          </cell>
          <cell r="M891" t="str">
            <v>P</v>
          </cell>
          <cell r="Q891" t="str">
            <v>pc</v>
          </cell>
          <cell r="T891">
            <v>1</v>
          </cell>
          <cell r="U891">
            <v>0</v>
          </cell>
          <cell r="W891" t="str">
            <v>CN</v>
          </cell>
          <cell r="Y891">
            <v>0</v>
          </cell>
          <cell r="Z891">
            <v>1.34</v>
          </cell>
          <cell r="AA891">
            <v>1.76</v>
          </cell>
        </row>
        <row r="892">
          <cell r="D892" t="str">
            <v>Optic_Reflector</v>
          </cell>
          <cell r="E892" t="str">
            <v>BOP</v>
          </cell>
          <cell r="H892">
            <v>6</v>
          </cell>
          <cell r="L892" t="str">
            <v>.</v>
          </cell>
          <cell r="M892" t="str">
            <v>P</v>
          </cell>
          <cell r="Q892" t="str">
            <v>pc</v>
          </cell>
          <cell r="T892">
            <v>1</v>
          </cell>
          <cell r="U892">
            <v>0</v>
          </cell>
          <cell r="W892" t="str">
            <v>CN</v>
          </cell>
          <cell r="Y892">
            <v>0</v>
          </cell>
          <cell r="Z892">
            <v>1.34</v>
          </cell>
          <cell r="AA892">
            <v>1.76</v>
          </cell>
        </row>
        <row r="893">
          <cell r="C893" t="str">
            <v>LR019BLD</v>
          </cell>
          <cell r="D893" t="str">
            <v>Optic_Reflector</v>
          </cell>
          <cell r="E893" t="str">
            <v>BOP</v>
          </cell>
          <cell r="H893">
            <v>6</v>
          </cell>
          <cell r="L893" t="str">
            <v>G</v>
          </cell>
          <cell r="M893" t="str">
            <v>P</v>
          </cell>
          <cell r="Q893" t="str">
            <v>pc</v>
          </cell>
          <cell r="T893">
            <v>1</v>
          </cell>
          <cell r="U893">
            <v>0.9900000000000001</v>
          </cell>
          <cell r="V893" t="str">
            <v>Linear Washer Reflector, Bright Gold Color, 150mm Length, 50mm Width, Bold Lighting LLC, 17-WW-1.5, DK-150*50-GSZ-H18-BL-WT-GD-D1</v>
          </cell>
          <cell r="W893" t="str">
            <v>CN</v>
          </cell>
          <cell r="Y893">
            <v>0.9</v>
          </cell>
          <cell r="Z893">
            <v>1.34</v>
          </cell>
          <cell r="AA893">
            <v>1.76</v>
          </cell>
        </row>
        <row r="894">
          <cell r="C894" t="str">
            <v>LR015BLD</v>
          </cell>
          <cell r="D894" t="str">
            <v>Optic_Reflector</v>
          </cell>
          <cell r="E894" t="str">
            <v>BOP</v>
          </cell>
          <cell r="H894">
            <v>6</v>
          </cell>
          <cell r="L894" t="str">
            <v>W</v>
          </cell>
          <cell r="M894" t="str">
            <v>P</v>
          </cell>
          <cell r="Q894" t="str">
            <v>pc</v>
          </cell>
          <cell r="T894">
            <v>1</v>
          </cell>
          <cell r="U894">
            <v>0.66</v>
          </cell>
          <cell r="V894" t="str">
            <v>Linear Washer Reflector, White Color, 150mm Length, 50mm Width, Bold Lighting LLC, 17-WW-1.5, DK-150*50-GSZ-H18-BL-WT-MAWT-PQ1</v>
          </cell>
          <cell r="W894" t="str">
            <v>CN</v>
          </cell>
          <cell r="Y894">
            <v>0.6</v>
          </cell>
          <cell r="Z894">
            <v>1.34</v>
          </cell>
          <cell r="AA894">
            <v>1.76</v>
          </cell>
        </row>
        <row r="895">
          <cell r="C895" t="str">
            <v>AC016GSO</v>
          </cell>
          <cell r="D895" t="str">
            <v>Optic_Kick_Reflector</v>
          </cell>
          <cell r="E895" t="str">
            <v>BOP</v>
          </cell>
          <cell r="H895">
            <v>6</v>
          </cell>
          <cell r="M895" t="str">
            <v>P</v>
          </cell>
          <cell r="Q895" t="str">
            <v>pc</v>
          </cell>
          <cell r="S895">
            <v>6</v>
          </cell>
          <cell r="T895">
            <v>3</v>
          </cell>
          <cell r="U895">
            <v>0.38500000000000001</v>
          </cell>
          <cell r="V895" t="str">
            <v>Kick Reflector, Plastic, 40mm Diameter, Silver Color, GUANGDONG SHINLAND OPTICAL TECHNOLOGY CO LTD., SL-RF-AF-050B-SW-2</v>
          </cell>
          <cell r="W895" t="str">
            <v>CN</v>
          </cell>
          <cell r="Y895">
            <v>0.35</v>
          </cell>
          <cell r="Z895">
            <v>1.34</v>
          </cell>
          <cell r="AA895">
            <v>1.58</v>
          </cell>
        </row>
        <row r="896">
          <cell r="C896" t="str">
            <v>AC017GSO</v>
          </cell>
          <cell r="D896" t="str">
            <v>Optic_Fresnel</v>
          </cell>
          <cell r="E896" t="str">
            <v>BOP</v>
          </cell>
          <cell r="H896">
            <v>6</v>
          </cell>
          <cell r="M896" t="str">
            <v>P</v>
          </cell>
          <cell r="Q896" t="str">
            <v>pc</v>
          </cell>
          <cell r="S896">
            <v>6</v>
          </cell>
          <cell r="T896">
            <v>3</v>
          </cell>
          <cell r="U896">
            <v>0.44000000000000006</v>
          </cell>
          <cell r="V896" t="str">
            <v>Fresnel Reflector, Plastic, 37mm Diameter, Transparent Color, GUANGDONG SHINLAND OPTICAL TECHNOLOGY CO LTD., SL-RF-AB-037-WW-V1</v>
          </cell>
          <cell r="W896" t="str">
            <v>CN</v>
          </cell>
          <cell r="Y896">
            <v>0.4</v>
          </cell>
          <cell r="Z896">
            <v>1.34</v>
          </cell>
          <cell r="AA896">
            <v>1.58</v>
          </cell>
        </row>
        <row r="897">
          <cell r="C897" t="str">
            <v>AC016GSO</v>
          </cell>
          <cell r="D897" t="str">
            <v>Optic_Kick_Reflector</v>
          </cell>
          <cell r="E897" t="str">
            <v>BIW, BOW, BJW</v>
          </cell>
          <cell r="H897" t="str">
            <v>12,24,36,48,60</v>
          </cell>
          <cell r="M897" t="str">
            <v>G,W</v>
          </cell>
          <cell r="Q897" t="str">
            <v>pc</v>
          </cell>
          <cell r="S897">
            <v>6</v>
          </cell>
          <cell r="U897">
            <v>0.38500000000000001</v>
          </cell>
          <cell r="V897" t="str">
            <v>Kick Reflector, Plastic, 40mm Diameter, Silver Color, GUANGDONG SHINLAND OPTICAL TECHNOLOGY CO LTD., SL-RF-AF-050B-SW-2</v>
          </cell>
          <cell r="W897" t="str">
            <v>CN</v>
          </cell>
          <cell r="Y897">
            <v>0.35</v>
          </cell>
          <cell r="Z897">
            <v>1.34</v>
          </cell>
          <cell r="AA897">
            <v>1.58</v>
          </cell>
        </row>
        <row r="898">
          <cell r="C898" t="str">
            <v>AC017GSO</v>
          </cell>
          <cell r="D898" t="str">
            <v>Optic_Fresnel</v>
          </cell>
          <cell r="E898" t="str">
            <v>BIW, BOW, BJW</v>
          </cell>
          <cell r="H898" t="str">
            <v>12,24,36,48,60</v>
          </cell>
          <cell r="M898" t="str">
            <v>W</v>
          </cell>
          <cell r="Q898" t="str">
            <v>pc</v>
          </cell>
          <cell r="S898">
            <v>6</v>
          </cell>
          <cell r="U898">
            <v>0.44000000000000006</v>
          </cell>
          <cell r="V898" t="str">
            <v>Fresnel Reflector, Plastic, 37mm Diameter, Transparent Color, GUANGDONG SHINLAND OPTICAL TECHNOLOGY CO LTD., SL-RF-AB-037-WW-V1</v>
          </cell>
          <cell r="W898" t="str">
            <v>CN</v>
          </cell>
          <cell r="Y898">
            <v>0.4</v>
          </cell>
          <cell r="Z898">
            <v>1.34</v>
          </cell>
          <cell r="AA898">
            <v>1.58</v>
          </cell>
        </row>
        <row r="899">
          <cell r="C899" t="str">
            <v>AC016GSO</v>
          </cell>
          <cell r="D899" t="str">
            <v>Optic_Kick_Reflector</v>
          </cell>
          <cell r="E899" t="str">
            <v>BIW, BOW, BJW</v>
          </cell>
          <cell r="H899" t="str">
            <v>18,30,42,54</v>
          </cell>
          <cell r="M899" t="str">
            <v>G,W</v>
          </cell>
          <cell r="Q899" t="str">
            <v>pc</v>
          </cell>
          <cell r="S899">
            <v>6</v>
          </cell>
          <cell r="T899">
            <v>3</v>
          </cell>
          <cell r="U899">
            <v>0.38500000000000001</v>
          </cell>
          <cell r="V899" t="str">
            <v>Kick Reflector, Plastic, 40mm Diameter, Silver Color, GUANGDONG SHINLAND OPTICAL TECHNOLOGY CO LTD., SL-RF-AF-050B-SW-2</v>
          </cell>
          <cell r="W899" t="str">
            <v>CN</v>
          </cell>
          <cell r="Y899">
            <v>0.35</v>
          </cell>
          <cell r="Z899">
            <v>1.34</v>
          </cell>
          <cell r="AA899">
            <v>1.58</v>
          </cell>
        </row>
        <row r="900">
          <cell r="C900" t="str">
            <v>AC017GSO</v>
          </cell>
          <cell r="D900" t="str">
            <v>Optic_Fresnel</v>
          </cell>
          <cell r="E900" t="str">
            <v>BIW, BOW, BJW</v>
          </cell>
          <cell r="H900" t="str">
            <v>18,30,42,54</v>
          </cell>
          <cell r="M900" t="str">
            <v>W</v>
          </cell>
          <cell r="Q900" t="str">
            <v>pc</v>
          </cell>
          <cell r="S900">
            <v>6</v>
          </cell>
          <cell r="T900">
            <v>3</v>
          </cell>
          <cell r="U900">
            <v>0.44000000000000006</v>
          </cell>
          <cell r="V900" t="str">
            <v>Fresenl Reflector, Plastic, 37mm Diameter, Transparent Color, GUANGDONG SHINLAND OPTICAL TECHNOLOGY CO LTD., SL-RF-AB-037-WW-V1</v>
          </cell>
          <cell r="W900" t="str">
            <v>CN</v>
          </cell>
          <cell r="Y900">
            <v>0.4</v>
          </cell>
          <cell r="Z900">
            <v>1.34</v>
          </cell>
          <cell r="AA900">
            <v>1.58</v>
          </cell>
        </row>
        <row r="901">
          <cell r="C901" t="str">
            <v>DI005BRV</v>
          </cell>
          <cell r="D901" t="str">
            <v>Optic_Diffuser</v>
          </cell>
          <cell r="E901" t="str">
            <v>BXO, BIO, BHO, BOO, BKO, BJO</v>
          </cell>
          <cell r="L901" t="str">
            <v>O</v>
          </cell>
          <cell r="M901" t="str">
            <v>A</v>
          </cell>
          <cell r="Q901" t="str">
            <v>linear</v>
          </cell>
          <cell r="S901">
            <v>300</v>
          </cell>
          <cell r="U901">
            <v>1.837</v>
          </cell>
          <cell r="V901" t="str">
            <v xml:space="preserve">ASYMMETRIC DIRECTION TURNING DIFFUSER, 21° </v>
          </cell>
          <cell r="W901" t="str">
            <v>CN</v>
          </cell>
          <cell r="Y901">
            <v>91.85</v>
          </cell>
          <cell r="Z901">
            <v>1.34</v>
          </cell>
          <cell r="AA901">
            <v>1.58</v>
          </cell>
        </row>
        <row r="902">
          <cell r="D902" t="str">
            <v>Optic_Diffuser</v>
          </cell>
          <cell r="E902" t="str">
            <v>BXO, BIO, BHO, BOO, BKO, BJO</v>
          </cell>
          <cell r="L902" t="str">
            <v>O</v>
          </cell>
          <cell r="M902" t="str">
            <v>E</v>
          </cell>
          <cell r="Q902" t="str">
            <v>linear</v>
          </cell>
          <cell r="S902">
            <v>300</v>
          </cell>
          <cell r="U902">
            <v>0</v>
          </cell>
          <cell r="V902" t="str">
            <v>Elliptical Diffuser</v>
          </cell>
          <cell r="W902" t="str">
            <v>CN</v>
          </cell>
          <cell r="Z902">
            <v>1.34</v>
          </cell>
          <cell r="AA902">
            <v>1.76</v>
          </cell>
        </row>
        <row r="903">
          <cell r="D903" t="str">
            <v>Optic_Reflector</v>
          </cell>
          <cell r="E903" t="str">
            <v>BXH, BKH, BXO, BKO,BHS,BHO</v>
          </cell>
          <cell r="L903" t="str">
            <v>.</v>
          </cell>
          <cell r="Q903" t="str">
            <v>pc</v>
          </cell>
          <cell r="S903">
            <v>1</v>
          </cell>
          <cell r="U903">
            <v>2.09</v>
          </cell>
          <cell r="V903" t="str">
            <v>Honeycomb Reflector, 17-HEX</v>
          </cell>
          <cell r="W903" t="str">
            <v>CN</v>
          </cell>
          <cell r="Y903">
            <v>1.9</v>
          </cell>
          <cell r="Z903">
            <v>1.34</v>
          </cell>
          <cell r="AA903">
            <v>1.76</v>
          </cell>
        </row>
        <row r="904">
          <cell r="C904" t="str">
            <v>LR033BLD</v>
          </cell>
          <cell r="D904" t="str">
            <v>Optic_Reflector</v>
          </cell>
          <cell r="E904" t="str">
            <v>BXH, BKH, BXO, BKO,BHS,BHO</v>
          </cell>
          <cell r="L904" t="str">
            <v>C</v>
          </cell>
          <cell r="Q904" t="str">
            <v>pc</v>
          </cell>
          <cell r="S904">
            <v>1</v>
          </cell>
          <cell r="U904">
            <v>2.09</v>
          </cell>
          <cell r="V904" t="str">
            <v>Honeycomb Reflector, 17-HEX</v>
          </cell>
          <cell r="W904" t="str">
            <v>CN</v>
          </cell>
          <cell r="Y904">
            <v>1.9</v>
          </cell>
          <cell r="Z904">
            <v>1.34</v>
          </cell>
          <cell r="AA904">
            <v>1.76</v>
          </cell>
        </row>
        <row r="905">
          <cell r="C905" t="str">
            <v>LR032BLD</v>
          </cell>
          <cell r="D905" t="str">
            <v>Optic_Reflector</v>
          </cell>
          <cell r="E905" t="str">
            <v>BXH, BKH, BXO, BKO,BHS,BHO</v>
          </cell>
          <cell r="L905" t="str">
            <v>N</v>
          </cell>
          <cell r="Q905" t="str">
            <v>pc</v>
          </cell>
          <cell r="S905">
            <v>1</v>
          </cell>
          <cell r="U905">
            <v>2.09</v>
          </cell>
          <cell r="V905" t="str">
            <v>Honeycomb Reflector, 17-HEX</v>
          </cell>
          <cell r="W905" t="str">
            <v>CN</v>
          </cell>
          <cell r="Y905">
            <v>1.9</v>
          </cell>
          <cell r="Z905">
            <v>1.34</v>
          </cell>
          <cell r="AA905">
            <v>1.76</v>
          </cell>
        </row>
        <row r="906">
          <cell r="C906" t="str">
            <v>LR031BLD</v>
          </cell>
          <cell r="D906" t="str">
            <v>Optic_Reflector</v>
          </cell>
          <cell r="E906" t="str">
            <v>BXH, BKH, BXO, BKO,BHS,BHO</v>
          </cell>
          <cell r="L906" t="str">
            <v>B</v>
          </cell>
          <cell r="Q906" t="str">
            <v>pc</v>
          </cell>
          <cell r="S906">
            <v>1</v>
          </cell>
          <cell r="U906">
            <v>2.09</v>
          </cell>
          <cell r="V906" t="str">
            <v>Honeycomb Reflector, 17-HEX</v>
          </cell>
          <cell r="W906" t="str">
            <v>CN</v>
          </cell>
          <cell r="Y906">
            <v>1.9</v>
          </cell>
          <cell r="Z906">
            <v>1.34</v>
          </cell>
          <cell r="AA906">
            <v>1.76</v>
          </cell>
        </row>
        <row r="907">
          <cell r="D907" t="str">
            <v>Optic_Reflector</v>
          </cell>
          <cell r="E907" t="str">
            <v>BXH, BKH, BXO, BKO,BHS,BHO</v>
          </cell>
          <cell r="L907" t="str">
            <v>.</v>
          </cell>
          <cell r="Q907" t="str">
            <v>pc</v>
          </cell>
          <cell r="S907">
            <v>1</v>
          </cell>
          <cell r="U907">
            <v>2.09</v>
          </cell>
          <cell r="V907" t="str">
            <v>Honeycomb Reflector, 17-HEX</v>
          </cell>
          <cell r="W907" t="str">
            <v>CN</v>
          </cell>
          <cell r="Y907">
            <v>1.9</v>
          </cell>
          <cell r="Z907">
            <v>1.34</v>
          </cell>
          <cell r="AA907">
            <v>1.76</v>
          </cell>
        </row>
        <row r="908">
          <cell r="D908" t="str">
            <v>Optic_Reflector</v>
          </cell>
          <cell r="E908" t="str">
            <v>BXH, BKH, BXO, BKO,BHS,BHO</v>
          </cell>
          <cell r="L908" t="str">
            <v>.</v>
          </cell>
          <cell r="Q908" t="str">
            <v>pc</v>
          </cell>
          <cell r="S908">
            <v>1</v>
          </cell>
          <cell r="U908">
            <v>2.09</v>
          </cell>
          <cell r="V908" t="str">
            <v>Honeycomb Reflector, 17-HEX</v>
          </cell>
          <cell r="W908" t="str">
            <v>CN</v>
          </cell>
          <cell r="Y908">
            <v>1.9</v>
          </cell>
          <cell r="Z908">
            <v>1.34</v>
          </cell>
          <cell r="AA908">
            <v>1.76</v>
          </cell>
        </row>
        <row r="909">
          <cell r="D909" t="str">
            <v>Optic_Reflector</v>
          </cell>
          <cell r="E909" t="str">
            <v>BXH, BKH, BXO, BKO,BHS,BHO</v>
          </cell>
          <cell r="L909" t="str">
            <v>G</v>
          </cell>
          <cell r="Q909" t="str">
            <v>pc</v>
          </cell>
          <cell r="S909">
            <v>1</v>
          </cell>
          <cell r="U909">
            <v>2.09</v>
          </cell>
          <cell r="V909" t="str">
            <v>Honeycomb Reflector, 17-HEX</v>
          </cell>
          <cell r="W909" t="str">
            <v>CN</v>
          </cell>
          <cell r="Y909">
            <v>1.9</v>
          </cell>
          <cell r="Z909">
            <v>1.34</v>
          </cell>
          <cell r="AA909">
            <v>1.76</v>
          </cell>
        </row>
        <row r="910">
          <cell r="C910" t="str">
            <v>LR030BLD</v>
          </cell>
          <cell r="D910" t="str">
            <v>Optic_Reflector</v>
          </cell>
          <cell r="E910" t="str">
            <v>BXH, BKH, BXO, BKO,BHS,BHO</v>
          </cell>
          <cell r="L910" t="str">
            <v>W</v>
          </cell>
          <cell r="Q910" t="str">
            <v>pc</v>
          </cell>
          <cell r="S910">
            <v>1</v>
          </cell>
          <cell r="U910">
            <v>2.09</v>
          </cell>
          <cell r="V910" t="str">
            <v>Honeycomb Reflector, 17-HEX</v>
          </cell>
          <cell r="W910" t="str">
            <v>CN</v>
          </cell>
          <cell r="Y910">
            <v>1.9</v>
          </cell>
          <cell r="Z910">
            <v>1.34</v>
          </cell>
          <cell r="AA910">
            <v>1.76</v>
          </cell>
        </row>
        <row r="912">
          <cell r="C912" t="str">
            <v>MA002ZDL</v>
          </cell>
          <cell r="D912" t="str">
            <v>Mounting Accessory</v>
          </cell>
          <cell r="E912" t="str">
            <v>BXO, BXH, BIO, BIS, BIW, BKO, BKH, BJO, BJS, BJW,BIK</v>
          </cell>
          <cell r="F912" t="str">
            <v>P</v>
          </cell>
          <cell r="G912" t="str">
            <v>B, S</v>
          </cell>
          <cell r="Q912" t="str">
            <v>pc</v>
          </cell>
          <cell r="T912">
            <v>1</v>
          </cell>
          <cell r="U912">
            <v>0.66</v>
          </cell>
          <cell r="V912" t="str">
            <v>Indoor, Pendant Kit B, Grey, Zhongshan Dora Lighting  Co., LTD., Y-CG01-008</v>
          </cell>
          <cell r="W912" t="str">
            <v>CN</v>
          </cell>
          <cell r="Y912">
            <v>0.6</v>
          </cell>
          <cell r="Z912">
            <v>2</v>
          </cell>
          <cell r="AA912">
            <v>1.5</v>
          </cell>
        </row>
        <row r="913">
          <cell r="C913" t="str">
            <v>MA002ZDL</v>
          </cell>
          <cell r="D913" t="str">
            <v>Mounting Accessory</v>
          </cell>
          <cell r="E913" t="str">
            <v>BXO, BXH, BIO, BIS, BIW, BKO, BKH, BJO, BJS, BJW,BIK</v>
          </cell>
          <cell r="F913" t="str">
            <v>P</v>
          </cell>
          <cell r="G913" t="str">
            <v>M,E</v>
          </cell>
          <cell r="Q913" t="str">
            <v>pc</v>
          </cell>
          <cell r="T913">
            <v>2</v>
          </cell>
          <cell r="U913">
            <v>0.66</v>
          </cell>
          <cell r="V913" t="str">
            <v>Indoor, Pendant Kit B, Grey, Zhongshan Dora Lighting  Co., LTD., Y-CG01-008</v>
          </cell>
          <cell r="W913" t="str">
            <v>CN</v>
          </cell>
          <cell r="Y913">
            <v>0.6</v>
          </cell>
          <cell r="Z913">
            <v>2</v>
          </cell>
          <cell r="AA913">
            <v>1.5</v>
          </cell>
        </row>
        <row r="914">
          <cell r="C914" t="str">
            <v>MA000ZDL</v>
          </cell>
          <cell r="D914" t="str">
            <v>Mounting Accessory</v>
          </cell>
          <cell r="E914" t="str">
            <v>BXO, BXH, BIO, BIS, BIW, BKO, BKH, BJO, BJS, BJW,BIK</v>
          </cell>
          <cell r="F914" t="str">
            <v>P</v>
          </cell>
          <cell r="G914" t="str">
            <v>B, S</v>
          </cell>
          <cell r="P914" t="str">
            <v>W,G</v>
          </cell>
          <cell r="Q914" t="str">
            <v>pc</v>
          </cell>
          <cell r="T914">
            <v>1</v>
          </cell>
          <cell r="U914">
            <v>1.375</v>
          </cell>
          <cell r="V914" t="str">
            <v>Indoor, Pendant Kit A, White, Zhongshan Dora Lighting  Co., LTD., C12025</v>
          </cell>
          <cell r="W914" t="str">
            <v>CN</v>
          </cell>
          <cell r="Y914">
            <v>1.25</v>
          </cell>
          <cell r="Z914">
            <v>2</v>
          </cell>
          <cell r="AA914">
            <v>1.5</v>
          </cell>
        </row>
        <row r="915">
          <cell r="C915" t="str">
            <v>MA001ZDL</v>
          </cell>
          <cell r="D915" t="str">
            <v>Mounting Accessory</v>
          </cell>
          <cell r="E915" t="str">
            <v>BXO, BXH, BIO, BIS, BIW, BKO, BKH, BJO, BJS, BJW,BIK</v>
          </cell>
          <cell r="F915" t="str">
            <v>P</v>
          </cell>
          <cell r="G915" t="str">
            <v>B, S</v>
          </cell>
          <cell r="P915" t="str">
            <v>B</v>
          </cell>
          <cell r="Q915" t="str">
            <v>pc</v>
          </cell>
          <cell r="T915">
            <v>1</v>
          </cell>
          <cell r="U915">
            <v>1.375</v>
          </cell>
          <cell r="V915" t="str">
            <v>Indoor, Pendant Kit A, Black, Zhongshan Dora Lighting  Co., LTD., C12025</v>
          </cell>
          <cell r="W915" t="str">
            <v>CN</v>
          </cell>
          <cell r="Y915">
            <v>1.25</v>
          </cell>
          <cell r="Z915">
            <v>2</v>
          </cell>
          <cell r="AA915">
            <v>1.5</v>
          </cell>
        </row>
        <row r="916">
          <cell r="D916" t="str">
            <v>Mounting Accessory</v>
          </cell>
          <cell r="E916" t="str">
            <v>BHO, BHS, BOO, BOS, BOW,BOK</v>
          </cell>
          <cell r="F916" t="str">
            <v>P</v>
          </cell>
          <cell r="Q916" t="str">
            <v>pc</v>
          </cell>
          <cell r="T916">
            <v>2</v>
          </cell>
          <cell r="U916">
            <v>3.3000000000000003</v>
          </cell>
          <cell r="V916" t="str">
            <v>Outdoor Pendant Kit</v>
          </cell>
          <cell r="W916" t="str">
            <v>CN</v>
          </cell>
          <cell r="Y916">
            <v>3</v>
          </cell>
          <cell r="Z916">
            <v>2</v>
          </cell>
          <cell r="AA916">
            <v>1.86</v>
          </cell>
        </row>
        <row r="917">
          <cell r="C917" t="str">
            <v>AC024GEN</v>
          </cell>
          <cell r="D917" t="str">
            <v>Accessories</v>
          </cell>
          <cell r="E917" t="str">
            <v>BXO, BXH, BIO, BIS, BIW</v>
          </cell>
          <cell r="F917" t="str">
            <v>S, T, R, P, M,W</v>
          </cell>
          <cell r="Q917" t="str">
            <v>pc</v>
          </cell>
          <cell r="R917">
            <v>1</v>
          </cell>
          <cell r="T917" t="str">
            <v>2/D</v>
          </cell>
          <cell r="U917">
            <v>0.22000000000000003</v>
          </cell>
          <cell r="V917" t="str">
            <v>Spacer , Plastic, 7x4x6mm, White Color, C.B. ELECTRONICS S.A.R.L, ABS-4X6</v>
          </cell>
          <cell r="W917" t="str">
            <v>CN</v>
          </cell>
          <cell r="Y917">
            <v>0.2</v>
          </cell>
          <cell r="Z917">
            <v>2</v>
          </cell>
          <cell r="AA917">
            <v>1.86</v>
          </cell>
        </row>
        <row r="918">
          <cell r="C918" t="str">
            <v>AC060GEN</v>
          </cell>
          <cell r="D918" t="str">
            <v>Accessories</v>
          </cell>
          <cell r="E918" t="str">
            <v>BIO,BIS,BIW,BJO,BJS,BJW,BXO,BXH,BKO,BKH,BIK</v>
          </cell>
          <cell r="Q918" t="str">
            <v>pc</v>
          </cell>
          <cell r="S918">
            <v>1</v>
          </cell>
          <cell r="U918">
            <v>1.5400000000000002E-2</v>
          </cell>
          <cell r="V918" t="str">
            <v>Self-Adhesive Backed Mounts, nylon66, L19.5 W19.5 H3.9 T4.8, White/Black Color, Dongguan city WASI Electronic Technology Co., LTD., HS-101S-GS</v>
          </cell>
          <cell r="W918" t="str">
            <v>CN</v>
          </cell>
          <cell r="Y918">
            <v>1.4E-2</v>
          </cell>
          <cell r="Z918">
            <v>2</v>
          </cell>
          <cell r="AA918">
            <v>1.86</v>
          </cell>
        </row>
        <row r="920">
          <cell r="C920" t="str">
            <v>AD003WEI</v>
          </cell>
          <cell r="D920" t="str">
            <v>Silicon</v>
          </cell>
          <cell r="E920" t="str">
            <v>BHO, BHS, BOO, BOS, BOW,BOK</v>
          </cell>
          <cell r="Q920" t="str">
            <v>pc</v>
          </cell>
          <cell r="S920">
            <v>0.1</v>
          </cell>
          <cell r="U920">
            <v>25.3</v>
          </cell>
          <cell r="V920" t="str">
            <v>Outdoor sealent</v>
          </cell>
          <cell r="Y920">
            <v>23</v>
          </cell>
          <cell r="Z920">
            <v>1</v>
          </cell>
          <cell r="AA920">
            <v>1.6099999999999999</v>
          </cell>
        </row>
        <row r="921">
          <cell r="C921" t="str">
            <v>RE001JOR</v>
          </cell>
          <cell r="D921" t="str">
            <v>Resin</v>
          </cell>
          <cell r="E921" t="str">
            <v>BHO, BHS, BOO, BOS, BOW,BOK</v>
          </cell>
          <cell r="F921" t="str">
            <v>I</v>
          </cell>
          <cell r="Q921" t="str">
            <v>pc</v>
          </cell>
          <cell r="S921">
            <v>0.19</v>
          </cell>
          <cell r="U921">
            <v>3.19</v>
          </cell>
          <cell r="V921" t="str">
            <v>Driver Box Resin (in Kg)</v>
          </cell>
          <cell r="W921" t="str">
            <v>CN</v>
          </cell>
          <cell r="Y921">
            <v>2.9</v>
          </cell>
          <cell r="Z921">
            <v>3.53</v>
          </cell>
          <cell r="AA921">
            <v>1.8599999999999999</v>
          </cell>
        </row>
        <row r="922">
          <cell r="C922" t="str">
            <v>RE000JOR</v>
          </cell>
          <cell r="D922" t="str">
            <v>Resin</v>
          </cell>
          <cell r="E922" t="str">
            <v>BHO, BHS, BOO, BOS, BOW,BOK</v>
          </cell>
          <cell r="F922" t="str">
            <v>I</v>
          </cell>
          <cell r="Q922" t="str">
            <v>pc</v>
          </cell>
          <cell r="S922">
            <v>0.19</v>
          </cell>
          <cell r="U922">
            <v>3.19</v>
          </cell>
          <cell r="V922" t="str">
            <v>Driver Box Resin (in Kg)</v>
          </cell>
          <cell r="W922" t="str">
            <v>CN</v>
          </cell>
          <cell r="Y922">
            <v>2.9</v>
          </cell>
          <cell r="Z922">
            <v>3.53</v>
          </cell>
          <cell r="AA922">
            <v>1.8599999999999999</v>
          </cell>
        </row>
        <row r="924">
          <cell r="C924" t="str">
            <v>SC001GEN</v>
          </cell>
          <cell r="D924" t="str">
            <v>Screws</v>
          </cell>
          <cell r="H924" t="str">
            <v>12,18,24,30,36,42,48,54,60</v>
          </cell>
          <cell r="Q924" t="str">
            <v>pc</v>
          </cell>
          <cell r="S924">
            <v>9</v>
          </cell>
          <cell r="U924">
            <v>1.1000000000000001E-2</v>
          </cell>
          <cell r="V924" t="str">
            <v>M3 x 6</v>
          </cell>
          <cell r="Y924">
            <v>0.01</v>
          </cell>
          <cell r="Z924">
            <v>1.48</v>
          </cell>
          <cell r="AA924">
            <v>1.48</v>
          </cell>
        </row>
        <row r="925">
          <cell r="C925" t="str">
            <v>SC005GEN</v>
          </cell>
          <cell r="D925" t="str">
            <v>Screws</v>
          </cell>
          <cell r="E925" t="str">
            <v>BXO, BXH, BIO, BIS, BIW,BIK</v>
          </cell>
          <cell r="Q925" t="str">
            <v>pc</v>
          </cell>
          <cell r="S925">
            <v>4</v>
          </cell>
          <cell r="U925">
            <v>2.31E-3</v>
          </cell>
          <cell r="V925" t="str">
            <v>ST 4.2 x 6</v>
          </cell>
          <cell r="Y925">
            <v>2.0999999999999999E-3</v>
          </cell>
          <cell r="Z925">
            <v>1.48</v>
          </cell>
          <cell r="AA925">
            <v>1.48</v>
          </cell>
        </row>
        <row r="926">
          <cell r="C926" t="str">
            <v>SC005GEN</v>
          </cell>
          <cell r="D926" t="str">
            <v>Screws</v>
          </cell>
          <cell r="E926" t="str">
            <v>BXO, BXH, BIO, BIS, BIW,BIK</v>
          </cell>
          <cell r="Q926" t="str">
            <v>pc</v>
          </cell>
          <cell r="S926">
            <v>8</v>
          </cell>
          <cell r="U926">
            <v>2.31E-3</v>
          </cell>
          <cell r="V926" t="str">
            <v>ST 4.2 x 6</v>
          </cell>
          <cell r="Y926">
            <v>2.0999999999999999E-3</v>
          </cell>
          <cell r="Z926">
            <v>1.48</v>
          </cell>
          <cell r="AA926">
            <v>1.48</v>
          </cell>
        </row>
        <row r="927">
          <cell r="C927" t="str">
            <v>SC005GEN</v>
          </cell>
          <cell r="D927" t="str">
            <v>Screws</v>
          </cell>
          <cell r="E927" t="str">
            <v>BXO, BXH, BIO, BIS, BIW,BIK</v>
          </cell>
          <cell r="Q927" t="str">
            <v>pc</v>
          </cell>
          <cell r="T927" t="str">
            <v>4/D</v>
          </cell>
          <cell r="U927">
            <v>2.31E-3</v>
          </cell>
          <cell r="V927" t="str">
            <v>ST 4.2 x 6</v>
          </cell>
          <cell r="Y927">
            <v>2.0999999999999999E-3</v>
          </cell>
          <cell r="Z927">
            <v>1.48</v>
          </cell>
          <cell r="AA927">
            <v>1.48</v>
          </cell>
        </row>
        <row r="928">
          <cell r="D928" t="str">
            <v>Screws</v>
          </cell>
          <cell r="E928" t="str">
            <v>BXO, BXH, BIO, BIS, BIW, BKO, BKH, BJO, BJS, BJW,BIK</v>
          </cell>
          <cell r="F928" t="str">
            <v>S,M</v>
          </cell>
          <cell r="G928" t="str">
            <v>-</v>
          </cell>
          <cell r="Q928" t="str">
            <v>pc</v>
          </cell>
          <cell r="T928">
            <v>2</v>
          </cell>
          <cell r="U928">
            <v>1.1000000000000001E-2</v>
          </cell>
          <cell r="V928" t="str">
            <v xml:space="preserve">Coarse Screw 4 mm </v>
          </cell>
          <cell r="Y928">
            <v>0.01</v>
          </cell>
          <cell r="Z928">
            <v>1.48</v>
          </cell>
          <cell r="AA928">
            <v>1.48</v>
          </cell>
        </row>
        <row r="929">
          <cell r="D929" t="str">
            <v>Screws</v>
          </cell>
          <cell r="E929" t="str">
            <v>BHO, BHS, BOO, BOS, BOW,BOK</v>
          </cell>
          <cell r="F929" t="str">
            <v>W</v>
          </cell>
          <cell r="G929" t="str">
            <v>-</v>
          </cell>
          <cell r="Q929" t="str">
            <v>pc</v>
          </cell>
          <cell r="T929">
            <v>4</v>
          </cell>
          <cell r="U929">
            <v>1.1000000000000001E-2</v>
          </cell>
          <cell r="V929" t="str">
            <v xml:space="preserve">Coarse Screw 4 mm </v>
          </cell>
          <cell r="Y929">
            <v>0.01</v>
          </cell>
          <cell r="Z929">
            <v>1.48</v>
          </cell>
          <cell r="AA929">
            <v>1.48</v>
          </cell>
        </row>
        <row r="930">
          <cell r="C930" t="str">
            <v>SC005GEN</v>
          </cell>
          <cell r="D930" t="str">
            <v>Screws</v>
          </cell>
          <cell r="E930" t="str">
            <v>BHO, BHS, BOO, BOS, BOW,BOK</v>
          </cell>
          <cell r="F930" t="str">
            <v>I</v>
          </cell>
          <cell r="Q930" t="str">
            <v>pc</v>
          </cell>
          <cell r="T930">
            <v>3</v>
          </cell>
          <cell r="U930">
            <v>2.31E-3</v>
          </cell>
          <cell r="V930" t="str">
            <v>ST 4.2 x 6</v>
          </cell>
          <cell r="Y930">
            <v>2.0999999999999999E-3</v>
          </cell>
          <cell r="Z930">
            <v>1.48</v>
          </cell>
          <cell r="AA930">
            <v>1.48</v>
          </cell>
        </row>
        <row r="931">
          <cell r="C931" t="str">
            <v>SC005GEN</v>
          </cell>
          <cell r="D931" t="str">
            <v>Screws</v>
          </cell>
          <cell r="E931" t="str">
            <v>BHO, BHS, BOO, BOS, BOW,BOK</v>
          </cell>
          <cell r="F931" t="str">
            <v>R,T,S,P,M,W</v>
          </cell>
          <cell r="Q931" t="str">
            <v>pc</v>
          </cell>
          <cell r="T931">
            <v>7</v>
          </cell>
          <cell r="U931">
            <v>2.31E-3</v>
          </cell>
          <cell r="V931" t="str">
            <v>ST 4.2 x 6</v>
          </cell>
          <cell r="Y931">
            <v>2.0999999999999999E-3</v>
          </cell>
          <cell r="Z931">
            <v>1.48</v>
          </cell>
          <cell r="AA931">
            <v>1.48</v>
          </cell>
        </row>
        <row r="932">
          <cell r="C932" t="str">
            <v>SC006GEN</v>
          </cell>
          <cell r="D932" t="str">
            <v>Screws</v>
          </cell>
          <cell r="E932" t="str">
            <v>BHO, BHS, BOO, BOS, BOW,BOK</v>
          </cell>
          <cell r="Q932" t="str">
            <v>pc</v>
          </cell>
          <cell r="S932">
            <v>6</v>
          </cell>
          <cell r="U932">
            <v>5.5440000000000003E-3</v>
          </cell>
          <cell r="V932" t="str">
            <v>43 x 6</v>
          </cell>
          <cell r="Y932">
            <v>5.0400000000000002E-3</v>
          </cell>
          <cell r="Z932">
            <v>1.48</v>
          </cell>
          <cell r="AA932">
            <v>1.48</v>
          </cell>
        </row>
        <row r="933">
          <cell r="C933" t="str">
            <v>SC005GEN</v>
          </cell>
          <cell r="D933" t="str">
            <v>Screws</v>
          </cell>
          <cell r="E933" t="str">
            <v>BHO, BHS, BOO, BOS, BOW,BOK</v>
          </cell>
          <cell r="F933" t="str">
            <v>R</v>
          </cell>
          <cell r="H933" t="str">
            <v>12,18,24,30,36,42</v>
          </cell>
          <cell r="Q933" t="str">
            <v>pc</v>
          </cell>
          <cell r="S933">
            <v>8</v>
          </cell>
          <cell r="U933">
            <v>2.31E-3</v>
          </cell>
          <cell r="V933" t="str">
            <v>ST 4.2 x 6</v>
          </cell>
          <cell r="Y933">
            <v>2.0999999999999999E-3</v>
          </cell>
          <cell r="Z933">
            <v>1.48</v>
          </cell>
          <cell r="AA933">
            <v>1.48</v>
          </cell>
        </row>
        <row r="934">
          <cell r="C934" t="str">
            <v>SC005GEN</v>
          </cell>
          <cell r="D934" t="str">
            <v>Screws</v>
          </cell>
          <cell r="E934" t="str">
            <v>BHO, BHS, BOO, BOS, BOW,BOK</v>
          </cell>
          <cell r="F934" t="str">
            <v>R</v>
          </cell>
          <cell r="H934" t="str">
            <v>48,54,60</v>
          </cell>
          <cell r="Q934" t="str">
            <v>pc</v>
          </cell>
          <cell r="S934">
            <v>12</v>
          </cell>
          <cell r="U934">
            <v>2.31E-3</v>
          </cell>
          <cell r="V934" t="str">
            <v>ST 4.2 x 6</v>
          </cell>
          <cell r="Y934">
            <v>2.0999999999999999E-3</v>
          </cell>
          <cell r="Z934">
            <v>1.48</v>
          </cell>
          <cell r="AA934">
            <v>1.48</v>
          </cell>
        </row>
        <row r="935">
          <cell r="C935" t="str">
            <v>SC000GEN</v>
          </cell>
          <cell r="D935" t="str">
            <v>Screws</v>
          </cell>
          <cell r="Q935" t="str">
            <v>pc</v>
          </cell>
          <cell r="T935">
            <v>4</v>
          </cell>
          <cell r="U935">
            <v>2.2000000000000001E-3</v>
          </cell>
          <cell r="V935" t="str">
            <v>Machine Screw, Pan Head, Phillips Imprint, Dimensions: M3x4, M3x4 ISO 7045, M3x4 ISO 7045</v>
          </cell>
          <cell r="Y935">
            <v>2E-3</v>
          </cell>
          <cell r="Z935">
            <v>1.48</v>
          </cell>
          <cell r="AA935">
            <v>1.48</v>
          </cell>
        </row>
        <row r="936">
          <cell r="C936" t="str">
            <v>SC002GEN</v>
          </cell>
          <cell r="D936" t="str">
            <v>Screws</v>
          </cell>
          <cell r="Q936" t="str">
            <v>pc</v>
          </cell>
          <cell r="T936">
            <v>4</v>
          </cell>
          <cell r="U936">
            <v>1.1000000000000001E-2</v>
          </cell>
          <cell r="V936" t="str">
            <v>Machine Screw, Hex Bolt Head, Hex Imprint, Dimensions: M4x8, M4x8 ISO 4017, M4x8 ISO 4017</v>
          </cell>
          <cell r="Y936">
            <v>0.01</v>
          </cell>
          <cell r="Z936">
            <v>1.48</v>
          </cell>
          <cell r="AA936">
            <v>1.48</v>
          </cell>
        </row>
        <row r="937">
          <cell r="C937" t="str">
            <v>SC004GEN</v>
          </cell>
          <cell r="D937" t="str">
            <v>Screws</v>
          </cell>
          <cell r="E937" t="str">
            <v>BXO, BXH, BIO, BIS, BIW</v>
          </cell>
          <cell r="Q937" t="str">
            <v>pc</v>
          </cell>
          <cell r="T937">
            <v>1</v>
          </cell>
          <cell r="U937">
            <v>1.1000000000000001E-2</v>
          </cell>
          <cell r="V937" t="str">
            <v>Machine Screw, Pan Head, Phillips Imprint, Dimensions: M4x40, M4x40 ISO 7045, M4x40 ISO 7045</v>
          </cell>
          <cell r="Y937">
            <v>0.01</v>
          </cell>
          <cell r="Z937">
            <v>1.48</v>
          </cell>
          <cell r="AA937">
            <v>1.48</v>
          </cell>
        </row>
        <row r="938">
          <cell r="C938" t="str">
            <v>SC004GEN</v>
          </cell>
          <cell r="D938" t="str">
            <v>Screws</v>
          </cell>
          <cell r="E938" t="str">
            <v>BXO, BXH, BIO, BIS, BIW, BIK</v>
          </cell>
          <cell r="F938" t="str">
            <v>R</v>
          </cell>
          <cell r="Q938" t="str">
            <v>pc</v>
          </cell>
          <cell r="T938">
            <v>2</v>
          </cell>
          <cell r="U938">
            <v>1.1000000000000001E-2</v>
          </cell>
          <cell r="V938" t="str">
            <v>Machine Screw, Pan Head, Phillips Imprint, Dimensions: M4x40, M4x40 ISO 7045, M4x40 ISO 7045</v>
          </cell>
          <cell r="Y938">
            <v>0.01</v>
          </cell>
          <cell r="Z938">
            <v>1.48</v>
          </cell>
          <cell r="AA938">
            <v>1.48</v>
          </cell>
        </row>
        <row r="940">
          <cell r="C940" t="str">
            <v>PC004TCI</v>
          </cell>
          <cell r="D940" t="str">
            <v>Powder Coat</v>
          </cell>
          <cell r="E940" t="str">
            <v>BXO, BXH, BIO, BIS, BIW,BIK</v>
          </cell>
          <cell r="F940" t="str">
            <v>S,M,P,W</v>
          </cell>
          <cell r="P940" t="str">
            <v>B</v>
          </cell>
          <cell r="Q940" t="str">
            <v>pc</v>
          </cell>
          <cell r="S940">
            <v>0.02</v>
          </cell>
          <cell r="U940">
            <v>8.8330000000000002</v>
          </cell>
          <cell r="V940" t="str">
            <v>Powder Coating / PC003BMA in LB (Kg)</v>
          </cell>
          <cell r="Y940">
            <v>8.0299999999999994</v>
          </cell>
          <cell r="Z940">
            <v>1.1000000000000001</v>
          </cell>
          <cell r="AA940">
            <v>1</v>
          </cell>
        </row>
        <row r="941">
          <cell r="C941" t="str">
            <v>PC012BMA</v>
          </cell>
          <cell r="D941" t="str">
            <v>Powder Coat</v>
          </cell>
          <cell r="E941" t="str">
            <v>BXO, BXH, BIO, BIS, BIW,BIK</v>
          </cell>
          <cell r="F941" t="str">
            <v>P</v>
          </cell>
          <cell r="G941" t="str">
            <v>B,S</v>
          </cell>
          <cell r="P941" t="str">
            <v>G</v>
          </cell>
          <cell r="Q941" t="str">
            <v>pc</v>
          </cell>
          <cell r="T941">
            <v>0.01</v>
          </cell>
          <cell r="U941">
            <v>5.5330000000000004</v>
          </cell>
          <cell r="V941" t="str">
            <v>Powder Coating (Kg) / PC007TCI in USA (Kg) - FOR CANOPY</v>
          </cell>
          <cell r="Y941">
            <v>5.03</v>
          </cell>
          <cell r="Z941">
            <v>1.1000000000000001</v>
          </cell>
          <cell r="AA941">
            <v>1</v>
          </cell>
        </row>
        <row r="942">
          <cell r="C942" t="str">
            <v>PC007TCI</v>
          </cell>
          <cell r="D942" t="str">
            <v>Powder Coat</v>
          </cell>
          <cell r="E942" t="str">
            <v>BXO, BXH, BIO, BIS, BIW,BIK</v>
          </cell>
          <cell r="F942" t="str">
            <v>S,M,P,W</v>
          </cell>
          <cell r="P942" t="str">
            <v>G</v>
          </cell>
          <cell r="Q942" t="str">
            <v>pc</v>
          </cell>
          <cell r="S942">
            <v>0.02</v>
          </cell>
          <cell r="U942">
            <v>5.5330000000000004</v>
          </cell>
          <cell r="V942" t="str">
            <v>Powder Coating (Kg) / PC012BMA in LB (Kg)</v>
          </cell>
          <cell r="Y942">
            <v>5.03</v>
          </cell>
          <cell r="Z942">
            <v>1.1000000000000001</v>
          </cell>
          <cell r="AA942">
            <v>1</v>
          </cell>
        </row>
        <row r="943">
          <cell r="C943" t="str">
            <v>PC005TCI</v>
          </cell>
          <cell r="D943" t="str">
            <v>Powder Coat</v>
          </cell>
          <cell r="E943" t="str">
            <v>BXO, BXH, BIO, BIS, BIW,BIK</v>
          </cell>
          <cell r="F943" t="str">
            <v>S,M,P,W</v>
          </cell>
          <cell r="P943" t="str">
            <v>W</v>
          </cell>
          <cell r="Q943" t="str">
            <v>pc</v>
          </cell>
          <cell r="S943">
            <v>0.02</v>
          </cell>
          <cell r="U943">
            <v>6.3250000000000002</v>
          </cell>
          <cell r="V943" t="str">
            <v>Powder Coating / PC002BMA in LB (Kg)</v>
          </cell>
          <cell r="Y943">
            <v>5.75</v>
          </cell>
          <cell r="Z943">
            <v>1.1000000000000001</v>
          </cell>
          <cell r="AA943">
            <v>1</v>
          </cell>
        </row>
        <row r="944">
          <cell r="C944" t="str">
            <v>PC004TCI</v>
          </cell>
          <cell r="D944" t="str">
            <v>Powder Coat</v>
          </cell>
          <cell r="E944" t="str">
            <v>BXO, BXH, BIO, BIS, BIW,BIK</v>
          </cell>
          <cell r="F944" t="str">
            <v>R</v>
          </cell>
          <cell r="P944" t="str">
            <v>B</v>
          </cell>
          <cell r="Q944" t="str">
            <v>pc</v>
          </cell>
          <cell r="S944">
            <v>0.02</v>
          </cell>
          <cell r="U944">
            <v>8.8330000000000002</v>
          </cell>
          <cell r="V944" t="str">
            <v>Powder Coating / PC003BMA in LB (Kg)</v>
          </cell>
          <cell r="Y944">
            <v>8.0299999999999994</v>
          </cell>
          <cell r="Z944">
            <v>1.1000000000000001</v>
          </cell>
          <cell r="AA944">
            <v>1</v>
          </cell>
        </row>
        <row r="945">
          <cell r="C945" t="str">
            <v>PC007TCI</v>
          </cell>
          <cell r="D945" t="str">
            <v>Powder Coat</v>
          </cell>
          <cell r="E945" t="str">
            <v>BXO, BXH, BIO, BIS, BIW,BIK</v>
          </cell>
          <cell r="F945" t="str">
            <v>R</v>
          </cell>
          <cell r="P945" t="str">
            <v>G</v>
          </cell>
          <cell r="Q945" t="str">
            <v>pc</v>
          </cell>
          <cell r="S945">
            <v>0.02</v>
          </cell>
          <cell r="U945">
            <v>5.5330000000000004</v>
          </cell>
          <cell r="V945" t="str">
            <v>Powder Coating (Kg) / PC012BMA in LB (Kg)</v>
          </cell>
          <cell r="Y945">
            <v>5.03</v>
          </cell>
          <cell r="Z945">
            <v>1.1000000000000001</v>
          </cell>
          <cell r="AA945">
            <v>1</v>
          </cell>
        </row>
        <row r="946">
          <cell r="C946" t="str">
            <v>PC005TCI</v>
          </cell>
          <cell r="D946" t="str">
            <v>Powder Coat</v>
          </cell>
          <cell r="E946" t="str">
            <v>BXO, BXH, BIO, BIS, BIW,BIK</v>
          </cell>
          <cell r="F946" t="str">
            <v>R</v>
          </cell>
          <cell r="P946" t="str">
            <v>W</v>
          </cell>
          <cell r="Q946" t="str">
            <v>pc</v>
          </cell>
          <cell r="S946">
            <v>0.02</v>
          </cell>
          <cell r="U946">
            <v>6.3250000000000002</v>
          </cell>
          <cell r="V946" t="str">
            <v>Powder Coating / PC002BMA in LB (Kg)</v>
          </cell>
          <cell r="Y946">
            <v>5.75</v>
          </cell>
          <cell r="Z946">
            <v>1.1000000000000001</v>
          </cell>
          <cell r="AA946">
            <v>1</v>
          </cell>
        </row>
        <row r="947">
          <cell r="C947" t="str">
            <v>PC004TCI</v>
          </cell>
          <cell r="D947" t="str">
            <v>Powder Coat</v>
          </cell>
          <cell r="E947" t="str">
            <v>BXO, BXH, BIO, BIS, BIW,BIK</v>
          </cell>
          <cell r="F947" t="str">
            <v>T</v>
          </cell>
          <cell r="P947" t="str">
            <v>B</v>
          </cell>
          <cell r="Q947" t="str">
            <v>pc</v>
          </cell>
          <cell r="S947">
            <v>0.02</v>
          </cell>
          <cell r="U947">
            <v>8.8330000000000002</v>
          </cell>
          <cell r="V947" t="str">
            <v>Powder Coating / PC003BMA in LB (Kg)</v>
          </cell>
          <cell r="Y947">
            <v>8.0299999999999994</v>
          </cell>
          <cell r="Z947">
            <v>1.1000000000000001</v>
          </cell>
          <cell r="AA947">
            <v>1</v>
          </cell>
        </row>
        <row r="948">
          <cell r="C948" t="str">
            <v>PC007TCI</v>
          </cell>
          <cell r="D948" t="str">
            <v>Powder Coat</v>
          </cell>
          <cell r="E948" t="str">
            <v>BXO, BXH, BIO, BIS, BIW,BIK</v>
          </cell>
          <cell r="F948" t="str">
            <v>T</v>
          </cell>
          <cell r="P948" t="str">
            <v>G</v>
          </cell>
          <cell r="Q948" t="str">
            <v>pc</v>
          </cell>
          <cell r="S948">
            <v>0.02</v>
          </cell>
          <cell r="U948">
            <v>5.5330000000000004</v>
          </cell>
          <cell r="V948" t="str">
            <v>Powder Coating (Kg) / PC012BMA in LB (Kg)</v>
          </cell>
          <cell r="Y948">
            <v>5.03</v>
          </cell>
          <cell r="Z948">
            <v>1.1000000000000001</v>
          </cell>
          <cell r="AA948">
            <v>1</v>
          </cell>
        </row>
        <row r="949">
          <cell r="C949" t="str">
            <v>PC005TCI</v>
          </cell>
          <cell r="D949" t="str">
            <v>Powder Coat</v>
          </cell>
          <cell r="E949" t="str">
            <v>BXO, BXH, BIO, BIS, BIW,BIK</v>
          </cell>
          <cell r="F949" t="str">
            <v>T</v>
          </cell>
          <cell r="P949" t="str">
            <v>W</v>
          </cell>
          <cell r="Q949" t="str">
            <v>pc</v>
          </cell>
          <cell r="S949">
            <v>0.02</v>
          </cell>
          <cell r="U949">
            <v>6.3250000000000002</v>
          </cell>
          <cell r="V949" t="str">
            <v>Powder Coating / PC002BMA in LB (Kg)</v>
          </cell>
          <cell r="Y949">
            <v>5.75</v>
          </cell>
          <cell r="Z949">
            <v>1.1000000000000001</v>
          </cell>
          <cell r="AA949">
            <v>1</v>
          </cell>
        </row>
        <row r="950">
          <cell r="C950" t="str">
            <v>PC004TCI</v>
          </cell>
          <cell r="D950" t="str">
            <v>Powder Coat</v>
          </cell>
          <cell r="E950" t="str">
            <v>BKO, BKH, BJO, BJS, BJW</v>
          </cell>
          <cell r="F950" t="str">
            <v>S,M,P</v>
          </cell>
          <cell r="P950" t="str">
            <v>B</v>
          </cell>
          <cell r="Q950" t="str">
            <v>pc</v>
          </cell>
          <cell r="S950">
            <v>0.02</v>
          </cell>
          <cell r="U950">
            <v>8.8330000000000002</v>
          </cell>
          <cell r="V950" t="str">
            <v>Powder Coating / PC003BMA in LB (Kg)</v>
          </cell>
          <cell r="Y950">
            <v>8.0299999999999994</v>
          </cell>
          <cell r="Z950">
            <v>1.1000000000000001</v>
          </cell>
          <cell r="AA950">
            <v>1</v>
          </cell>
        </row>
        <row r="951">
          <cell r="C951" t="str">
            <v>PC007TCI</v>
          </cell>
          <cell r="D951" t="str">
            <v>Powder Coat</v>
          </cell>
          <cell r="E951" t="str">
            <v>BKO, BKH, BJO, BJS, BJW</v>
          </cell>
          <cell r="F951" t="str">
            <v>S,M,P</v>
          </cell>
          <cell r="P951" t="str">
            <v>G</v>
          </cell>
          <cell r="Q951" t="str">
            <v>pc</v>
          </cell>
          <cell r="S951">
            <v>0.02</v>
          </cell>
          <cell r="U951">
            <v>5.5330000000000004</v>
          </cell>
          <cell r="V951" t="str">
            <v>Powder Coating (Kg) / PC012BMA in LB (Kg)</v>
          </cell>
          <cell r="Y951">
            <v>5.03</v>
          </cell>
          <cell r="Z951">
            <v>1.1000000000000001</v>
          </cell>
          <cell r="AA951">
            <v>1</v>
          </cell>
        </row>
        <row r="952">
          <cell r="C952" t="str">
            <v>PC005TCI</v>
          </cell>
          <cell r="D952" t="str">
            <v>Powder Coat</v>
          </cell>
          <cell r="E952" t="str">
            <v>BKO, BKH, BJO, BJS, BJW</v>
          </cell>
          <cell r="F952" t="str">
            <v>S,M,P</v>
          </cell>
          <cell r="P952" t="str">
            <v>W</v>
          </cell>
          <cell r="Q952" t="str">
            <v>pc</v>
          </cell>
          <cell r="S952">
            <v>0.02</v>
          </cell>
          <cell r="U952">
            <v>6.3250000000000002</v>
          </cell>
          <cell r="V952" t="str">
            <v>Powder Coating / PC002BMA in LB (Kg)</v>
          </cell>
          <cell r="Y952">
            <v>5.75</v>
          </cell>
          <cell r="Z952">
            <v>1.1000000000000001</v>
          </cell>
          <cell r="AA952">
            <v>1</v>
          </cell>
        </row>
        <row r="953">
          <cell r="C953" t="str">
            <v>PC004TCI</v>
          </cell>
          <cell r="D953" t="str">
            <v>Powder Coat</v>
          </cell>
          <cell r="E953" t="str">
            <v>BHO, BHS, BOO, BOS, BOW,BOK</v>
          </cell>
          <cell r="F953" t="str">
            <v>I</v>
          </cell>
          <cell r="P953" t="str">
            <v>B</v>
          </cell>
          <cell r="Q953" t="str">
            <v>pc</v>
          </cell>
          <cell r="S953">
            <v>0.02</v>
          </cell>
          <cell r="U953">
            <v>8.8330000000000002</v>
          </cell>
          <cell r="V953" t="str">
            <v>Powder Coating / PC003BMA in LB (Kg)</v>
          </cell>
          <cell r="Y953">
            <v>8.0299999999999994</v>
          </cell>
          <cell r="Z953">
            <v>1.1000000000000001</v>
          </cell>
          <cell r="AA953">
            <v>1</v>
          </cell>
        </row>
        <row r="954">
          <cell r="C954" t="str">
            <v>PC007TCI</v>
          </cell>
          <cell r="D954" t="str">
            <v>Powder Coat</v>
          </cell>
          <cell r="E954" t="str">
            <v>BHO, BHS, BOO, BOS, BOW,BOK</v>
          </cell>
          <cell r="F954" t="str">
            <v>I</v>
          </cell>
          <cell r="P954" t="str">
            <v>G</v>
          </cell>
          <cell r="Q954" t="str">
            <v>pc</v>
          </cell>
          <cell r="S954">
            <v>0.02</v>
          </cell>
          <cell r="U954">
            <v>5.5330000000000004</v>
          </cell>
          <cell r="V954" t="str">
            <v>Powder Coating (Kg) / PC012BMA in LB (Kg)</v>
          </cell>
          <cell r="Y954">
            <v>5.03</v>
          </cell>
          <cell r="Z954">
            <v>1.1000000000000001</v>
          </cell>
          <cell r="AA954">
            <v>1</v>
          </cell>
        </row>
        <row r="955">
          <cell r="C955" t="str">
            <v>PC005TCI</v>
          </cell>
          <cell r="D955" t="str">
            <v>Powder Coat</v>
          </cell>
          <cell r="E955" t="str">
            <v>BHO, BHS, BOO, BOS, BOW,BOK</v>
          </cell>
          <cell r="F955" t="str">
            <v>I</v>
          </cell>
          <cell r="P955" t="str">
            <v>W</v>
          </cell>
          <cell r="Q955" t="str">
            <v>pc</v>
          </cell>
          <cell r="S955">
            <v>0.02</v>
          </cell>
          <cell r="U955">
            <v>6.3250000000000002</v>
          </cell>
          <cell r="V955" t="str">
            <v>Powder Coating / PC002BMA in LB (Kg)</v>
          </cell>
          <cell r="Y955">
            <v>5.75</v>
          </cell>
          <cell r="Z955">
            <v>1.1000000000000001</v>
          </cell>
          <cell r="AA955">
            <v>1</v>
          </cell>
        </row>
        <row r="956">
          <cell r="C956" t="str">
            <v>PC004TCI</v>
          </cell>
          <cell r="D956" t="str">
            <v>Powder Coat</v>
          </cell>
          <cell r="E956" t="str">
            <v>BHO, BHS, BOO, BOS, BOW,BOK</v>
          </cell>
          <cell r="F956" t="str">
            <v>S</v>
          </cell>
          <cell r="P956" t="str">
            <v>B</v>
          </cell>
          <cell r="Q956" t="str">
            <v>pc</v>
          </cell>
          <cell r="S956">
            <v>0.02</v>
          </cell>
          <cell r="U956">
            <v>8.8330000000000002</v>
          </cell>
          <cell r="V956" t="str">
            <v>Powder Coating / PC003BMA in LB (Kg)</v>
          </cell>
          <cell r="Y956">
            <v>8.0299999999999994</v>
          </cell>
          <cell r="Z956">
            <v>1.1000000000000001</v>
          </cell>
          <cell r="AA956">
            <v>1</v>
          </cell>
        </row>
        <row r="957">
          <cell r="C957" t="str">
            <v>PC007TCI</v>
          </cell>
          <cell r="D957" t="str">
            <v>Powder Coat</v>
          </cell>
          <cell r="E957" t="str">
            <v>BHO, BHS, BOO, BOS, BOW,BOK</v>
          </cell>
          <cell r="F957" t="str">
            <v>S</v>
          </cell>
          <cell r="P957" t="str">
            <v>G</v>
          </cell>
          <cell r="Q957" t="str">
            <v>pc</v>
          </cell>
          <cell r="S957">
            <v>0.02</v>
          </cell>
          <cell r="U957">
            <v>5.5330000000000004</v>
          </cell>
          <cell r="V957" t="str">
            <v>Powder Coating (Kg) / PC012BMA in LB (Kg)</v>
          </cell>
          <cell r="Y957">
            <v>5.03</v>
          </cell>
          <cell r="Z957">
            <v>1.1000000000000001</v>
          </cell>
          <cell r="AA957">
            <v>1</v>
          </cell>
        </row>
        <row r="958">
          <cell r="C958" t="str">
            <v>PC005TCI</v>
          </cell>
          <cell r="D958" t="str">
            <v>Powder Coat</v>
          </cell>
          <cell r="E958" t="str">
            <v>BHO, BHS, BOO, BOS, BOW,BOK</v>
          </cell>
          <cell r="F958" t="str">
            <v>S</v>
          </cell>
          <cell r="P958" t="str">
            <v>W</v>
          </cell>
          <cell r="Q958" t="str">
            <v>pc</v>
          </cell>
          <cell r="S958">
            <v>0.02</v>
          </cell>
          <cell r="U958">
            <v>6.3250000000000002</v>
          </cell>
          <cell r="V958" t="str">
            <v>Powder Coating / PC002BMA in LB (Kg)</v>
          </cell>
          <cell r="Y958">
            <v>5.75</v>
          </cell>
          <cell r="Z958">
            <v>1.1000000000000001</v>
          </cell>
          <cell r="AA958">
            <v>1</v>
          </cell>
        </row>
        <row r="959">
          <cell r="C959" t="str">
            <v>PC004TCI</v>
          </cell>
          <cell r="D959" t="str">
            <v>Powder Coat</v>
          </cell>
          <cell r="E959" t="str">
            <v>BHO, BHS, BOO, BOS, BOW,BOK</v>
          </cell>
          <cell r="F959" t="str">
            <v>T,M</v>
          </cell>
          <cell r="P959" t="str">
            <v>B</v>
          </cell>
          <cell r="Q959" t="str">
            <v>pc</v>
          </cell>
          <cell r="S959">
            <v>0.02</v>
          </cell>
          <cell r="U959">
            <v>8.8330000000000002</v>
          </cell>
          <cell r="V959" t="str">
            <v>Powder Coating / PC003BMA in LB (Kg)</v>
          </cell>
          <cell r="Y959">
            <v>8.0299999999999994</v>
          </cell>
          <cell r="Z959">
            <v>1.1000000000000001</v>
          </cell>
          <cell r="AA959">
            <v>1</v>
          </cell>
        </row>
        <row r="960">
          <cell r="C960" t="str">
            <v>PC007TCI</v>
          </cell>
          <cell r="D960" t="str">
            <v>Powder Coat</v>
          </cell>
          <cell r="E960" t="str">
            <v>BHO, BHS, BOO, BOS, BOW,BOK</v>
          </cell>
          <cell r="F960" t="str">
            <v>T,M</v>
          </cell>
          <cell r="P960" t="str">
            <v>G</v>
          </cell>
          <cell r="Q960" t="str">
            <v>pc</v>
          </cell>
          <cell r="S960">
            <v>0.02</v>
          </cell>
          <cell r="U960">
            <v>5.5330000000000004</v>
          </cell>
          <cell r="V960" t="str">
            <v>Powder Coating (Kg) / PC012BMA in LB (Kg)</v>
          </cell>
          <cell r="Y960">
            <v>5.03</v>
          </cell>
          <cell r="Z960">
            <v>1.1000000000000001</v>
          </cell>
          <cell r="AA960">
            <v>1</v>
          </cell>
        </row>
        <row r="961">
          <cell r="C961" t="str">
            <v>PC005TCI</v>
          </cell>
          <cell r="D961" t="str">
            <v>Powder Coat</v>
          </cell>
          <cell r="E961" t="str">
            <v>BHO, BHS, BOO, BOS, BOW,BOK</v>
          </cell>
          <cell r="F961" t="str">
            <v>T,M</v>
          </cell>
          <cell r="P961" t="str">
            <v>W</v>
          </cell>
          <cell r="Q961" t="str">
            <v>pc</v>
          </cell>
          <cell r="S961">
            <v>0.02</v>
          </cell>
          <cell r="U961">
            <v>6.3250000000000002</v>
          </cell>
          <cell r="V961" t="str">
            <v>Powder Coating / PC002BMA in LB (Kg)</v>
          </cell>
          <cell r="Y961">
            <v>5.75</v>
          </cell>
          <cell r="Z961">
            <v>1.1000000000000001</v>
          </cell>
          <cell r="AA961">
            <v>1</v>
          </cell>
        </row>
        <row r="962">
          <cell r="C962" t="str">
            <v>PC004TCI</v>
          </cell>
          <cell r="D962" t="str">
            <v>Powder Coat</v>
          </cell>
          <cell r="E962" t="str">
            <v>BHO, BHS, BOO, BOS, BOW,BOK</v>
          </cell>
          <cell r="F962" t="str">
            <v>R</v>
          </cell>
          <cell r="P962" t="str">
            <v>B</v>
          </cell>
          <cell r="Q962" t="str">
            <v>pc</v>
          </cell>
          <cell r="S962">
            <v>0.02</v>
          </cell>
          <cell r="U962">
            <v>8.8330000000000002</v>
          </cell>
          <cell r="V962" t="str">
            <v>Powder Coating / PC003BMA in LB (Kg)</v>
          </cell>
          <cell r="Y962">
            <v>8.0299999999999994</v>
          </cell>
          <cell r="Z962">
            <v>1.1000000000000001</v>
          </cell>
          <cell r="AA962">
            <v>1</v>
          </cell>
        </row>
        <row r="963">
          <cell r="C963" t="str">
            <v>PC007TCI</v>
          </cell>
          <cell r="D963" t="str">
            <v>Powder Coat</v>
          </cell>
          <cell r="E963" t="str">
            <v>BHO, BHS, BOO, BOS, BOW,BOK</v>
          </cell>
          <cell r="F963" t="str">
            <v>R</v>
          </cell>
          <cell r="P963" t="str">
            <v>G</v>
          </cell>
          <cell r="Q963" t="str">
            <v>pc</v>
          </cell>
          <cell r="S963">
            <v>0.02</v>
          </cell>
          <cell r="U963">
            <v>5.5330000000000004</v>
          </cell>
          <cell r="V963" t="str">
            <v>Powder Coating (Kg) / PC012BMA in LB (Kg)</v>
          </cell>
          <cell r="Y963">
            <v>5.03</v>
          </cell>
          <cell r="Z963">
            <v>1.1000000000000001</v>
          </cell>
          <cell r="AA963">
            <v>1</v>
          </cell>
        </row>
        <row r="964">
          <cell r="C964" t="str">
            <v>PC005TCI</v>
          </cell>
          <cell r="D964" t="str">
            <v>Powder Coat</v>
          </cell>
          <cell r="E964" t="str">
            <v>BHO, BHS, BOO, BOS, BOW,BOK</v>
          </cell>
          <cell r="F964" t="str">
            <v>R</v>
          </cell>
          <cell r="P964" t="str">
            <v>W</v>
          </cell>
          <cell r="Q964" t="str">
            <v>pc</v>
          </cell>
          <cell r="S964">
            <v>0.02</v>
          </cell>
          <cell r="U964">
            <v>6.3250000000000002</v>
          </cell>
          <cell r="V964" t="str">
            <v>Powder Coating / PC002BMA in LB (Kg)</v>
          </cell>
          <cell r="Y964">
            <v>5.75</v>
          </cell>
          <cell r="Z964">
            <v>1.1000000000000001</v>
          </cell>
          <cell r="AA964">
            <v>1</v>
          </cell>
        </row>
        <row r="965">
          <cell r="C965" t="str">
            <v>PC004TCI</v>
          </cell>
          <cell r="D965" t="str">
            <v>Powder Coat</v>
          </cell>
          <cell r="E965" t="str">
            <v>BHO, BHS, BOO, BOS, BOW,BOK</v>
          </cell>
          <cell r="F965" t="str">
            <v>W</v>
          </cell>
          <cell r="P965" t="str">
            <v>B</v>
          </cell>
          <cell r="Q965" t="str">
            <v>pc</v>
          </cell>
          <cell r="S965">
            <v>0.02</v>
          </cell>
          <cell r="U965">
            <v>8.8330000000000002</v>
          </cell>
          <cell r="V965" t="str">
            <v>Powder Coating / PC003BMA in LB (Kg)</v>
          </cell>
          <cell r="Y965">
            <v>8.0299999999999994</v>
          </cell>
          <cell r="Z965">
            <v>1.1000000000000001</v>
          </cell>
          <cell r="AA965">
            <v>1</v>
          </cell>
        </row>
        <row r="966">
          <cell r="C966" t="str">
            <v>PC007TCI</v>
          </cell>
          <cell r="D966" t="str">
            <v>Powder Coat</v>
          </cell>
          <cell r="E966" t="str">
            <v>BHO, BHS, BOO, BOS, BOW,BOK</v>
          </cell>
          <cell r="F966" t="str">
            <v>W</v>
          </cell>
          <cell r="P966" t="str">
            <v>G</v>
          </cell>
          <cell r="Q966" t="str">
            <v>pc</v>
          </cell>
          <cell r="S966">
            <v>0.02</v>
          </cell>
          <cell r="U966">
            <v>5.5330000000000004</v>
          </cell>
          <cell r="V966" t="str">
            <v>Powder Coating (Kg) / PC012BMA in LB (Kg)</v>
          </cell>
          <cell r="Y966">
            <v>5.03</v>
          </cell>
          <cell r="Z966">
            <v>1.1000000000000001</v>
          </cell>
          <cell r="AA966">
            <v>1</v>
          </cell>
        </row>
        <row r="967">
          <cell r="C967" t="str">
            <v>PC005TCI</v>
          </cell>
          <cell r="D967" t="str">
            <v>Powder Coat</v>
          </cell>
          <cell r="E967" t="str">
            <v>BHO, BHS, BOO, BOS, BOW,BOK</v>
          </cell>
          <cell r="F967" t="str">
            <v>W</v>
          </cell>
          <cell r="P967" t="str">
            <v>W</v>
          </cell>
          <cell r="Q967" t="str">
            <v>pc</v>
          </cell>
          <cell r="S967">
            <v>0.02</v>
          </cell>
          <cell r="U967">
            <v>6.3250000000000002</v>
          </cell>
          <cell r="V967" t="str">
            <v>Powder Coating / PC002BMA in LB (Kg)</v>
          </cell>
          <cell r="Y967">
            <v>5.75</v>
          </cell>
          <cell r="Z967">
            <v>1.1000000000000001</v>
          </cell>
          <cell r="AA967">
            <v>1</v>
          </cell>
        </row>
        <row r="968">
          <cell r="C968" t="str">
            <v>PC004TCI</v>
          </cell>
          <cell r="D968" t="str">
            <v>Powder Coat</v>
          </cell>
          <cell r="E968" t="str">
            <v>BHO, BHS, BOO, BOS, BOW,BOK</v>
          </cell>
          <cell r="F968" t="str">
            <v>P</v>
          </cell>
          <cell r="P968" t="str">
            <v>B</v>
          </cell>
          <cell r="Q968" t="str">
            <v>pc</v>
          </cell>
          <cell r="S968">
            <v>0.02</v>
          </cell>
          <cell r="U968">
            <v>8.8330000000000002</v>
          </cell>
          <cell r="V968" t="str">
            <v>Powder Coating / PC003BMA in LB (Kg)</v>
          </cell>
          <cell r="Y968">
            <v>8.0299999999999994</v>
          </cell>
          <cell r="Z968">
            <v>1.1000000000000001</v>
          </cell>
          <cell r="AA968">
            <v>1</v>
          </cell>
        </row>
        <row r="969">
          <cell r="C969" t="str">
            <v>PC007TCI</v>
          </cell>
          <cell r="D969" t="str">
            <v>Powder Coat</v>
          </cell>
          <cell r="E969" t="str">
            <v>BHO, BHS, BOO, BOS, BOW,BOK</v>
          </cell>
          <cell r="F969" t="str">
            <v>P</v>
          </cell>
          <cell r="P969" t="str">
            <v>G</v>
          </cell>
          <cell r="Q969" t="str">
            <v>pc</v>
          </cell>
          <cell r="S969">
            <v>0.02</v>
          </cell>
          <cell r="U969">
            <v>5.5330000000000004</v>
          </cell>
          <cell r="V969" t="str">
            <v>Powder Coating (Kg) / PC012BMA in LB (Kg)</v>
          </cell>
          <cell r="Y969">
            <v>5.03</v>
          </cell>
          <cell r="Z969">
            <v>1.1000000000000001</v>
          </cell>
          <cell r="AA969">
            <v>1</v>
          </cell>
        </row>
        <row r="970">
          <cell r="C970" t="str">
            <v>PC005TCI</v>
          </cell>
          <cell r="D970" t="str">
            <v>Powder Coat</v>
          </cell>
          <cell r="E970" t="str">
            <v>BHO, BHS, BOO, BOS, BOW,BOK</v>
          </cell>
          <cell r="F970" t="str">
            <v>P</v>
          </cell>
          <cell r="P970" t="str">
            <v>W</v>
          </cell>
          <cell r="Q970" t="str">
            <v>pc</v>
          </cell>
          <cell r="S970">
            <v>0.02</v>
          </cell>
          <cell r="U970">
            <v>6.3250000000000002</v>
          </cell>
          <cell r="V970" t="str">
            <v>Powder Coating / PC002BMA in LB (Kg)</v>
          </cell>
          <cell r="Y970">
            <v>5.75</v>
          </cell>
          <cell r="Z970">
            <v>1.1000000000000001</v>
          </cell>
          <cell r="AA970">
            <v>1</v>
          </cell>
        </row>
        <row r="972">
          <cell r="C972" t="str">
            <v>PRN26CW50MT</v>
          </cell>
          <cell r="D972" t="str">
            <v>Packaging</v>
          </cell>
          <cell r="H972" t="str">
            <v>06</v>
          </cell>
          <cell r="Q972" t="str">
            <v>pc</v>
          </cell>
          <cell r="T972">
            <v>1</v>
          </cell>
          <cell r="U972">
            <v>0.38500000000000001</v>
          </cell>
          <cell r="Y972">
            <v>0.35</v>
          </cell>
          <cell r="Z972">
            <v>1</v>
          </cell>
          <cell r="AA972">
            <v>1</v>
          </cell>
        </row>
        <row r="973">
          <cell r="C973" t="str">
            <v>PRN26CW50MT</v>
          </cell>
          <cell r="D973" t="str">
            <v>Packaging</v>
          </cell>
          <cell r="H973">
            <v>12</v>
          </cell>
          <cell r="Q973" t="str">
            <v>pc</v>
          </cell>
          <cell r="T973">
            <v>1</v>
          </cell>
          <cell r="U973">
            <v>0.45100000000000001</v>
          </cell>
          <cell r="Y973">
            <v>0.41</v>
          </cell>
          <cell r="Z973">
            <v>1</v>
          </cell>
          <cell r="AA973">
            <v>1</v>
          </cell>
        </row>
        <row r="974">
          <cell r="C974" t="str">
            <v>PRN26CW50MT</v>
          </cell>
          <cell r="D974" t="str">
            <v>Packaging</v>
          </cell>
          <cell r="H974">
            <v>18</v>
          </cell>
          <cell r="Q974" t="str">
            <v>pc</v>
          </cell>
          <cell r="T974">
            <v>1.5144000000000001E-2</v>
          </cell>
          <cell r="U974">
            <v>0.51700000000000002</v>
          </cell>
          <cell r="Y974">
            <v>0.47</v>
          </cell>
          <cell r="Z974">
            <v>1</v>
          </cell>
          <cell r="AA974">
            <v>1</v>
          </cell>
        </row>
        <row r="975">
          <cell r="C975" t="str">
            <v>PRN26CW50MT</v>
          </cell>
          <cell r="D975" t="str">
            <v>Packaging</v>
          </cell>
          <cell r="H975">
            <v>24</v>
          </cell>
          <cell r="Q975" t="str">
            <v>pc</v>
          </cell>
          <cell r="T975">
            <v>1.8192E-2</v>
          </cell>
          <cell r="U975">
            <v>0.58300000000000007</v>
          </cell>
          <cell r="Y975">
            <v>0.53</v>
          </cell>
          <cell r="Z975">
            <v>1</v>
          </cell>
          <cell r="AA975">
            <v>1</v>
          </cell>
        </row>
        <row r="976">
          <cell r="C976" t="str">
            <v>PRN26CW50MT</v>
          </cell>
          <cell r="D976" t="str">
            <v>Packaging</v>
          </cell>
          <cell r="H976">
            <v>30</v>
          </cell>
          <cell r="Q976" t="str">
            <v>pc</v>
          </cell>
          <cell r="T976">
            <v>2.1240000000000002E-2</v>
          </cell>
          <cell r="U976">
            <v>0.64900000000000002</v>
          </cell>
          <cell r="Y976">
            <v>0.59</v>
          </cell>
          <cell r="Z976">
            <v>1</v>
          </cell>
          <cell r="AA976">
            <v>1</v>
          </cell>
        </row>
        <row r="977">
          <cell r="C977" t="str">
            <v>PRN26CW50MT</v>
          </cell>
          <cell r="D977" t="str">
            <v>Packaging</v>
          </cell>
          <cell r="H977">
            <v>36</v>
          </cell>
          <cell r="Q977" t="str">
            <v>pc</v>
          </cell>
          <cell r="T977">
            <v>2.4288000000000004E-2</v>
          </cell>
          <cell r="U977">
            <v>0.71500000000000008</v>
          </cell>
          <cell r="Y977">
            <v>0.65</v>
          </cell>
          <cell r="Z977">
            <v>1</v>
          </cell>
          <cell r="AA977">
            <v>1</v>
          </cell>
        </row>
        <row r="978">
          <cell r="C978" t="str">
            <v>PRN26CW50MT</v>
          </cell>
          <cell r="D978" t="str">
            <v>Packaging</v>
          </cell>
          <cell r="H978">
            <v>42</v>
          </cell>
          <cell r="Q978" t="str">
            <v>pc</v>
          </cell>
          <cell r="T978">
            <v>2.7335999999999999E-2</v>
          </cell>
          <cell r="U978">
            <v>0.78100000000000003</v>
          </cell>
          <cell r="Y978">
            <v>0.71</v>
          </cell>
          <cell r="Z978">
            <v>1</v>
          </cell>
          <cell r="AA978">
            <v>1</v>
          </cell>
        </row>
        <row r="979">
          <cell r="C979" t="str">
            <v>PRN26CW50MT</v>
          </cell>
          <cell r="D979" t="str">
            <v>Packaging</v>
          </cell>
          <cell r="H979">
            <v>48</v>
          </cell>
          <cell r="Q979" t="str">
            <v>pc</v>
          </cell>
          <cell r="T979">
            <v>3.0384000000000001E-2</v>
          </cell>
          <cell r="U979">
            <v>0.84700000000000009</v>
          </cell>
          <cell r="Y979">
            <v>0.77</v>
          </cell>
          <cell r="Z979">
            <v>1</v>
          </cell>
          <cell r="AA979">
            <v>1</v>
          </cell>
        </row>
        <row r="980">
          <cell r="C980" t="str">
            <v>PRN26CW50MT</v>
          </cell>
          <cell r="D980" t="str">
            <v>Packaging</v>
          </cell>
          <cell r="H980">
            <v>54</v>
          </cell>
          <cell r="Q980" t="str">
            <v>pc</v>
          </cell>
          <cell r="T980">
            <v>3.3432000000000003E-2</v>
          </cell>
          <cell r="U980">
            <v>0.90200000000000002</v>
          </cell>
          <cell r="Y980">
            <v>0.82</v>
          </cell>
          <cell r="Z980">
            <v>1</v>
          </cell>
          <cell r="AA980">
            <v>1</v>
          </cell>
        </row>
        <row r="981">
          <cell r="C981" t="str">
            <v>PRN26CW50MT</v>
          </cell>
          <cell r="D981" t="str">
            <v>Packaging</v>
          </cell>
          <cell r="H981">
            <v>60</v>
          </cell>
          <cell r="Q981" t="str">
            <v>pc</v>
          </cell>
          <cell r="T981">
            <v>3.6480000000000005E-2</v>
          </cell>
          <cell r="U981">
            <v>1.0449999999999999</v>
          </cell>
          <cell r="Y981">
            <v>0.95</v>
          </cell>
          <cell r="Z981">
            <v>1</v>
          </cell>
          <cell r="AA981">
            <v>1</v>
          </cell>
        </row>
        <row r="982">
          <cell r="D982" t="str">
            <v>Packaging</v>
          </cell>
          <cell r="G982" t="str">
            <v>-</v>
          </cell>
          <cell r="Q982" t="str">
            <v>pc</v>
          </cell>
          <cell r="T982">
            <v>0.05</v>
          </cell>
          <cell r="U982">
            <v>0</v>
          </cell>
          <cell r="Y982">
            <v>0</v>
          </cell>
          <cell r="Z982">
            <v>1</v>
          </cell>
          <cell r="AA982">
            <v>1</v>
          </cell>
        </row>
        <row r="983">
          <cell r="D983" t="str">
            <v>Packaging</v>
          </cell>
          <cell r="G983" t="str">
            <v>-</v>
          </cell>
          <cell r="Q983" t="str">
            <v>pc</v>
          </cell>
          <cell r="T983">
            <v>0.4</v>
          </cell>
          <cell r="U983">
            <v>0</v>
          </cell>
          <cell r="Y983">
            <v>0</v>
          </cell>
          <cell r="Z983">
            <v>1</v>
          </cell>
          <cell r="AA983">
            <v>1</v>
          </cell>
        </row>
        <row r="984">
          <cell r="D984" t="str">
            <v>Packaging</v>
          </cell>
          <cell r="G984" t="str">
            <v>-</v>
          </cell>
          <cell r="Q984" t="str">
            <v>pc</v>
          </cell>
          <cell r="U984">
            <v>0</v>
          </cell>
          <cell r="Y984">
            <v>0</v>
          </cell>
          <cell r="Z984">
            <v>1</v>
          </cell>
          <cell r="AA984">
            <v>1</v>
          </cell>
        </row>
        <row r="985">
          <cell r="D985" t="str">
            <v>Packaging</v>
          </cell>
          <cell r="G985" t="str">
            <v>-</v>
          </cell>
          <cell r="Q985" t="str">
            <v>pc</v>
          </cell>
          <cell r="T985">
            <v>0.5</v>
          </cell>
          <cell r="U985">
            <v>0</v>
          </cell>
          <cell r="Y985">
            <v>0</v>
          </cell>
          <cell r="Z985">
            <v>1</v>
          </cell>
          <cell r="AA985">
            <v>1</v>
          </cell>
        </row>
        <row r="986">
          <cell r="D986" t="str">
            <v>Packaging</v>
          </cell>
          <cell r="G986" t="str">
            <v>-</v>
          </cell>
          <cell r="Q986" t="str">
            <v>linear</v>
          </cell>
          <cell r="T986">
            <v>500</v>
          </cell>
          <cell r="U986">
            <v>0</v>
          </cell>
          <cell r="Y986">
            <v>0</v>
          </cell>
          <cell r="Z986">
            <v>1</v>
          </cell>
          <cell r="AA986">
            <v>1</v>
          </cell>
        </row>
        <row r="987">
          <cell r="D987" t="str">
            <v>Packaging</v>
          </cell>
          <cell r="E987" t="str">
            <v>BXO, BXH, BIO, BIS, BIW, BKO, BKH, BJO, BJS, BJW,BIK</v>
          </cell>
          <cell r="F987" t="str">
            <v>on hold</v>
          </cell>
          <cell r="G987" t="str">
            <v>-</v>
          </cell>
          <cell r="Q987" t="str">
            <v>pc</v>
          </cell>
          <cell r="T987">
            <v>1</v>
          </cell>
          <cell r="U987">
            <v>0.55000000000000004</v>
          </cell>
          <cell r="Y987">
            <v>0.5</v>
          </cell>
          <cell r="Z987">
            <v>1</v>
          </cell>
          <cell r="AA987">
            <v>1</v>
          </cell>
        </row>
        <row r="988">
          <cell r="D988" t="str">
            <v>Packaging</v>
          </cell>
          <cell r="E988" t="str">
            <v>BHO, BHS, BOO, BOS, BOW,BOK</v>
          </cell>
          <cell r="F988" t="str">
            <v>on hold</v>
          </cell>
          <cell r="G988" t="str">
            <v>-</v>
          </cell>
          <cell r="Q988" t="str">
            <v>pc</v>
          </cell>
          <cell r="T988">
            <v>2</v>
          </cell>
          <cell r="U988">
            <v>0.55000000000000004</v>
          </cell>
          <cell r="Y988">
            <v>0.5</v>
          </cell>
          <cell r="Z988">
            <v>1</v>
          </cell>
          <cell r="AA988">
            <v>1</v>
          </cell>
        </row>
        <row r="989">
          <cell r="C989" t="str">
            <v>LB000GEN</v>
          </cell>
          <cell r="D989" t="str">
            <v>Packaging</v>
          </cell>
          <cell r="Q989" t="str">
            <v>pc</v>
          </cell>
          <cell r="T989">
            <v>4</v>
          </cell>
          <cell r="U989">
            <v>5.5000000000000007E-2</v>
          </cell>
          <cell r="V989" t="str">
            <v>Fixture labels</v>
          </cell>
          <cell r="Y989">
            <v>0.05</v>
          </cell>
          <cell r="Z989">
            <v>1</v>
          </cell>
          <cell r="AA989">
            <v>1</v>
          </cell>
        </row>
        <row r="990">
          <cell r="C990" t="str">
            <v>LB001GEN</v>
          </cell>
          <cell r="D990" t="str">
            <v>Packaging</v>
          </cell>
          <cell r="Q990" t="str">
            <v>pc</v>
          </cell>
          <cell r="T990">
            <v>2</v>
          </cell>
          <cell r="U990">
            <v>5.5000000000000007E-2</v>
          </cell>
          <cell r="V990" t="str">
            <v>Carton label</v>
          </cell>
          <cell r="Y990">
            <v>0.05</v>
          </cell>
          <cell r="Z990">
            <v>1</v>
          </cell>
          <cell r="AA990">
            <v>1</v>
          </cell>
        </row>
        <row r="992">
          <cell r="D992" t="str">
            <v xml:space="preserve">Consumables </v>
          </cell>
          <cell r="G992" t="str">
            <v>-</v>
          </cell>
          <cell r="U992">
            <v>0</v>
          </cell>
          <cell r="V992" t="str">
            <v xml:space="preserve">Opal indoor and outdoor PCB plate </v>
          </cell>
          <cell r="Y992">
            <v>0</v>
          </cell>
          <cell r="Z992">
            <v>1</v>
          </cell>
          <cell r="AA992">
            <v>1</v>
          </cell>
        </row>
        <row r="993">
          <cell r="D993" t="str">
            <v xml:space="preserve">Consumables </v>
          </cell>
          <cell r="G993" t="str">
            <v>-</v>
          </cell>
          <cell r="U993">
            <v>0</v>
          </cell>
          <cell r="V993" t="str">
            <v>Sym indoor and outdoor PCB plate</v>
          </cell>
          <cell r="Y993">
            <v>0</v>
          </cell>
          <cell r="Z993">
            <v>1</v>
          </cell>
          <cell r="AA993">
            <v>1</v>
          </cell>
        </row>
        <row r="994">
          <cell r="D994" t="str">
            <v xml:space="preserve">Consumables </v>
          </cell>
          <cell r="G994" t="str">
            <v>-</v>
          </cell>
          <cell r="U994">
            <v>0</v>
          </cell>
          <cell r="V994" t="str">
            <v xml:space="preserve">Asym indoor PCB Plate </v>
          </cell>
          <cell r="Y994">
            <v>0</v>
          </cell>
          <cell r="Z994">
            <v>1</v>
          </cell>
          <cell r="AA994">
            <v>1</v>
          </cell>
        </row>
        <row r="995">
          <cell r="D995" t="str">
            <v xml:space="preserve">Consumables </v>
          </cell>
          <cell r="G995" t="str">
            <v>-</v>
          </cell>
          <cell r="U995">
            <v>0</v>
          </cell>
          <cell r="V995" t="str">
            <v xml:space="preserve">Brackets indoor and outdoor </v>
          </cell>
          <cell r="Y995">
            <v>0</v>
          </cell>
          <cell r="Z995">
            <v>1</v>
          </cell>
          <cell r="AA995">
            <v>1</v>
          </cell>
        </row>
        <row r="996">
          <cell r="D996" t="str">
            <v xml:space="preserve">Consumables </v>
          </cell>
          <cell r="G996" t="str">
            <v>-</v>
          </cell>
          <cell r="U996">
            <v>0</v>
          </cell>
          <cell r="V996" t="str">
            <v xml:space="preserve">Brackets indoor and outdoor </v>
          </cell>
          <cell r="Y996">
            <v>0</v>
          </cell>
          <cell r="Z996">
            <v>1</v>
          </cell>
          <cell r="AA996">
            <v>1</v>
          </cell>
        </row>
        <row r="997">
          <cell r="D997" t="str">
            <v xml:space="preserve">Consumables </v>
          </cell>
          <cell r="G997" t="str">
            <v>-</v>
          </cell>
          <cell r="U997">
            <v>0</v>
          </cell>
          <cell r="V997" t="str">
            <v xml:space="preserve">outdoor Housings </v>
          </cell>
          <cell r="Y997">
            <v>0</v>
          </cell>
          <cell r="Z997">
            <v>1</v>
          </cell>
          <cell r="AA997">
            <v>1</v>
          </cell>
        </row>
        <row r="998">
          <cell r="D998" t="str">
            <v xml:space="preserve">Consumables </v>
          </cell>
          <cell r="G998" t="str">
            <v>-</v>
          </cell>
          <cell r="U998">
            <v>0</v>
          </cell>
          <cell r="V998" t="str">
            <v xml:space="preserve">Downlight Housings </v>
          </cell>
          <cell r="Y998">
            <v>0</v>
          </cell>
          <cell r="Z998">
            <v>1</v>
          </cell>
          <cell r="AA998">
            <v>1</v>
          </cell>
        </row>
        <row r="1000">
          <cell r="C1000" t="str">
            <v>-</v>
          </cell>
          <cell r="D1000" t="str">
            <v>Manlabor</v>
          </cell>
          <cell r="E1000" t="str">
            <v>BXO, BXH, BIO, BIS, BIW, BKO, BKH, BJO, BJS, BJW,BIK</v>
          </cell>
          <cell r="G1000" t="str">
            <v>-</v>
          </cell>
          <cell r="Q1000" t="str">
            <v>pc</v>
          </cell>
          <cell r="T1000">
            <v>1</v>
          </cell>
          <cell r="U1000">
            <v>0</v>
          </cell>
          <cell r="V1000" t="str">
            <v>Assembly manlabor for billet indoor 12"</v>
          </cell>
          <cell r="Y1000">
            <v>0</v>
          </cell>
          <cell r="Z1000">
            <v>1</v>
          </cell>
          <cell r="AA1000">
            <v>1</v>
          </cell>
        </row>
        <row r="1001">
          <cell r="C1001" t="str">
            <v>-</v>
          </cell>
          <cell r="D1001" t="str">
            <v>Manlabor</v>
          </cell>
          <cell r="E1001" t="str">
            <v>BXO, BXH, BIO, BIS, BIW, BKO, BKH, BJO, BJS, BJW,BIK</v>
          </cell>
          <cell r="G1001" t="str">
            <v>-</v>
          </cell>
          <cell r="Q1001" t="str">
            <v>pc</v>
          </cell>
          <cell r="T1001">
            <v>1</v>
          </cell>
          <cell r="U1001">
            <v>0</v>
          </cell>
          <cell r="V1001" t="str">
            <v>Assembly manlabor for billet indoor 18"</v>
          </cell>
          <cell r="Y1001">
            <v>0</v>
          </cell>
          <cell r="Z1001">
            <v>1</v>
          </cell>
          <cell r="AA1001">
            <v>1</v>
          </cell>
        </row>
        <row r="1002">
          <cell r="C1002" t="str">
            <v>-</v>
          </cell>
          <cell r="D1002" t="str">
            <v>Manlabor</v>
          </cell>
          <cell r="E1002" t="str">
            <v>BXO, BXH, BIO, BIS, BIW, BKO, BKH, BJO, BJS, BJW,BIK</v>
          </cell>
          <cell r="G1002" t="str">
            <v>-</v>
          </cell>
          <cell r="Q1002" t="str">
            <v>pc</v>
          </cell>
          <cell r="T1002">
            <v>1</v>
          </cell>
          <cell r="U1002">
            <v>0</v>
          </cell>
          <cell r="V1002" t="str">
            <v>Assembly manlabor for billet indoor 24"</v>
          </cell>
          <cell r="Y1002">
            <v>0</v>
          </cell>
          <cell r="Z1002">
            <v>1</v>
          </cell>
          <cell r="AA1002">
            <v>1</v>
          </cell>
        </row>
        <row r="1003">
          <cell r="C1003" t="str">
            <v>-</v>
          </cell>
          <cell r="D1003" t="str">
            <v>Manlabor</v>
          </cell>
          <cell r="E1003" t="str">
            <v>BXO, BXH, BIO, BIS, BIW, BKO, BKH, BJO, BJS, BJW,BIK</v>
          </cell>
          <cell r="G1003" t="str">
            <v>-</v>
          </cell>
          <cell r="Q1003" t="str">
            <v>pc</v>
          </cell>
          <cell r="T1003">
            <v>1</v>
          </cell>
          <cell r="U1003">
            <v>0</v>
          </cell>
          <cell r="V1003" t="str">
            <v>Assembly manlabor for billet indoor 30"</v>
          </cell>
          <cell r="Y1003">
            <v>0</v>
          </cell>
          <cell r="Z1003">
            <v>1</v>
          </cell>
          <cell r="AA1003">
            <v>1</v>
          </cell>
        </row>
        <row r="1004">
          <cell r="C1004" t="str">
            <v>-</v>
          </cell>
          <cell r="D1004" t="str">
            <v>Manlabor</v>
          </cell>
          <cell r="E1004" t="str">
            <v>BXO, BXH, BIO, BIS, BIW, BKO, BKH, BJO, BJS, BJW,BIK</v>
          </cell>
          <cell r="G1004" t="str">
            <v>-</v>
          </cell>
          <cell r="Q1004" t="str">
            <v>pc</v>
          </cell>
          <cell r="T1004">
            <v>1</v>
          </cell>
          <cell r="U1004">
            <v>0</v>
          </cell>
          <cell r="V1004" t="str">
            <v>Assembly manlabor for billet indoor 36"</v>
          </cell>
          <cell r="Y1004">
            <v>0</v>
          </cell>
          <cell r="Z1004">
            <v>1</v>
          </cell>
          <cell r="AA1004">
            <v>1</v>
          </cell>
        </row>
        <row r="1005">
          <cell r="C1005" t="str">
            <v>-</v>
          </cell>
          <cell r="D1005" t="str">
            <v>Manlabor</v>
          </cell>
          <cell r="E1005" t="str">
            <v>BXO, BXH, BIO, BIS, BIW, BKO, BKH, BJO, BJS, BJW,BIK</v>
          </cell>
          <cell r="G1005" t="str">
            <v>-</v>
          </cell>
          <cell r="Q1005" t="str">
            <v>pc</v>
          </cell>
          <cell r="T1005">
            <v>1</v>
          </cell>
          <cell r="U1005">
            <v>0</v>
          </cell>
          <cell r="V1005" t="str">
            <v>Assembly manlabor for billet indoor 42"</v>
          </cell>
          <cell r="Y1005">
            <v>0</v>
          </cell>
          <cell r="Z1005">
            <v>1</v>
          </cell>
          <cell r="AA1005">
            <v>1</v>
          </cell>
        </row>
        <row r="1006">
          <cell r="C1006" t="str">
            <v>-</v>
          </cell>
          <cell r="D1006" t="str">
            <v>Manlabor</v>
          </cell>
          <cell r="E1006" t="str">
            <v>BXO, BXH, BIO, BIS, BIW, BKO, BKH, BJO, BJS, BJW,BIK</v>
          </cell>
          <cell r="G1006" t="str">
            <v>-</v>
          </cell>
          <cell r="Q1006" t="str">
            <v>pc</v>
          </cell>
          <cell r="T1006">
            <v>1</v>
          </cell>
          <cell r="U1006">
            <v>0</v>
          </cell>
          <cell r="V1006" t="str">
            <v>Assembly manlabor for billet indoor 48"</v>
          </cell>
          <cell r="Y1006">
            <v>0</v>
          </cell>
          <cell r="Z1006">
            <v>1</v>
          </cell>
          <cell r="AA1006">
            <v>1</v>
          </cell>
        </row>
        <row r="1007">
          <cell r="C1007" t="str">
            <v>-</v>
          </cell>
          <cell r="D1007" t="str">
            <v>Manlabor</v>
          </cell>
          <cell r="E1007" t="str">
            <v>BXO, BXH, BIO, BIS, BIW, BKO, BKH, BJO, BJS, BJW,BIK</v>
          </cell>
          <cell r="G1007" t="str">
            <v>-</v>
          </cell>
          <cell r="Q1007" t="str">
            <v>pc</v>
          </cell>
          <cell r="T1007">
            <v>1</v>
          </cell>
          <cell r="U1007">
            <v>0</v>
          </cell>
          <cell r="V1007" t="str">
            <v>Assembly manlabor for billet indoor 54"</v>
          </cell>
          <cell r="Y1007">
            <v>0</v>
          </cell>
          <cell r="Z1007">
            <v>1</v>
          </cell>
          <cell r="AA1007">
            <v>1</v>
          </cell>
        </row>
        <row r="1008">
          <cell r="C1008" t="str">
            <v>-</v>
          </cell>
          <cell r="D1008" t="str">
            <v>Manlabor</v>
          </cell>
          <cell r="E1008" t="str">
            <v>BXO, BXH, BIO, BIS, BIW, BKO, BKH, BJO, BJS, BJW,BIK</v>
          </cell>
          <cell r="G1008" t="str">
            <v>-</v>
          </cell>
          <cell r="Q1008" t="str">
            <v>pc</v>
          </cell>
          <cell r="T1008">
            <v>1</v>
          </cell>
          <cell r="U1008">
            <v>0</v>
          </cell>
          <cell r="V1008" t="str">
            <v>Assembly manlabor for billet indoor 60"</v>
          </cell>
          <cell r="Y1008">
            <v>0</v>
          </cell>
          <cell r="Z1008">
            <v>1</v>
          </cell>
          <cell r="AA1008">
            <v>1</v>
          </cell>
        </row>
        <row r="1009">
          <cell r="C1009" t="str">
            <v>-</v>
          </cell>
          <cell r="D1009" t="str">
            <v>Manlabor</v>
          </cell>
          <cell r="E1009" t="str">
            <v>BHO, BHS, BOO, BOS, BOW,BOK</v>
          </cell>
          <cell r="G1009" t="str">
            <v>-</v>
          </cell>
          <cell r="Q1009" t="str">
            <v>pc</v>
          </cell>
          <cell r="T1009">
            <v>1</v>
          </cell>
          <cell r="U1009">
            <v>0</v>
          </cell>
          <cell r="V1009" t="str">
            <v>Assembly manlabor for billet outdoor 12"</v>
          </cell>
          <cell r="Y1009">
            <v>0</v>
          </cell>
          <cell r="Z1009">
            <v>1</v>
          </cell>
          <cell r="AA1009">
            <v>1</v>
          </cell>
        </row>
        <row r="1010">
          <cell r="C1010" t="str">
            <v>-</v>
          </cell>
          <cell r="D1010" t="str">
            <v>Manlabor</v>
          </cell>
          <cell r="E1010" t="str">
            <v>BHO, BHS, BOO, BOS, BOW,BOK</v>
          </cell>
          <cell r="G1010" t="str">
            <v>-</v>
          </cell>
          <cell r="Q1010" t="str">
            <v>pc</v>
          </cell>
          <cell r="T1010">
            <v>1</v>
          </cell>
          <cell r="U1010">
            <v>0</v>
          </cell>
          <cell r="V1010" t="str">
            <v>Assembly manlabor for billet outdoor 18"</v>
          </cell>
          <cell r="Y1010">
            <v>0</v>
          </cell>
          <cell r="Z1010">
            <v>1</v>
          </cell>
          <cell r="AA1010">
            <v>1</v>
          </cell>
        </row>
        <row r="1011">
          <cell r="C1011" t="str">
            <v>-</v>
          </cell>
          <cell r="D1011" t="str">
            <v>Manlabor</v>
          </cell>
          <cell r="E1011" t="str">
            <v>BHO, BHS, BOO, BOS, BOW,BOK</v>
          </cell>
          <cell r="G1011" t="str">
            <v>-</v>
          </cell>
          <cell r="Q1011" t="str">
            <v>pc</v>
          </cell>
          <cell r="T1011">
            <v>1</v>
          </cell>
          <cell r="U1011">
            <v>0</v>
          </cell>
          <cell r="V1011" t="str">
            <v>Assembly manlabor for billet outdoor 24"</v>
          </cell>
          <cell r="Y1011">
            <v>0</v>
          </cell>
          <cell r="Z1011">
            <v>1</v>
          </cell>
          <cell r="AA1011">
            <v>1</v>
          </cell>
        </row>
        <row r="1012">
          <cell r="C1012" t="str">
            <v>-</v>
          </cell>
          <cell r="D1012" t="str">
            <v>Manlabor</v>
          </cell>
          <cell r="E1012" t="str">
            <v>BHO, BHS, BOO, BOS, BOW,BOK</v>
          </cell>
          <cell r="G1012" t="str">
            <v>-</v>
          </cell>
          <cell r="Q1012" t="str">
            <v>pc</v>
          </cell>
          <cell r="T1012">
            <v>1</v>
          </cell>
          <cell r="U1012">
            <v>0</v>
          </cell>
          <cell r="V1012" t="str">
            <v>Assembly manlabor for billet outdoor 30"</v>
          </cell>
          <cell r="Y1012">
            <v>0</v>
          </cell>
          <cell r="Z1012">
            <v>1</v>
          </cell>
          <cell r="AA1012">
            <v>1</v>
          </cell>
        </row>
        <row r="1013">
          <cell r="C1013" t="str">
            <v>-</v>
          </cell>
          <cell r="D1013" t="str">
            <v>Manlabor</v>
          </cell>
          <cell r="E1013" t="str">
            <v>BHO, BHS, BOO, BOS, BOW,BOK</v>
          </cell>
          <cell r="G1013" t="str">
            <v>-</v>
          </cell>
          <cell r="Q1013" t="str">
            <v>pc</v>
          </cell>
          <cell r="T1013">
            <v>1</v>
          </cell>
          <cell r="U1013">
            <v>0</v>
          </cell>
          <cell r="V1013" t="str">
            <v>Assembly manlabor for billet outdoor 36"</v>
          </cell>
          <cell r="Y1013">
            <v>0</v>
          </cell>
          <cell r="Z1013">
            <v>1</v>
          </cell>
          <cell r="AA1013">
            <v>1</v>
          </cell>
        </row>
        <row r="1014">
          <cell r="C1014" t="str">
            <v>-</v>
          </cell>
          <cell r="D1014" t="str">
            <v>Manlabor</v>
          </cell>
          <cell r="E1014" t="str">
            <v>BHO, BHS, BOO, BOS, BOW,BOK</v>
          </cell>
          <cell r="G1014" t="str">
            <v>-</v>
          </cell>
          <cell r="Q1014" t="str">
            <v>pc</v>
          </cell>
          <cell r="T1014">
            <v>1</v>
          </cell>
          <cell r="U1014">
            <v>0</v>
          </cell>
          <cell r="V1014" t="str">
            <v>Assembly manlabor for billet outdoor 42"</v>
          </cell>
          <cell r="Y1014">
            <v>0</v>
          </cell>
          <cell r="Z1014">
            <v>1</v>
          </cell>
          <cell r="AA1014">
            <v>1</v>
          </cell>
        </row>
        <row r="1015">
          <cell r="C1015" t="str">
            <v>-</v>
          </cell>
          <cell r="D1015" t="str">
            <v>Manlabor</v>
          </cell>
          <cell r="E1015" t="str">
            <v>BHO, BHS, BOO, BOS, BOW,BOK</v>
          </cell>
          <cell r="G1015" t="str">
            <v>-</v>
          </cell>
          <cell r="Q1015" t="str">
            <v>pc</v>
          </cell>
          <cell r="T1015">
            <v>1</v>
          </cell>
          <cell r="U1015">
            <v>0</v>
          </cell>
          <cell r="V1015" t="str">
            <v>Assembly manlabor for billet outdoor 48"</v>
          </cell>
          <cell r="Y1015">
            <v>0</v>
          </cell>
          <cell r="Z1015">
            <v>1</v>
          </cell>
          <cell r="AA1015">
            <v>1</v>
          </cell>
        </row>
        <row r="1016">
          <cell r="C1016" t="str">
            <v>-</v>
          </cell>
          <cell r="D1016" t="str">
            <v>Manlabor</v>
          </cell>
          <cell r="E1016" t="str">
            <v>BHO, BHS, BOO, BOS, BOW,BOK</v>
          </cell>
          <cell r="G1016" t="str">
            <v>-</v>
          </cell>
          <cell r="Q1016" t="str">
            <v>pc</v>
          </cell>
          <cell r="T1016">
            <v>1</v>
          </cell>
          <cell r="U1016">
            <v>0</v>
          </cell>
          <cell r="V1016" t="str">
            <v>Assembly manlabor for billet outdoor 54"</v>
          </cell>
          <cell r="Y1016">
            <v>0</v>
          </cell>
          <cell r="Z1016">
            <v>1</v>
          </cell>
          <cell r="AA1016">
            <v>1</v>
          </cell>
        </row>
        <row r="1017">
          <cell r="C1017" t="str">
            <v>-</v>
          </cell>
          <cell r="D1017" t="str">
            <v>Manlabor</v>
          </cell>
          <cell r="E1017" t="str">
            <v>BHO, BHS, BOO, BOS, BOW,BOK</v>
          </cell>
          <cell r="G1017" t="str">
            <v>-</v>
          </cell>
          <cell r="Q1017" t="str">
            <v>pc</v>
          </cell>
          <cell r="T1017">
            <v>1</v>
          </cell>
          <cell r="U1017">
            <v>0</v>
          </cell>
          <cell r="V1017" t="str">
            <v>Assembly manlabor for billet outdoor 60"</v>
          </cell>
          <cell r="Y1017">
            <v>0</v>
          </cell>
          <cell r="Z1017">
            <v>1</v>
          </cell>
          <cell r="AA1017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17.725936574076" createdVersion="8" refreshedVersion="8" minRefreshableVersion="3" recordCount="1006" xr:uid="{84C43580-31D5-4D15-93CE-C3CBE3E678A0}">
  <cacheSource type="worksheet">
    <worksheetSource ref="A1:B1010" sheet="Sheet2"/>
  </cacheSource>
  <cacheFields count="2">
    <cacheField name="Category" numFmtId="0">
      <sharedItems containsBlank="1" count="41">
        <s v="Aluminum Profile"/>
        <s v="Galv Steel, 1mm"/>
        <s v="SS304, 1mm"/>
        <s v="Galv Steel, 0.6mm"/>
        <s v=""/>
        <s v="Glass"/>
        <s v="Aluminum, 1.5mm"/>
        <s v="Diffuser"/>
        <s v="Galv Steel, 1.5mm"/>
        <s v="Accessories"/>
        <s v="Endcap"/>
        <s v="Steel, 1mm"/>
        <s v="Aluminum, 2mm"/>
        <s v="Mounting Accessory"/>
        <s v="SS304, 3mm"/>
        <s v="Magnet"/>
        <s v="Galv Steel, 2mm"/>
        <s v="SS201, 0.5mm"/>
        <s v="Safety Cable"/>
        <s v="Drivers"/>
        <s v="Cables"/>
        <s v="Cable Gland"/>
        <s v="Cables with Connectors"/>
        <s v="Connectors"/>
        <s v="Wires"/>
        <s v="PCB"/>
        <s v="Optic_Lens"/>
        <s v="Optic_Diffuser"/>
        <s v="Optic_Reflector"/>
        <s v="Optic_Kick_Reflector"/>
        <s v="Optic_Fresnel"/>
        <s v="Silicon"/>
        <s v="Resin"/>
        <s v="Screws"/>
        <s v="Powder Coat"/>
        <s v="Packaging"/>
        <s v="Consumables"/>
        <s v="Manlabor"/>
        <m/>
        <s v="Endcap " u="1"/>
        <s v="Consumables " u="1"/>
      </sharedItems>
    </cacheField>
    <cacheField name="Qty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6"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1"/>
    <n v="1"/>
  </r>
  <r>
    <x v="2"/>
    <n v="1"/>
  </r>
  <r>
    <x v="2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3"/>
    <n v="1"/>
  </r>
  <r>
    <x v="4"/>
    <n v="1"/>
  </r>
  <r>
    <x v="5"/>
    <n v="1"/>
  </r>
  <r>
    <x v="5"/>
    <n v="1"/>
  </r>
  <r>
    <x v="5"/>
    <n v="1"/>
  </r>
  <r>
    <x v="5"/>
    <n v="1"/>
  </r>
  <r>
    <x v="5"/>
    <n v="1"/>
  </r>
  <r>
    <x v="5"/>
    <n v="1"/>
  </r>
  <r>
    <x v="5"/>
    <n v="1"/>
  </r>
  <r>
    <x v="5"/>
    <n v="1"/>
  </r>
  <r>
    <x v="5"/>
    <n v="1"/>
  </r>
  <r>
    <x v="5"/>
    <n v="1"/>
  </r>
  <r>
    <x v="4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4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4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4"/>
    <n v="1"/>
  </r>
  <r>
    <x v="6"/>
    <n v="1"/>
  </r>
  <r>
    <x v="6"/>
    <n v="1"/>
  </r>
  <r>
    <x v="6"/>
    <n v="1"/>
  </r>
  <r>
    <x v="6"/>
    <n v="1"/>
  </r>
  <r>
    <x v="6"/>
    <n v="1"/>
  </r>
  <r>
    <x v="4"/>
    <n v="1"/>
  </r>
  <r>
    <x v="7"/>
    <n v="1"/>
  </r>
  <r>
    <x v="7"/>
    <n v="1"/>
  </r>
  <r>
    <x v="7"/>
    <n v="1"/>
  </r>
  <r>
    <x v="7"/>
    <n v="1"/>
  </r>
  <r>
    <x v="7"/>
    <n v="1"/>
  </r>
  <r>
    <x v="7"/>
    <n v="1"/>
  </r>
  <r>
    <x v="4"/>
    <n v="1"/>
  </r>
  <r>
    <x v="3"/>
    <n v="1"/>
  </r>
  <r>
    <x v="3"/>
    <n v="1"/>
  </r>
  <r>
    <x v="3"/>
    <n v="1"/>
  </r>
  <r>
    <x v="3"/>
    <n v="1"/>
  </r>
  <r>
    <x v="3"/>
    <n v="1"/>
  </r>
  <r>
    <x v="4"/>
    <n v="1"/>
  </r>
  <r>
    <x v="1"/>
    <n v="1"/>
  </r>
  <r>
    <x v="1"/>
    <n v="1"/>
  </r>
  <r>
    <x v="1"/>
    <n v="1"/>
  </r>
  <r>
    <x v="1"/>
    <n v="1"/>
  </r>
  <r>
    <x v="1"/>
    <n v="1"/>
  </r>
  <r>
    <x v="4"/>
    <n v="1"/>
  </r>
  <r>
    <x v="8"/>
    <n v="1"/>
  </r>
  <r>
    <x v="4"/>
    <n v="1"/>
  </r>
  <r>
    <x v="9"/>
    <n v="1"/>
  </r>
  <r>
    <x v="4"/>
    <n v="1"/>
  </r>
  <r>
    <x v="10"/>
    <n v="1"/>
  </r>
  <r>
    <x v="10"/>
    <n v="1"/>
  </r>
  <r>
    <x v="10"/>
    <n v="1"/>
  </r>
  <r>
    <x v="10"/>
    <n v="1"/>
  </r>
  <r>
    <x v="4"/>
    <n v="1"/>
  </r>
  <r>
    <x v="10"/>
    <n v="1"/>
  </r>
  <r>
    <x v="10"/>
    <n v="1"/>
  </r>
  <r>
    <x v="10"/>
    <n v="1"/>
  </r>
  <r>
    <x v="4"/>
    <n v="1"/>
  </r>
  <r>
    <x v="8"/>
    <n v="1"/>
  </r>
  <r>
    <x v="4"/>
    <n v="1"/>
  </r>
  <r>
    <x v="8"/>
    <n v="1"/>
  </r>
  <r>
    <x v="4"/>
    <n v="1"/>
  </r>
  <r>
    <x v="8"/>
    <n v="1"/>
  </r>
  <r>
    <x v="4"/>
    <n v="1"/>
  </r>
  <r>
    <x v="10"/>
    <n v="1"/>
  </r>
  <r>
    <x v="10"/>
    <n v="1"/>
  </r>
  <r>
    <x v="4"/>
    <n v="1"/>
  </r>
  <r>
    <x v="8"/>
    <n v="1"/>
  </r>
  <r>
    <x v="4"/>
    <n v="1"/>
  </r>
  <r>
    <x v="8"/>
    <n v="1"/>
  </r>
  <r>
    <x v="4"/>
    <n v="1"/>
  </r>
  <r>
    <x v="8"/>
    <n v="1"/>
  </r>
  <r>
    <x v="4"/>
    <n v="1"/>
  </r>
  <r>
    <x v="8"/>
    <n v="1"/>
  </r>
  <r>
    <x v="4"/>
    <n v="1"/>
  </r>
  <r>
    <x v="11"/>
    <n v="1"/>
  </r>
  <r>
    <x v="4"/>
    <n v="1"/>
  </r>
  <r>
    <x v="12"/>
    <n v="1"/>
  </r>
  <r>
    <x v="12"/>
    <n v="1"/>
  </r>
  <r>
    <x v="12"/>
    <n v="1"/>
  </r>
  <r>
    <x v="12"/>
    <n v="1"/>
  </r>
  <r>
    <x v="4"/>
    <n v="1"/>
  </r>
  <r>
    <x v="13"/>
    <n v="1"/>
  </r>
  <r>
    <x v="13"/>
    <n v="1"/>
  </r>
  <r>
    <x v="4"/>
    <n v="1"/>
  </r>
  <r>
    <x v="10"/>
    <n v="1"/>
  </r>
  <r>
    <x v="10"/>
    <n v="1"/>
  </r>
  <r>
    <x v="4"/>
    <n v="1"/>
  </r>
  <r>
    <x v="8"/>
    <n v="1"/>
  </r>
  <r>
    <x v="4"/>
    <n v="1"/>
  </r>
  <r>
    <x v="8"/>
    <n v="1"/>
  </r>
  <r>
    <x v="4"/>
    <n v="1"/>
  </r>
  <r>
    <x v="13"/>
    <n v="1"/>
  </r>
  <r>
    <x v="4"/>
    <n v="1"/>
  </r>
  <r>
    <x v="3"/>
    <n v="1"/>
  </r>
  <r>
    <x v="3"/>
    <n v="1"/>
  </r>
  <r>
    <x v="4"/>
    <n v="1"/>
  </r>
  <r>
    <x v="2"/>
    <n v="1"/>
  </r>
  <r>
    <x v="4"/>
    <n v="1"/>
  </r>
  <r>
    <x v="8"/>
    <n v="1"/>
  </r>
  <r>
    <x v="4"/>
    <n v="1"/>
  </r>
  <r>
    <x v="14"/>
    <n v="1"/>
  </r>
  <r>
    <x v="4"/>
    <n v="1"/>
  </r>
  <r>
    <x v="3"/>
    <n v="1"/>
  </r>
  <r>
    <x v="4"/>
    <n v="1"/>
  </r>
  <r>
    <x v="14"/>
    <n v="1"/>
  </r>
  <r>
    <x v="4"/>
    <n v="1"/>
  </r>
  <r>
    <x v="8"/>
    <n v="1"/>
  </r>
  <r>
    <x v="13"/>
    <n v="1"/>
  </r>
  <r>
    <x v="4"/>
    <n v="1"/>
  </r>
  <r>
    <x v="1"/>
    <n v="1"/>
  </r>
  <r>
    <x v="4"/>
    <n v="1"/>
  </r>
  <r>
    <x v="12"/>
    <n v="1"/>
  </r>
  <r>
    <x v="12"/>
    <n v="1"/>
  </r>
  <r>
    <x v="12"/>
    <n v="1"/>
  </r>
  <r>
    <x v="12"/>
    <n v="1"/>
  </r>
  <r>
    <x v="12"/>
    <n v="1"/>
  </r>
  <r>
    <x v="12"/>
    <n v="1"/>
  </r>
  <r>
    <x v="12"/>
    <n v="1"/>
  </r>
  <r>
    <x v="12"/>
    <n v="1"/>
  </r>
  <r>
    <x v="12"/>
    <n v="1"/>
  </r>
  <r>
    <x v="4"/>
    <n v="1"/>
  </r>
  <r>
    <x v="1"/>
    <n v="1"/>
  </r>
  <r>
    <x v="1"/>
    <n v="1"/>
  </r>
  <r>
    <x v="4"/>
    <n v="1"/>
  </r>
  <r>
    <x v="1"/>
    <n v="1"/>
  </r>
  <r>
    <x v="1"/>
    <n v="1"/>
  </r>
  <r>
    <x v="4"/>
    <n v="1"/>
  </r>
  <r>
    <x v="8"/>
    <n v="1"/>
  </r>
  <r>
    <x v="4"/>
    <n v="1"/>
  </r>
  <r>
    <x v="15"/>
    <n v="1"/>
  </r>
  <r>
    <x v="15"/>
    <n v="1"/>
  </r>
  <r>
    <x v="4"/>
    <n v="1"/>
  </r>
  <r>
    <x v="13"/>
    <n v="1"/>
  </r>
  <r>
    <x v="13"/>
    <n v="1"/>
  </r>
  <r>
    <x v="4"/>
    <n v="1"/>
  </r>
  <r>
    <x v="1"/>
    <n v="1"/>
  </r>
  <r>
    <x v="4"/>
    <n v="1"/>
  </r>
  <r>
    <x v="6"/>
    <n v="1"/>
  </r>
  <r>
    <x v="6"/>
    <n v="1"/>
  </r>
  <r>
    <x v="6"/>
    <n v="1"/>
  </r>
  <r>
    <x v="6"/>
    <n v="1"/>
  </r>
  <r>
    <x v="6"/>
    <n v="1"/>
  </r>
  <r>
    <x v="4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6"/>
    <n v="1"/>
  </r>
  <r>
    <x v="4"/>
    <n v="1"/>
  </r>
  <r>
    <x v="16"/>
    <n v="1"/>
  </r>
  <r>
    <x v="4"/>
    <n v="1"/>
  </r>
  <r>
    <x v="1"/>
    <n v="1"/>
  </r>
  <r>
    <x v="4"/>
    <n v="1"/>
  </r>
  <r>
    <x v="1"/>
    <n v="1"/>
  </r>
  <r>
    <x v="4"/>
    <n v="1"/>
  </r>
  <r>
    <x v="10"/>
    <n v="1"/>
  </r>
  <r>
    <x v="10"/>
    <n v="1"/>
  </r>
  <r>
    <x v="4"/>
    <n v="1"/>
  </r>
  <r>
    <x v="17"/>
    <n v="1"/>
  </r>
  <r>
    <x v="17"/>
    <n v="1"/>
  </r>
  <r>
    <x v="4"/>
    <n v="1"/>
  </r>
  <r>
    <x v="17"/>
    <n v="1"/>
  </r>
  <r>
    <x v="17"/>
    <n v="1"/>
  </r>
  <r>
    <x v="4"/>
    <n v="1"/>
  </r>
  <r>
    <x v="1"/>
    <n v="1"/>
  </r>
  <r>
    <x v="4"/>
    <n v="1"/>
  </r>
  <r>
    <x v="12"/>
    <n v="1"/>
  </r>
  <r>
    <x v="4"/>
    <n v="1"/>
  </r>
  <r>
    <x v="1"/>
    <n v="1"/>
  </r>
  <r>
    <x v="4"/>
    <n v="1"/>
  </r>
  <r>
    <x v="10"/>
    <n v="1"/>
  </r>
  <r>
    <x v="10"/>
    <n v="1"/>
  </r>
  <r>
    <x v="4"/>
    <n v="1"/>
  </r>
  <r>
    <x v="10"/>
    <n v="1"/>
  </r>
  <r>
    <x v="10"/>
    <n v="1"/>
  </r>
  <r>
    <x v="4"/>
    <n v="1"/>
  </r>
  <r>
    <x v="10"/>
    <n v="1"/>
  </r>
  <r>
    <x v="10"/>
    <n v="1"/>
  </r>
  <r>
    <x v="4"/>
    <n v="1"/>
  </r>
  <r>
    <x v="18"/>
    <n v="1"/>
  </r>
  <r>
    <x v="4"/>
    <n v="1"/>
  </r>
  <r>
    <x v="8"/>
    <n v="1"/>
  </r>
  <r>
    <x v="8"/>
    <n v="1"/>
  </r>
  <r>
    <x v="4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19"/>
    <n v="1"/>
  </r>
  <r>
    <x v="4"/>
    <n v="1"/>
  </r>
  <r>
    <x v="20"/>
    <n v="1"/>
  </r>
  <r>
    <x v="21"/>
    <n v="1"/>
  </r>
  <r>
    <x v="22"/>
    <n v="1"/>
  </r>
  <r>
    <x v="23"/>
    <n v="1"/>
  </r>
  <r>
    <x v="4"/>
    <n v="1"/>
  </r>
  <r>
    <x v="23"/>
    <n v="1"/>
  </r>
  <r>
    <x v="23"/>
    <n v="1"/>
  </r>
  <r>
    <x v="23"/>
    <n v="1"/>
  </r>
  <r>
    <x v="4"/>
    <n v="1"/>
  </r>
  <r>
    <x v="23"/>
    <n v="1"/>
  </r>
  <r>
    <x v="23"/>
    <n v="1"/>
  </r>
  <r>
    <x v="23"/>
    <n v="1"/>
  </r>
  <r>
    <x v="23"/>
    <n v="1"/>
  </r>
  <r>
    <x v="4"/>
    <n v="1"/>
  </r>
  <r>
    <x v="22"/>
    <n v="1"/>
  </r>
  <r>
    <x v="22"/>
    <n v="1"/>
  </r>
  <r>
    <x v="22"/>
    <n v="1"/>
  </r>
  <r>
    <x v="22"/>
    <n v="1"/>
  </r>
  <r>
    <x v="4"/>
    <n v="1"/>
  </r>
  <r>
    <x v="24"/>
    <n v="1"/>
  </r>
  <r>
    <x v="24"/>
    <n v="1"/>
  </r>
  <r>
    <x v="24"/>
    <n v="1"/>
  </r>
  <r>
    <x v="20"/>
    <n v="1"/>
  </r>
  <r>
    <x v="4"/>
    <n v="1"/>
  </r>
  <r>
    <x v="20"/>
    <n v="1"/>
  </r>
  <r>
    <x v="20"/>
    <n v="1"/>
  </r>
  <r>
    <x v="20"/>
    <n v="1"/>
  </r>
  <r>
    <x v="20"/>
    <n v="1"/>
  </r>
  <r>
    <x v="4"/>
    <n v="1"/>
  </r>
  <r>
    <x v="24"/>
    <n v="1"/>
  </r>
  <r>
    <x v="24"/>
    <n v="1"/>
  </r>
  <r>
    <x v="24"/>
    <n v="1"/>
  </r>
  <r>
    <x v="24"/>
    <n v="1"/>
  </r>
  <r>
    <x v="4"/>
    <n v="1"/>
  </r>
  <r>
    <x v="24"/>
    <n v="1"/>
  </r>
  <r>
    <x v="24"/>
    <n v="1"/>
  </r>
  <r>
    <x v="24"/>
    <n v="1"/>
  </r>
  <r>
    <x v="4"/>
    <n v="1"/>
  </r>
  <r>
    <x v="24"/>
    <n v="1"/>
  </r>
  <r>
    <x v="24"/>
    <n v="1"/>
  </r>
  <r>
    <x v="24"/>
    <n v="1"/>
  </r>
  <r>
    <x v="4"/>
    <n v="1"/>
  </r>
  <r>
    <x v="22"/>
    <n v="1"/>
  </r>
  <r>
    <x v="22"/>
    <n v="1"/>
  </r>
  <r>
    <x v="22"/>
    <n v="1"/>
  </r>
  <r>
    <x v="22"/>
    <n v="1"/>
  </r>
  <r>
    <x v="22"/>
    <n v="1"/>
  </r>
  <r>
    <x v="22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25"/>
    <n v="1"/>
  </r>
  <r>
    <x v="4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26"/>
    <n v="1"/>
  </r>
  <r>
    <x v="4"/>
    <n v="1"/>
  </r>
  <r>
    <x v="27"/>
    <n v="1"/>
  </r>
  <r>
    <x v="4"/>
    <n v="1"/>
  </r>
  <r>
    <x v="27"/>
    <n v="1"/>
  </r>
  <r>
    <x v="27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9"/>
    <n v="1"/>
  </r>
  <r>
    <x v="30"/>
    <n v="1"/>
  </r>
  <r>
    <x v="29"/>
    <n v="1"/>
  </r>
  <r>
    <x v="30"/>
    <n v="1"/>
  </r>
  <r>
    <x v="29"/>
    <n v="1"/>
  </r>
  <r>
    <x v="30"/>
    <n v="1"/>
  </r>
  <r>
    <x v="27"/>
    <n v="1"/>
  </r>
  <r>
    <x v="27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28"/>
    <n v="1"/>
  </r>
  <r>
    <x v="4"/>
    <n v="1"/>
  </r>
  <r>
    <x v="13"/>
    <n v="1"/>
  </r>
  <r>
    <x v="13"/>
    <n v="1"/>
  </r>
  <r>
    <x v="13"/>
    <n v="1"/>
  </r>
  <r>
    <x v="13"/>
    <n v="1"/>
  </r>
  <r>
    <x v="13"/>
    <n v="1"/>
  </r>
  <r>
    <x v="9"/>
    <n v="1"/>
  </r>
  <r>
    <x v="9"/>
    <n v="1"/>
  </r>
  <r>
    <x v="4"/>
    <n v="1"/>
  </r>
  <r>
    <x v="31"/>
    <n v="1"/>
  </r>
  <r>
    <x v="32"/>
    <n v="1"/>
  </r>
  <r>
    <x v="32"/>
    <n v="1"/>
  </r>
  <r>
    <x v="4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33"/>
    <n v="1"/>
  </r>
  <r>
    <x v="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34"/>
    <n v="1"/>
  </r>
  <r>
    <x v="4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35"/>
    <n v="1"/>
  </r>
  <r>
    <x v="4"/>
    <n v="1"/>
  </r>
  <r>
    <x v="36"/>
    <n v="1"/>
  </r>
  <r>
    <x v="36"/>
    <n v="1"/>
  </r>
  <r>
    <x v="36"/>
    <n v="1"/>
  </r>
  <r>
    <x v="36"/>
    <n v="1"/>
  </r>
  <r>
    <x v="36"/>
    <n v="1"/>
  </r>
  <r>
    <x v="36"/>
    <n v="1"/>
  </r>
  <r>
    <x v="36"/>
    <n v="1"/>
  </r>
  <r>
    <x v="4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7"/>
    <n v="1"/>
  </r>
  <r>
    <x v="3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280897-0839-43E1-8DF2-2B1CD9E6E05D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5:E45" firstHeaderRow="1" firstDataRow="1" firstDataCol="1"/>
  <pivotFields count="2">
    <pivotField axis="axisRow" showAll="0">
      <items count="42">
        <item x="9"/>
        <item x="0"/>
        <item x="6"/>
        <item x="12"/>
        <item x="21"/>
        <item x="20"/>
        <item x="22"/>
        <item x="23"/>
        <item m="1" x="40"/>
        <item x="7"/>
        <item x="19"/>
        <item x="10"/>
        <item m="1" x="39"/>
        <item x="3"/>
        <item x="8"/>
        <item x="1"/>
        <item x="16"/>
        <item x="5"/>
        <item x="15"/>
        <item x="37"/>
        <item x="13"/>
        <item x="27"/>
        <item x="30"/>
        <item x="29"/>
        <item x="26"/>
        <item x="28"/>
        <item x="35"/>
        <item x="25"/>
        <item x="34"/>
        <item x="32"/>
        <item x="18"/>
        <item x="33"/>
        <item x="31"/>
        <item x="17"/>
        <item x="2"/>
        <item x="14"/>
        <item x="11"/>
        <item x="24"/>
        <item x="38"/>
        <item x="4"/>
        <item x="36"/>
        <item t="default"/>
      </items>
    </pivotField>
    <pivotField dataField="1" showAll="0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Sum of Qt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O29"/>
  <sheetViews>
    <sheetView zoomScale="85" zoomScaleNormal="85" workbookViewId="0">
      <selection activeCell="I17" sqref="I17"/>
    </sheetView>
  </sheetViews>
  <sheetFormatPr defaultColWidth="8.85546875" defaultRowHeight="15" x14ac:dyDescent="0.25"/>
  <cols>
    <col min="1" max="1" width="2.5703125" style="1" customWidth="1"/>
    <col min="2" max="2" width="30.5703125" style="1" bestFit="1" customWidth="1"/>
    <col min="3" max="3" width="8.42578125" style="1" bestFit="1" customWidth="1"/>
    <col min="4" max="4" width="14" style="1" bestFit="1" customWidth="1"/>
    <col min="5" max="5" width="32.42578125" style="1" bestFit="1" customWidth="1"/>
    <col min="6" max="6" width="11.140625" style="1" bestFit="1" customWidth="1"/>
    <col min="7" max="7" width="9.140625" style="1" bestFit="1" customWidth="1"/>
    <col min="8" max="8" width="7.5703125" style="1" bestFit="1" customWidth="1"/>
    <col min="9" max="9" width="22.5703125" style="1" bestFit="1" customWidth="1"/>
    <col min="10" max="10" width="16.140625" style="1" bestFit="1" customWidth="1"/>
    <col min="11" max="11" width="13.140625" style="1" bestFit="1" customWidth="1"/>
    <col min="12" max="12" width="4" style="1" bestFit="1" customWidth="1"/>
    <col min="13" max="13" width="24.140625" style="1" bestFit="1" customWidth="1"/>
    <col min="14" max="14" width="10.5703125" style="1" bestFit="1" customWidth="1"/>
    <col min="15" max="16384" width="8.85546875" style="1"/>
  </cols>
  <sheetData>
    <row r="2" spans="2:15" x14ac:dyDescent="0.25">
      <c r="C2" s="5" t="s">
        <v>0</v>
      </c>
      <c r="D2" s="5" t="s">
        <v>1</v>
      </c>
      <c r="E2" s="5" t="s">
        <v>2</v>
      </c>
      <c r="F2" s="5" t="s">
        <v>3</v>
      </c>
      <c r="G2" s="5" t="s">
        <v>4</v>
      </c>
      <c r="H2" s="5" t="s">
        <v>5</v>
      </c>
      <c r="I2" s="5" t="s">
        <v>6</v>
      </c>
      <c r="J2" s="5" t="s">
        <v>7</v>
      </c>
      <c r="K2" s="5" t="s">
        <v>8</v>
      </c>
      <c r="L2" s="5" t="s">
        <v>9</v>
      </c>
      <c r="M2" s="5" t="s">
        <v>10</v>
      </c>
      <c r="N2" s="5" t="s">
        <v>11</v>
      </c>
      <c r="O2" s="5" t="s">
        <v>12</v>
      </c>
    </row>
    <row r="3" spans="2:15" x14ac:dyDescent="0.25">
      <c r="B3" s="4" t="s">
        <v>13</v>
      </c>
      <c r="C3" s="6" t="s">
        <v>14</v>
      </c>
      <c r="D3" s="6" t="s">
        <v>15</v>
      </c>
      <c r="E3" s="6" t="s">
        <v>16</v>
      </c>
      <c r="F3" s="6" t="s">
        <v>17</v>
      </c>
      <c r="G3" s="6" t="s">
        <v>18</v>
      </c>
      <c r="H3" s="6" t="s">
        <v>19</v>
      </c>
      <c r="I3" s="6" t="s">
        <v>20</v>
      </c>
      <c r="J3" s="6" t="s">
        <v>21</v>
      </c>
      <c r="K3" s="6" t="s">
        <v>22</v>
      </c>
      <c r="L3" s="6" t="s">
        <v>23</v>
      </c>
      <c r="M3" s="6" t="s">
        <v>24</v>
      </c>
      <c r="N3" s="6" t="s">
        <v>25</v>
      </c>
      <c r="O3" s="6" t="s">
        <v>26</v>
      </c>
    </row>
    <row r="4" spans="2:15" x14ac:dyDescent="0.25">
      <c r="B4" s="4" t="s">
        <v>27</v>
      </c>
      <c r="C4" s="6" t="s">
        <v>14</v>
      </c>
      <c r="D4" s="6" t="s">
        <v>15</v>
      </c>
      <c r="E4" s="6" t="s">
        <v>16</v>
      </c>
      <c r="F4" s="6" t="s">
        <v>17</v>
      </c>
      <c r="G4" s="6" t="s">
        <v>18</v>
      </c>
      <c r="H4" s="6" t="s">
        <v>19</v>
      </c>
      <c r="I4" s="6" t="s">
        <v>20</v>
      </c>
      <c r="J4" s="6" t="s">
        <v>21</v>
      </c>
      <c r="K4" s="6" t="s">
        <v>28</v>
      </c>
      <c r="L4" s="6" t="s">
        <v>23</v>
      </c>
      <c r="M4" s="6" t="s">
        <v>24</v>
      </c>
      <c r="N4" s="6" t="s">
        <v>25</v>
      </c>
      <c r="O4" s="6" t="s">
        <v>26</v>
      </c>
    </row>
    <row r="5" spans="2:15" x14ac:dyDescent="0.25">
      <c r="B5" s="4" t="s">
        <v>29</v>
      </c>
      <c r="C5" s="6" t="s">
        <v>30</v>
      </c>
      <c r="D5" s="6" t="s">
        <v>31</v>
      </c>
      <c r="E5" s="6" t="s">
        <v>16</v>
      </c>
      <c r="F5" s="6" t="s">
        <v>17</v>
      </c>
      <c r="G5" s="6" t="s">
        <v>18</v>
      </c>
      <c r="H5" s="6" t="s">
        <v>19</v>
      </c>
      <c r="I5" s="6" t="s">
        <v>20</v>
      </c>
      <c r="J5" s="6" t="s">
        <v>21</v>
      </c>
      <c r="K5" s="6" t="s">
        <v>32</v>
      </c>
      <c r="L5" s="6" t="s">
        <v>23</v>
      </c>
      <c r="M5" s="6" t="s">
        <v>24</v>
      </c>
      <c r="N5" s="6" t="s">
        <v>25</v>
      </c>
      <c r="O5" s="6" t="s">
        <v>26</v>
      </c>
    </row>
    <row r="6" spans="2:15" x14ac:dyDescent="0.25">
      <c r="B6" s="4" t="s">
        <v>33</v>
      </c>
      <c r="C6" s="6" t="s">
        <v>34</v>
      </c>
      <c r="D6" s="6" t="s">
        <v>31</v>
      </c>
      <c r="E6" s="6" t="s">
        <v>35</v>
      </c>
      <c r="F6" s="6" t="s">
        <v>17</v>
      </c>
      <c r="G6" s="6" t="s">
        <v>18</v>
      </c>
      <c r="H6" s="6" t="s">
        <v>19</v>
      </c>
      <c r="I6" s="6" t="s">
        <v>20</v>
      </c>
      <c r="J6" s="6" t="s">
        <v>21</v>
      </c>
      <c r="K6" s="6" t="s">
        <v>36</v>
      </c>
      <c r="L6" s="6" t="s">
        <v>23</v>
      </c>
      <c r="M6" s="6" t="s">
        <v>37</v>
      </c>
      <c r="N6" s="6" t="s">
        <v>25</v>
      </c>
      <c r="O6" s="6" t="s">
        <v>26</v>
      </c>
    </row>
    <row r="7" spans="2:15" ht="9.75" customHeight="1" x14ac:dyDescent="0.25">
      <c r="B7" s="3"/>
    </row>
    <row r="8" spans="2:15" x14ac:dyDescent="0.25">
      <c r="B8" s="3"/>
      <c r="C8" s="5" t="s">
        <v>0</v>
      </c>
      <c r="D8" s="5" t="s">
        <v>1</v>
      </c>
      <c r="E8" s="5" t="s">
        <v>2</v>
      </c>
      <c r="F8" s="5" t="s">
        <v>3</v>
      </c>
      <c r="G8" s="5" t="s">
        <v>4</v>
      </c>
      <c r="H8" s="5" t="s">
        <v>5</v>
      </c>
      <c r="I8" s="5" t="s">
        <v>6</v>
      </c>
      <c r="J8" s="5" t="s">
        <v>38</v>
      </c>
      <c r="K8" s="5" t="s">
        <v>8</v>
      </c>
      <c r="L8" s="5" t="s">
        <v>9</v>
      </c>
      <c r="M8" s="5" t="s">
        <v>10</v>
      </c>
      <c r="N8" s="5" t="s">
        <v>11</v>
      </c>
      <c r="O8" s="5" t="s">
        <v>12</v>
      </c>
    </row>
    <row r="9" spans="2:15" x14ac:dyDescent="0.25">
      <c r="B9" s="4" t="s">
        <v>39</v>
      </c>
      <c r="C9" s="6" t="s">
        <v>40</v>
      </c>
      <c r="D9" s="6" t="s">
        <v>15</v>
      </c>
      <c r="E9" s="6" t="s">
        <v>16</v>
      </c>
      <c r="F9" s="6" t="s">
        <v>17</v>
      </c>
      <c r="G9" s="6" t="s">
        <v>18</v>
      </c>
      <c r="H9" s="6" t="s">
        <v>19</v>
      </c>
      <c r="I9" s="6" t="s">
        <v>20</v>
      </c>
      <c r="J9" s="6" t="s">
        <v>41</v>
      </c>
      <c r="K9" s="6" t="s">
        <v>42</v>
      </c>
      <c r="L9" s="6" t="s">
        <v>23</v>
      </c>
      <c r="M9" s="6" t="s">
        <v>24</v>
      </c>
      <c r="N9" s="6" t="s">
        <v>25</v>
      </c>
      <c r="O9" s="6" t="s">
        <v>43</v>
      </c>
    </row>
    <row r="11" spans="2:15" x14ac:dyDescent="0.25">
      <c r="C11" s="5" t="s">
        <v>0</v>
      </c>
      <c r="D11" s="5" t="s">
        <v>1</v>
      </c>
      <c r="E11" s="5" t="s">
        <v>2</v>
      </c>
      <c r="F11" s="5" t="s">
        <v>3</v>
      </c>
      <c r="G11" s="5" t="s">
        <v>4</v>
      </c>
      <c r="H11" s="5" t="s">
        <v>5</v>
      </c>
      <c r="I11" s="5" t="s">
        <v>6</v>
      </c>
      <c r="J11" s="5" t="s">
        <v>7</v>
      </c>
      <c r="K11" s="5" t="s">
        <v>8</v>
      </c>
      <c r="L11" s="5" t="s">
        <v>9</v>
      </c>
      <c r="M11" s="5" t="s">
        <v>10</v>
      </c>
      <c r="N11" s="5" t="s">
        <v>11</v>
      </c>
      <c r="O11" s="5" t="s">
        <v>12</v>
      </c>
    </row>
    <row r="12" spans="2:15" x14ac:dyDescent="0.25">
      <c r="B12" s="4" t="s">
        <v>44</v>
      </c>
      <c r="C12" s="6" t="s">
        <v>45</v>
      </c>
      <c r="D12" s="6" t="s">
        <v>46</v>
      </c>
      <c r="E12" s="6" t="s">
        <v>16</v>
      </c>
      <c r="F12" s="6" t="s">
        <v>17</v>
      </c>
      <c r="G12" s="6" t="s">
        <v>18</v>
      </c>
      <c r="H12" s="6" t="s">
        <v>19</v>
      </c>
      <c r="I12" s="6" t="s">
        <v>20</v>
      </c>
      <c r="J12" s="6" t="s">
        <v>21</v>
      </c>
      <c r="K12" s="6" t="s">
        <v>22</v>
      </c>
      <c r="L12" s="6" t="s">
        <v>23</v>
      </c>
      <c r="M12" s="6" t="s">
        <v>24</v>
      </c>
      <c r="N12" s="6" t="s">
        <v>25</v>
      </c>
      <c r="O12" s="6" t="s">
        <v>43</v>
      </c>
    </row>
    <row r="13" spans="2:15" x14ac:dyDescent="0.25">
      <c r="B13" s="4" t="s">
        <v>47</v>
      </c>
      <c r="C13" s="6" t="s">
        <v>45</v>
      </c>
      <c r="D13" s="6" t="s">
        <v>46</v>
      </c>
      <c r="E13" s="6" t="s">
        <v>16</v>
      </c>
      <c r="F13" s="6" t="s">
        <v>17</v>
      </c>
      <c r="G13" s="6" t="s">
        <v>18</v>
      </c>
      <c r="H13" s="6" t="s">
        <v>19</v>
      </c>
      <c r="I13" s="6" t="s">
        <v>20</v>
      </c>
      <c r="J13" s="6" t="s">
        <v>21</v>
      </c>
      <c r="K13" s="6" t="s">
        <v>28</v>
      </c>
      <c r="L13" s="6" t="s">
        <v>23</v>
      </c>
      <c r="M13" s="6" t="s">
        <v>24</v>
      </c>
      <c r="N13" s="6" t="s">
        <v>25</v>
      </c>
      <c r="O13" s="6" t="s">
        <v>43</v>
      </c>
    </row>
    <row r="14" spans="2:15" x14ac:dyDescent="0.25">
      <c r="B14" s="4" t="s">
        <v>48</v>
      </c>
      <c r="C14" s="6" t="s">
        <v>49</v>
      </c>
      <c r="D14" s="6" t="s">
        <v>50</v>
      </c>
      <c r="E14" s="6" t="s">
        <v>51</v>
      </c>
      <c r="F14" s="6" t="s">
        <v>17</v>
      </c>
      <c r="G14" s="6" t="s">
        <v>18</v>
      </c>
      <c r="H14" s="6" t="s">
        <v>19</v>
      </c>
      <c r="I14" s="6" t="s">
        <v>20</v>
      </c>
      <c r="J14" s="6" t="s">
        <v>21</v>
      </c>
      <c r="K14" s="6" t="s">
        <v>32</v>
      </c>
      <c r="L14" s="6" t="s">
        <v>23</v>
      </c>
      <c r="M14" s="6" t="s">
        <v>24</v>
      </c>
      <c r="N14" s="6" t="s">
        <v>25</v>
      </c>
      <c r="O14" s="6" t="s">
        <v>43</v>
      </c>
    </row>
    <row r="15" spans="2:15" x14ac:dyDescent="0.25">
      <c r="B15" s="4" t="s">
        <v>52</v>
      </c>
      <c r="C15" s="6" t="s">
        <v>53</v>
      </c>
      <c r="D15" s="6" t="s">
        <v>50</v>
      </c>
      <c r="E15" s="6" t="s">
        <v>35</v>
      </c>
      <c r="F15" s="6" t="s">
        <v>17</v>
      </c>
      <c r="G15" s="6" t="s">
        <v>18</v>
      </c>
      <c r="H15" s="6" t="s">
        <v>19</v>
      </c>
      <c r="I15" s="6" t="s">
        <v>20</v>
      </c>
      <c r="J15" s="6" t="s">
        <v>21</v>
      </c>
      <c r="K15" s="6" t="s">
        <v>36</v>
      </c>
      <c r="L15" s="6" t="s">
        <v>23</v>
      </c>
      <c r="M15" s="6" t="s">
        <v>37</v>
      </c>
      <c r="N15" s="6" t="s">
        <v>25</v>
      </c>
      <c r="O15" s="6" t="s">
        <v>43</v>
      </c>
    </row>
    <row r="17" spans="2:15" x14ac:dyDescent="0.25">
      <c r="C17" s="5" t="s">
        <v>0</v>
      </c>
      <c r="D17" s="5" t="s">
        <v>1</v>
      </c>
      <c r="E17" s="5" t="s">
        <v>2</v>
      </c>
      <c r="F17" s="5" t="s">
        <v>3</v>
      </c>
      <c r="G17" s="5" t="s">
        <v>4</v>
      </c>
      <c r="H17" s="5" t="s">
        <v>5</v>
      </c>
      <c r="I17" s="5" t="s">
        <v>6</v>
      </c>
      <c r="J17" s="5" t="s">
        <v>38</v>
      </c>
      <c r="K17" s="5" t="s">
        <v>8</v>
      </c>
      <c r="L17" s="5" t="s">
        <v>9</v>
      </c>
      <c r="M17" s="5" t="s">
        <v>10</v>
      </c>
      <c r="N17" s="5" t="s">
        <v>11</v>
      </c>
      <c r="O17" s="5" t="s">
        <v>12</v>
      </c>
    </row>
    <row r="18" spans="2:15" x14ac:dyDescent="0.25">
      <c r="B18" s="4" t="s">
        <v>54</v>
      </c>
      <c r="C18" s="6" t="s">
        <v>55</v>
      </c>
      <c r="D18" s="6" t="s">
        <v>15</v>
      </c>
      <c r="E18" s="6" t="s">
        <v>16</v>
      </c>
      <c r="F18" s="6" t="s">
        <v>17</v>
      </c>
      <c r="G18" s="6" t="s">
        <v>18</v>
      </c>
      <c r="H18" s="6" t="s">
        <v>19</v>
      </c>
      <c r="I18" s="6" t="s">
        <v>20</v>
      </c>
      <c r="J18" s="6" t="s">
        <v>41</v>
      </c>
      <c r="K18" s="6" t="s">
        <v>42</v>
      </c>
      <c r="L18" s="6" t="s">
        <v>23</v>
      </c>
      <c r="M18" s="6" t="s">
        <v>24</v>
      </c>
      <c r="N18" s="6" t="s">
        <v>25</v>
      </c>
      <c r="O18" s="6" t="s">
        <v>43</v>
      </c>
    </row>
    <row r="20" spans="2:15" x14ac:dyDescent="0.25">
      <c r="B20" s="7" t="s">
        <v>56</v>
      </c>
      <c r="C20" s="172" t="s">
        <v>57</v>
      </c>
      <c r="D20" s="172"/>
      <c r="E20" s="172"/>
    </row>
    <row r="21" spans="2:15" x14ac:dyDescent="0.25">
      <c r="B21" s="7" t="s">
        <v>58</v>
      </c>
      <c r="C21" s="172" t="s">
        <v>59</v>
      </c>
      <c r="D21" s="172"/>
      <c r="E21" s="172"/>
    </row>
    <row r="22" spans="2:15" x14ac:dyDescent="0.25">
      <c r="B22" s="7" t="s">
        <v>60</v>
      </c>
      <c r="C22" s="172" t="s">
        <v>61</v>
      </c>
      <c r="D22" s="172"/>
      <c r="E22" s="172"/>
      <c r="I22" s="2" t="s">
        <v>62</v>
      </c>
      <c r="J22" s="1">
        <f>LEN(I22)</f>
        <v>17</v>
      </c>
    </row>
    <row r="23" spans="2:15" x14ac:dyDescent="0.25">
      <c r="B23" s="7" t="s">
        <v>63</v>
      </c>
      <c r="C23" s="172" t="s">
        <v>64</v>
      </c>
      <c r="D23" s="172"/>
      <c r="E23" s="172"/>
      <c r="I23" s="2" t="s">
        <v>65</v>
      </c>
      <c r="J23" s="1">
        <f>LEN(I23)</f>
        <v>16</v>
      </c>
    </row>
    <row r="24" spans="2:15" x14ac:dyDescent="0.25">
      <c r="I24" s="2" t="s">
        <v>66</v>
      </c>
      <c r="J24" s="1">
        <f>LEN(I24)</f>
        <v>16</v>
      </c>
    </row>
    <row r="25" spans="2:15" x14ac:dyDescent="0.25">
      <c r="C25" s="1" t="s">
        <v>67</v>
      </c>
      <c r="I25" s="2" t="s">
        <v>68</v>
      </c>
      <c r="J25" s="1">
        <f>LEN(I25)</f>
        <v>15</v>
      </c>
    </row>
    <row r="28" spans="2:15" x14ac:dyDescent="0.25">
      <c r="C28" s="5" t="s">
        <v>0</v>
      </c>
      <c r="D28" s="5" t="s">
        <v>1</v>
      </c>
      <c r="E28" s="5" t="s">
        <v>2</v>
      </c>
      <c r="F28" s="5" t="s">
        <v>3</v>
      </c>
      <c r="G28" s="5" t="s">
        <v>4</v>
      </c>
      <c r="H28" s="5" t="s">
        <v>5</v>
      </c>
      <c r="I28" s="5" t="s">
        <v>6</v>
      </c>
      <c r="J28" s="5" t="s">
        <v>7</v>
      </c>
      <c r="K28" s="5" t="s">
        <v>8</v>
      </c>
      <c r="L28" s="5" t="s">
        <v>9</v>
      </c>
      <c r="M28" s="5" t="s">
        <v>10</v>
      </c>
      <c r="N28" s="5" t="s">
        <v>11</v>
      </c>
      <c r="O28" s="5" t="s">
        <v>12</v>
      </c>
    </row>
    <row r="29" spans="2:15" x14ac:dyDescent="0.25">
      <c r="C29" s="6" t="s">
        <v>14</v>
      </c>
      <c r="D29" s="6" t="s">
        <v>15</v>
      </c>
      <c r="E29" s="6" t="s">
        <v>16</v>
      </c>
      <c r="F29" s="6" t="s">
        <v>17</v>
      </c>
      <c r="G29" s="6" t="s">
        <v>18</v>
      </c>
      <c r="H29" s="6" t="s">
        <v>19</v>
      </c>
      <c r="I29" s="6" t="s">
        <v>20</v>
      </c>
      <c r="J29" s="6" t="s">
        <v>21</v>
      </c>
      <c r="K29" s="6" t="s">
        <v>22</v>
      </c>
      <c r="L29" s="6" t="s">
        <v>23</v>
      </c>
      <c r="M29" s="6" t="s">
        <v>24</v>
      </c>
      <c r="N29" s="6" t="s">
        <v>25</v>
      </c>
      <c r="O29" s="6" t="s">
        <v>26</v>
      </c>
    </row>
  </sheetData>
  <mergeCells count="4">
    <mergeCell ref="C20:E20"/>
    <mergeCell ref="C21:E21"/>
    <mergeCell ref="C22:E22"/>
    <mergeCell ref="C23:E23"/>
  </mergeCells>
  <phoneticPr fontId="3" type="noConversion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AI143"/>
  <sheetViews>
    <sheetView zoomScale="130" zoomScaleNormal="130" zoomScaleSheetLayoutView="108" workbookViewId="0">
      <selection activeCell="D13" sqref="D13"/>
    </sheetView>
  </sheetViews>
  <sheetFormatPr defaultColWidth="8.85546875" defaultRowHeight="15" x14ac:dyDescent="0.25"/>
  <cols>
    <col min="1" max="1" width="11.140625" style="42" customWidth="1"/>
    <col min="2" max="2" width="5.140625" style="42" bestFit="1" customWidth="1"/>
    <col min="3" max="3" width="67.5703125" style="42" bestFit="1" customWidth="1"/>
    <col min="4" max="4" width="9.42578125" style="43" customWidth="1"/>
    <col min="5" max="5" width="22.5703125" style="42" customWidth="1"/>
    <col min="6" max="6" width="15.42578125" style="42" customWidth="1"/>
    <col min="7" max="7" width="3.42578125" style="42" customWidth="1"/>
    <col min="8" max="8" width="21.42578125" style="42" bestFit="1" customWidth="1"/>
    <col min="9" max="10" width="3.42578125" style="42" customWidth="1"/>
    <col min="11" max="11" width="8.85546875" style="42"/>
    <col min="12" max="12" width="19.140625" style="42" customWidth="1"/>
    <col min="13" max="16" width="8.85546875" style="42"/>
    <col min="17" max="17" width="13.140625" style="42" bestFit="1" customWidth="1"/>
    <col min="18" max="20" width="8.85546875" style="42"/>
    <col min="21" max="22" width="8.85546875" style="42" bestFit="1" customWidth="1"/>
    <col min="23" max="25" width="8.85546875" style="42"/>
    <col min="26" max="33" width="8.85546875" style="42" bestFit="1" customWidth="1"/>
    <col min="34" max="35" width="9.140625" style="42" bestFit="1" customWidth="1"/>
    <col min="36" max="40" width="8.85546875" style="42" bestFit="1" customWidth="1"/>
    <col min="41" max="16384" width="8.85546875" style="42"/>
  </cols>
  <sheetData>
    <row r="1" spans="2:35" x14ac:dyDescent="0.25">
      <c r="B1" s="174" t="s">
        <v>69</v>
      </c>
      <c r="C1" s="174"/>
      <c r="D1" s="174"/>
      <c r="E1" s="175">
        <f ca="1">TODAY()</f>
        <v>45845</v>
      </c>
    </row>
    <row r="2" spans="2:35" x14ac:dyDescent="0.25">
      <c r="B2" s="174"/>
      <c r="C2" s="174"/>
      <c r="D2" s="174"/>
      <c r="E2" s="176"/>
      <c r="Y2" s="108"/>
      <c r="Z2" s="108"/>
      <c r="AB2" s="108"/>
      <c r="AC2" s="108"/>
      <c r="AH2" s="109"/>
    </row>
    <row r="3" spans="2:35" x14ac:dyDescent="0.25">
      <c r="W3" s="108"/>
      <c r="Y3" s="108"/>
      <c r="Z3" s="108"/>
      <c r="AA3" s="108"/>
      <c r="AB3" s="108"/>
      <c r="AC3" s="108"/>
      <c r="AH3" s="109"/>
      <c r="AI3" s="109"/>
    </row>
    <row r="4" spans="2:35" ht="15.75" thickBot="1" x14ac:dyDescent="0.3">
      <c r="W4" s="108"/>
      <c r="X4" s="108"/>
      <c r="Y4" s="108"/>
      <c r="Z4" s="108"/>
      <c r="AA4" s="108"/>
      <c r="AB4" s="108"/>
      <c r="AC4" s="108"/>
      <c r="AH4" s="109"/>
      <c r="AI4" s="109"/>
    </row>
    <row r="5" spans="2:35" ht="17.25" thickBot="1" x14ac:dyDescent="0.3">
      <c r="B5" s="52" t="s">
        <v>70</v>
      </c>
      <c r="C5" s="53" t="s">
        <v>71</v>
      </c>
      <c r="D5" s="54" t="s">
        <v>72</v>
      </c>
      <c r="E5" s="55" t="s">
        <v>73</v>
      </c>
      <c r="Y5" s="108"/>
      <c r="Z5" s="108"/>
      <c r="AA5" s="108"/>
      <c r="AB5" s="108"/>
      <c r="AC5" s="108"/>
      <c r="AH5" s="109"/>
      <c r="AI5" s="109"/>
    </row>
    <row r="6" spans="2:35" ht="16.5" thickBot="1" x14ac:dyDescent="0.3">
      <c r="B6" s="51">
        <v>1</v>
      </c>
      <c r="C6" s="62" t="s">
        <v>1626</v>
      </c>
      <c r="D6" s="50">
        <v>2718</v>
      </c>
      <c r="E6" s="49" t="s">
        <v>1617</v>
      </c>
      <c r="W6" s="108"/>
      <c r="X6" s="108"/>
      <c r="Y6" s="108"/>
      <c r="Z6" s="108"/>
      <c r="AA6" s="108"/>
      <c r="AB6" s="108"/>
      <c r="AC6" s="108"/>
      <c r="AG6" s="108"/>
      <c r="AH6" s="109"/>
      <c r="AI6" s="109"/>
    </row>
    <row r="7" spans="2:35" ht="16.5" thickBot="1" x14ac:dyDescent="0.3">
      <c r="B7" s="48">
        <v>2</v>
      </c>
      <c r="C7" s="62"/>
      <c r="D7" s="50"/>
      <c r="E7" s="49"/>
      <c r="U7" s="109"/>
      <c r="W7" s="108"/>
      <c r="X7" s="108"/>
      <c r="Y7" s="108"/>
      <c r="Z7" s="108"/>
      <c r="AB7" s="108"/>
      <c r="AC7" s="108"/>
      <c r="AH7" s="109"/>
      <c r="AI7" s="109"/>
    </row>
    <row r="8" spans="2:35" ht="16.5" thickBot="1" x14ac:dyDescent="0.3">
      <c r="B8" s="48">
        <v>3</v>
      </c>
      <c r="C8" s="62"/>
      <c r="D8" s="50"/>
      <c r="E8" s="49"/>
      <c r="U8" s="109"/>
      <c r="W8" s="108"/>
      <c r="X8" s="108"/>
      <c r="Y8" s="108"/>
      <c r="Z8" s="108"/>
      <c r="AA8" s="108"/>
      <c r="AB8" s="108"/>
      <c r="AC8" s="108"/>
      <c r="AH8" s="109"/>
      <c r="AI8" s="109"/>
    </row>
    <row r="9" spans="2:35" ht="16.5" thickBot="1" x14ac:dyDescent="0.3">
      <c r="B9" s="51">
        <v>4</v>
      </c>
      <c r="C9" s="62"/>
      <c r="D9" s="50"/>
      <c r="E9" s="49"/>
      <c r="U9" s="109"/>
      <c r="W9" s="108"/>
      <c r="X9" s="108"/>
      <c r="Y9" s="108"/>
      <c r="Z9" s="108"/>
      <c r="AB9" s="108"/>
      <c r="AC9" s="108"/>
      <c r="AG9" s="108"/>
      <c r="AH9" s="109"/>
      <c r="AI9" s="109"/>
    </row>
    <row r="10" spans="2:35" ht="16.5" thickBot="1" x14ac:dyDescent="0.3">
      <c r="B10" s="48">
        <v>5</v>
      </c>
      <c r="C10" s="62"/>
      <c r="D10" s="50"/>
      <c r="E10" s="49"/>
      <c r="U10" s="109"/>
      <c r="W10" s="108"/>
      <c r="X10" s="108"/>
      <c r="Y10" s="108"/>
      <c r="AB10" s="108"/>
      <c r="AC10" s="108"/>
      <c r="AH10" s="109"/>
    </row>
    <row r="11" spans="2:35" ht="16.5" thickBot="1" x14ac:dyDescent="0.3">
      <c r="B11" s="48">
        <v>6</v>
      </c>
      <c r="C11" s="62"/>
      <c r="D11" s="50"/>
      <c r="E11" s="49"/>
      <c r="U11" s="109"/>
      <c r="W11" s="108"/>
      <c r="X11" s="108"/>
      <c r="Y11" s="108"/>
      <c r="AB11" s="108"/>
      <c r="AC11" s="108"/>
      <c r="AH11" s="109"/>
    </row>
    <row r="12" spans="2:35" ht="15.75" customHeight="1" thickBot="1" x14ac:dyDescent="0.3">
      <c r="B12" s="51">
        <v>7</v>
      </c>
      <c r="C12" s="62"/>
      <c r="D12" s="50"/>
      <c r="E12" s="49"/>
      <c r="L12" s="120"/>
      <c r="M12" s="108"/>
      <c r="U12" s="109"/>
      <c r="Y12" s="108"/>
      <c r="AB12" s="108"/>
      <c r="AC12" s="108"/>
      <c r="AG12" s="108"/>
      <c r="AH12" s="109"/>
    </row>
    <row r="13" spans="2:35" ht="16.5" thickBot="1" x14ac:dyDescent="0.3">
      <c r="B13" s="48">
        <v>8</v>
      </c>
      <c r="C13" s="62"/>
      <c r="D13" s="50"/>
      <c r="E13" s="49"/>
      <c r="L13" s="108"/>
      <c r="M13" s="108"/>
      <c r="U13" s="109"/>
      <c r="Y13" s="108"/>
      <c r="Z13" s="108"/>
      <c r="AB13" s="108"/>
      <c r="AC13" s="108"/>
      <c r="AH13" s="109"/>
    </row>
    <row r="14" spans="2:35" ht="15" customHeight="1" thickBot="1" x14ac:dyDescent="0.3">
      <c r="B14" s="48">
        <v>9</v>
      </c>
      <c r="C14" s="62"/>
      <c r="D14" s="50"/>
      <c r="E14" s="49"/>
      <c r="L14" s="121"/>
      <c r="M14" s="108"/>
      <c r="U14" s="109"/>
      <c r="Y14" s="108"/>
      <c r="Z14" s="108"/>
      <c r="AB14" s="108"/>
      <c r="AC14" s="108"/>
      <c r="AH14" s="109"/>
    </row>
    <row r="15" spans="2:35" ht="15" customHeight="1" thickBot="1" x14ac:dyDescent="0.3">
      <c r="B15" s="51">
        <v>10</v>
      </c>
      <c r="C15" s="62"/>
      <c r="D15" s="50"/>
      <c r="E15" s="49"/>
      <c r="L15" s="121"/>
      <c r="M15" s="108"/>
      <c r="U15" s="109"/>
      <c r="Y15" s="108"/>
      <c r="Z15" s="108"/>
      <c r="AB15" s="108"/>
      <c r="AC15" s="108"/>
      <c r="AH15" s="109"/>
    </row>
    <row r="16" spans="2:35" ht="15" customHeight="1" thickBot="1" x14ac:dyDescent="0.3">
      <c r="B16" s="48">
        <v>11</v>
      </c>
      <c r="C16" s="62"/>
      <c r="D16" s="50"/>
      <c r="E16" s="49"/>
      <c r="L16" s="121"/>
      <c r="M16" s="108"/>
      <c r="U16" s="109"/>
      <c r="AH16" s="109"/>
    </row>
    <row r="17" spans="2:34" ht="15" customHeight="1" thickBot="1" x14ac:dyDescent="0.3">
      <c r="B17" s="48">
        <v>12</v>
      </c>
      <c r="C17" s="62"/>
      <c r="D17" s="50"/>
      <c r="E17" s="49"/>
      <c r="H17" s="173"/>
      <c r="L17" s="45"/>
      <c r="U17" s="109"/>
      <c r="Y17" s="108"/>
      <c r="Z17" s="108"/>
      <c r="AH17" s="109"/>
    </row>
    <row r="18" spans="2:34" ht="15" customHeight="1" thickBot="1" x14ac:dyDescent="0.3">
      <c r="B18" s="51">
        <v>13</v>
      </c>
      <c r="C18" s="62"/>
      <c r="D18" s="50"/>
      <c r="E18" s="49"/>
      <c r="H18" s="173"/>
      <c r="L18" s="121"/>
      <c r="M18" s="108"/>
      <c r="U18" s="109"/>
      <c r="AG18" s="108"/>
      <c r="AH18" s="108"/>
    </row>
    <row r="19" spans="2:34" ht="15" customHeight="1" thickBot="1" x14ac:dyDescent="0.3">
      <c r="B19" s="48">
        <v>14</v>
      </c>
      <c r="C19" s="62"/>
      <c r="D19" s="50"/>
      <c r="E19" s="49"/>
      <c r="H19" s="173"/>
      <c r="L19" s="45"/>
      <c r="U19" s="109"/>
    </row>
    <row r="20" spans="2:34" ht="15" customHeight="1" thickBot="1" x14ac:dyDescent="0.3">
      <c r="B20" s="48">
        <v>15</v>
      </c>
      <c r="C20" s="62"/>
      <c r="D20" s="50"/>
      <c r="E20" s="49"/>
      <c r="L20" s="121"/>
      <c r="M20" s="108"/>
      <c r="U20" s="109"/>
    </row>
    <row r="21" spans="2:34" ht="15" customHeight="1" thickBot="1" x14ac:dyDescent="0.3">
      <c r="B21" s="51">
        <v>16</v>
      </c>
      <c r="C21" s="62"/>
      <c r="D21" s="50"/>
      <c r="E21" s="49"/>
      <c r="L21" s="121"/>
      <c r="M21" s="108"/>
      <c r="U21" s="109"/>
      <c r="AG21" s="108"/>
      <c r="AH21" s="108"/>
    </row>
    <row r="22" spans="2:34" ht="15" customHeight="1" thickBot="1" x14ac:dyDescent="0.3">
      <c r="B22" s="48">
        <v>17</v>
      </c>
      <c r="C22" s="62"/>
      <c r="D22" s="50"/>
      <c r="E22" s="49"/>
      <c r="L22" s="121"/>
      <c r="M22" s="108"/>
      <c r="U22" s="109"/>
    </row>
    <row r="23" spans="2:34" ht="15" customHeight="1" thickBot="1" x14ac:dyDescent="0.3">
      <c r="B23" s="48">
        <v>18</v>
      </c>
      <c r="C23" s="62"/>
      <c r="D23" s="50"/>
      <c r="E23" s="49"/>
      <c r="L23" s="45"/>
      <c r="U23" s="109"/>
    </row>
    <row r="24" spans="2:34" ht="15" customHeight="1" thickBot="1" x14ac:dyDescent="0.3">
      <c r="B24" s="51">
        <v>19</v>
      </c>
      <c r="C24" s="62"/>
      <c r="D24" s="50"/>
      <c r="E24" s="62"/>
      <c r="L24" s="121"/>
      <c r="M24" s="122"/>
      <c r="U24" s="109"/>
      <c r="AG24" s="108"/>
      <c r="AH24" s="108"/>
    </row>
    <row r="25" spans="2:34" ht="16.5" thickBot="1" x14ac:dyDescent="0.3">
      <c r="B25" s="48">
        <v>20</v>
      </c>
      <c r="C25" s="62"/>
      <c r="D25" s="50"/>
      <c r="E25" s="49"/>
      <c r="U25" s="109"/>
    </row>
    <row r="26" spans="2:34" ht="13.5" customHeight="1" thickBot="1" x14ac:dyDescent="0.3">
      <c r="B26" s="48">
        <v>21</v>
      </c>
      <c r="C26" s="62"/>
      <c r="D26" s="50"/>
      <c r="E26" s="49"/>
      <c r="L26" s="44"/>
      <c r="U26" s="109"/>
    </row>
    <row r="27" spans="2:34" ht="16.5" thickBot="1" x14ac:dyDescent="0.3">
      <c r="B27" s="51">
        <v>22</v>
      </c>
      <c r="C27" s="62"/>
      <c r="D27" s="50"/>
      <c r="E27" s="49"/>
      <c r="L27" s="108"/>
      <c r="M27" s="108"/>
      <c r="U27" s="109"/>
    </row>
    <row r="28" spans="2:34" ht="15" customHeight="1" thickBot="1" x14ac:dyDescent="0.3">
      <c r="B28" s="48">
        <v>23</v>
      </c>
      <c r="C28" s="62"/>
      <c r="D28" s="50"/>
      <c r="E28" s="49"/>
      <c r="L28" s="46"/>
      <c r="U28" s="109"/>
    </row>
    <row r="29" spans="2:34" ht="15" customHeight="1" thickBot="1" x14ac:dyDescent="0.3">
      <c r="B29" s="48">
        <v>24</v>
      </c>
      <c r="C29" s="62"/>
      <c r="D29" s="50"/>
      <c r="E29" s="49"/>
      <c r="L29" s="47"/>
    </row>
    <row r="30" spans="2:34" ht="16.5" thickBot="1" x14ac:dyDescent="0.3">
      <c r="B30" s="51">
        <v>25</v>
      </c>
      <c r="C30" s="62"/>
      <c r="D30" s="50"/>
      <c r="E30" s="49"/>
    </row>
    <row r="31" spans="2:34" ht="16.5" thickBot="1" x14ac:dyDescent="0.3">
      <c r="B31" s="48">
        <v>26</v>
      </c>
      <c r="C31" s="62"/>
      <c r="D31" s="50"/>
      <c r="E31" s="49"/>
    </row>
    <row r="32" spans="2:34" ht="16.5" thickBot="1" x14ac:dyDescent="0.3">
      <c r="B32" s="48">
        <v>27</v>
      </c>
      <c r="C32" s="62"/>
      <c r="D32" s="50"/>
      <c r="E32" s="49"/>
    </row>
    <row r="33" spans="2:23" ht="16.5" thickBot="1" x14ac:dyDescent="0.3">
      <c r="B33" s="51">
        <v>28</v>
      </c>
      <c r="C33" s="62"/>
      <c r="D33" s="50"/>
      <c r="E33" s="49"/>
    </row>
    <row r="34" spans="2:23" ht="16.5" thickBot="1" x14ac:dyDescent="0.3">
      <c r="B34" s="48">
        <v>29</v>
      </c>
      <c r="C34" s="62"/>
      <c r="D34" s="50"/>
      <c r="E34" s="49"/>
    </row>
    <row r="35" spans="2:23" ht="16.5" thickBot="1" x14ac:dyDescent="0.3">
      <c r="B35" s="48">
        <v>30</v>
      </c>
      <c r="C35" s="62"/>
      <c r="D35" s="50"/>
      <c r="E35" s="49"/>
      <c r="W35" s="42" t="s">
        <v>74</v>
      </c>
    </row>
    <row r="36" spans="2:23" ht="16.5" thickBot="1" x14ac:dyDescent="0.3">
      <c r="B36" s="51">
        <v>31</v>
      </c>
      <c r="C36" s="62"/>
      <c r="D36" s="50"/>
      <c r="E36" s="49"/>
    </row>
    <row r="37" spans="2:23" ht="16.5" thickBot="1" x14ac:dyDescent="0.3">
      <c r="B37" s="48">
        <v>32</v>
      </c>
      <c r="C37" s="62"/>
      <c r="D37" s="50"/>
      <c r="E37" s="49"/>
    </row>
    <row r="38" spans="2:23" ht="16.5" thickBot="1" x14ac:dyDescent="0.3">
      <c r="B38" s="48">
        <v>33</v>
      </c>
      <c r="C38" s="62"/>
      <c r="D38" s="50"/>
      <c r="E38" s="49"/>
    </row>
    <row r="39" spans="2:23" ht="16.5" thickBot="1" x14ac:dyDescent="0.3">
      <c r="B39" s="51">
        <v>34</v>
      </c>
      <c r="C39" s="62"/>
      <c r="D39" s="50"/>
      <c r="E39" s="49"/>
    </row>
    <row r="40" spans="2:23" ht="16.5" thickBot="1" x14ac:dyDescent="0.3">
      <c r="B40" s="48">
        <v>35</v>
      </c>
      <c r="C40" s="62"/>
      <c r="D40" s="50"/>
      <c r="E40" s="49"/>
    </row>
    <row r="41" spans="2:23" ht="16.5" thickBot="1" x14ac:dyDescent="0.3">
      <c r="B41" s="48">
        <v>36</v>
      </c>
      <c r="C41" s="62"/>
      <c r="D41" s="50"/>
      <c r="E41" s="49"/>
    </row>
    <row r="42" spans="2:23" ht="16.5" thickBot="1" x14ac:dyDescent="0.3">
      <c r="B42" s="48">
        <v>37</v>
      </c>
      <c r="C42" s="62"/>
      <c r="D42" s="50"/>
      <c r="E42" s="49"/>
    </row>
    <row r="43" spans="2:23" ht="16.5" thickBot="1" x14ac:dyDescent="0.3">
      <c r="B43" s="48">
        <v>38</v>
      </c>
      <c r="C43" s="62"/>
      <c r="D43" s="50"/>
      <c r="E43" s="49"/>
    </row>
    <row r="44" spans="2:23" ht="16.5" thickBot="1" x14ac:dyDescent="0.3">
      <c r="B44" s="48">
        <v>39</v>
      </c>
      <c r="C44" s="62"/>
      <c r="D44" s="50"/>
      <c r="E44" s="49"/>
    </row>
    <row r="45" spans="2:23" ht="16.5" thickBot="1" x14ac:dyDescent="0.3">
      <c r="B45" s="48">
        <v>40</v>
      </c>
      <c r="C45" s="62"/>
      <c r="D45" s="50"/>
      <c r="E45" s="49"/>
    </row>
    <row r="46" spans="2:23" ht="16.5" thickBot="1" x14ac:dyDescent="0.3">
      <c r="B46" s="48">
        <v>41</v>
      </c>
      <c r="C46" s="62"/>
      <c r="D46" s="50"/>
      <c r="E46" s="49"/>
    </row>
    <row r="47" spans="2:23" ht="16.5" thickBot="1" x14ac:dyDescent="0.3">
      <c r="B47" s="48">
        <v>42</v>
      </c>
      <c r="C47" s="62"/>
      <c r="D47" s="50"/>
      <c r="E47" s="49"/>
      <c r="Q47" s="90"/>
    </row>
    <row r="48" spans="2:23" ht="16.5" thickBot="1" x14ac:dyDescent="0.3">
      <c r="B48" s="48">
        <v>43</v>
      </c>
      <c r="C48" s="62"/>
      <c r="D48" s="50"/>
      <c r="E48" s="49"/>
      <c r="Q48" s="90"/>
    </row>
    <row r="49" spans="2:18" ht="16.5" thickBot="1" x14ac:dyDescent="0.3">
      <c r="B49" s="48">
        <v>44</v>
      </c>
      <c r="C49" s="62"/>
      <c r="D49" s="50"/>
      <c r="E49" s="49"/>
      <c r="Q49" s="90"/>
    </row>
    <row r="50" spans="2:18" ht="16.5" thickBot="1" x14ac:dyDescent="0.3">
      <c r="B50" s="48">
        <v>45</v>
      </c>
      <c r="C50" s="62"/>
      <c r="D50" s="50"/>
      <c r="E50" s="49"/>
      <c r="Q50" s="90"/>
    </row>
    <row r="51" spans="2:18" ht="16.5" thickBot="1" x14ac:dyDescent="0.3">
      <c r="B51" s="48">
        <v>46</v>
      </c>
      <c r="C51" s="62"/>
      <c r="D51" s="50"/>
      <c r="E51" s="49"/>
      <c r="Q51" s="90"/>
    </row>
    <row r="52" spans="2:18" ht="16.5" thickBot="1" x14ac:dyDescent="0.3">
      <c r="B52" s="48">
        <v>47</v>
      </c>
      <c r="C52" s="62"/>
      <c r="D52" s="50"/>
      <c r="E52" s="49"/>
      <c r="Q52" s="90"/>
      <c r="R52" s="89"/>
    </row>
    <row r="53" spans="2:18" ht="16.5" thickBot="1" x14ac:dyDescent="0.3">
      <c r="B53" s="48">
        <v>48</v>
      </c>
      <c r="C53" s="62"/>
      <c r="D53" s="50"/>
      <c r="E53" s="49"/>
      <c r="Q53" s="90"/>
    </row>
    <row r="54" spans="2:18" ht="16.5" thickBot="1" x14ac:dyDescent="0.3">
      <c r="B54" s="48">
        <v>49</v>
      </c>
      <c r="C54" s="62"/>
      <c r="D54" s="50"/>
      <c r="E54" s="49"/>
      <c r="Q54" s="90"/>
    </row>
    <row r="55" spans="2:18" ht="16.5" thickBot="1" x14ac:dyDescent="0.3">
      <c r="B55" s="48">
        <v>50</v>
      </c>
      <c r="C55" s="62"/>
      <c r="D55" s="50"/>
      <c r="E55" s="49"/>
    </row>
    <row r="56" spans="2:18" ht="16.5" thickBot="1" x14ac:dyDescent="0.3">
      <c r="B56" s="48">
        <v>51</v>
      </c>
      <c r="C56" s="62"/>
      <c r="D56" s="50"/>
      <c r="E56" s="49"/>
    </row>
    <row r="57" spans="2:18" ht="16.5" thickBot="1" x14ac:dyDescent="0.3">
      <c r="B57" s="48">
        <v>52</v>
      </c>
      <c r="C57" s="62"/>
      <c r="D57" s="50"/>
      <c r="E57" s="49"/>
    </row>
    <row r="58" spans="2:18" ht="16.5" thickBot="1" x14ac:dyDescent="0.3">
      <c r="B58" s="48">
        <v>53</v>
      </c>
      <c r="C58" s="62"/>
      <c r="D58" s="50"/>
      <c r="E58" s="49"/>
    </row>
    <row r="59" spans="2:18" ht="16.5" thickBot="1" x14ac:dyDescent="0.3">
      <c r="B59" s="48">
        <v>54</v>
      </c>
      <c r="C59" s="62"/>
      <c r="D59" s="50"/>
      <c r="E59" s="49"/>
    </row>
    <row r="60" spans="2:18" ht="16.5" thickBot="1" x14ac:dyDescent="0.3">
      <c r="B60" s="48">
        <v>55</v>
      </c>
      <c r="C60" s="62"/>
      <c r="D60" s="50"/>
      <c r="E60" s="49"/>
    </row>
    <row r="61" spans="2:18" ht="16.5" thickBot="1" x14ac:dyDescent="0.3">
      <c r="B61" s="48">
        <v>56</v>
      </c>
      <c r="C61" s="62"/>
      <c r="D61" s="50"/>
      <c r="E61" s="49"/>
    </row>
    <row r="62" spans="2:18" ht="16.5" thickBot="1" x14ac:dyDescent="0.3">
      <c r="B62" s="48">
        <v>57</v>
      </c>
      <c r="C62" s="62"/>
      <c r="D62" s="50"/>
      <c r="E62" s="49"/>
    </row>
    <row r="63" spans="2:18" ht="16.5" thickBot="1" x14ac:dyDescent="0.3">
      <c r="B63" s="48">
        <v>58</v>
      </c>
      <c r="C63" s="62"/>
      <c r="D63" s="50"/>
      <c r="E63" s="49"/>
    </row>
    <row r="64" spans="2:18" ht="16.5" thickBot="1" x14ac:dyDescent="0.3">
      <c r="B64" s="48">
        <v>59</v>
      </c>
      <c r="C64" s="62"/>
      <c r="D64" s="50"/>
      <c r="E64" s="49"/>
    </row>
    <row r="65" spans="2:5" ht="16.5" thickBot="1" x14ac:dyDescent="0.3">
      <c r="B65" s="48">
        <v>60</v>
      </c>
      <c r="C65" s="62"/>
      <c r="D65" s="50"/>
      <c r="E65" s="49"/>
    </row>
    <row r="66" spans="2:5" ht="16.5" thickBot="1" x14ac:dyDescent="0.3">
      <c r="B66" s="48">
        <v>61</v>
      </c>
      <c r="C66" s="62"/>
      <c r="D66" s="50"/>
      <c r="E66" s="49"/>
    </row>
    <row r="67" spans="2:5" ht="16.5" thickBot="1" x14ac:dyDescent="0.3">
      <c r="B67" s="48">
        <v>62</v>
      </c>
      <c r="C67" s="62"/>
      <c r="D67" s="50"/>
      <c r="E67" s="49"/>
    </row>
    <row r="68" spans="2:5" ht="16.5" thickBot="1" x14ac:dyDescent="0.3">
      <c r="B68" s="48">
        <v>63</v>
      </c>
      <c r="C68" s="62"/>
      <c r="D68" s="50"/>
      <c r="E68" s="49"/>
    </row>
    <row r="69" spans="2:5" ht="16.5" thickBot="1" x14ac:dyDescent="0.3">
      <c r="B69" s="48">
        <v>64</v>
      </c>
      <c r="C69" s="62"/>
      <c r="D69" s="50"/>
      <c r="E69" s="49"/>
    </row>
    <row r="70" spans="2:5" ht="16.5" thickBot="1" x14ac:dyDescent="0.3">
      <c r="B70" s="48">
        <v>65</v>
      </c>
      <c r="C70" s="62"/>
      <c r="D70" s="50"/>
      <c r="E70" s="49"/>
    </row>
    <row r="71" spans="2:5" ht="16.5" thickBot="1" x14ac:dyDescent="0.3">
      <c r="B71" s="48">
        <v>66</v>
      </c>
      <c r="C71" s="62"/>
      <c r="D71" s="50"/>
      <c r="E71" s="49"/>
    </row>
    <row r="72" spans="2:5" ht="16.5" thickBot="1" x14ac:dyDescent="0.3">
      <c r="B72" s="48">
        <v>67</v>
      </c>
      <c r="C72" s="62"/>
      <c r="D72" s="50"/>
      <c r="E72" s="49"/>
    </row>
    <row r="73" spans="2:5" ht="16.5" thickBot="1" x14ac:dyDescent="0.3">
      <c r="B73" s="48">
        <v>68</v>
      </c>
      <c r="C73" s="62"/>
      <c r="D73" s="50"/>
      <c r="E73" s="49"/>
    </row>
    <row r="74" spans="2:5" ht="16.5" thickBot="1" x14ac:dyDescent="0.3">
      <c r="B74" s="48">
        <v>69</v>
      </c>
      <c r="C74" s="62"/>
      <c r="D74" s="50"/>
      <c r="E74" s="49"/>
    </row>
    <row r="75" spans="2:5" ht="16.5" thickBot="1" x14ac:dyDescent="0.3">
      <c r="B75" s="48">
        <v>70</v>
      </c>
      <c r="C75" s="62"/>
      <c r="D75" s="50"/>
      <c r="E75" s="49"/>
    </row>
    <row r="76" spans="2:5" ht="16.5" thickBot="1" x14ac:dyDescent="0.3">
      <c r="B76" s="48">
        <v>71</v>
      </c>
      <c r="C76" s="62"/>
      <c r="D76" s="50"/>
      <c r="E76" s="49"/>
    </row>
    <row r="77" spans="2:5" ht="16.5" thickBot="1" x14ac:dyDescent="0.3">
      <c r="B77" s="48">
        <v>72</v>
      </c>
      <c r="C77" s="62"/>
      <c r="D77" s="50"/>
      <c r="E77" s="49"/>
    </row>
    <row r="78" spans="2:5" ht="16.5" thickBot="1" x14ac:dyDescent="0.3">
      <c r="B78" s="48">
        <v>73</v>
      </c>
      <c r="C78" s="62"/>
      <c r="D78" s="50"/>
      <c r="E78" s="49"/>
    </row>
    <row r="79" spans="2:5" ht="16.5" thickBot="1" x14ac:dyDescent="0.3">
      <c r="B79" s="48">
        <v>74</v>
      </c>
      <c r="C79" s="62"/>
      <c r="D79" s="50"/>
      <c r="E79" s="49"/>
    </row>
    <row r="80" spans="2:5" ht="16.5" thickBot="1" x14ac:dyDescent="0.3">
      <c r="B80" s="48">
        <v>75</v>
      </c>
      <c r="C80" s="62"/>
      <c r="D80" s="50"/>
      <c r="E80" s="49"/>
    </row>
    <row r="81" spans="2:5" ht="16.5" thickBot="1" x14ac:dyDescent="0.3">
      <c r="B81" s="48">
        <v>76</v>
      </c>
      <c r="C81" s="62"/>
      <c r="D81" s="50"/>
      <c r="E81" s="49"/>
    </row>
    <row r="82" spans="2:5" ht="16.5" thickBot="1" x14ac:dyDescent="0.3">
      <c r="B82" s="48">
        <v>77</v>
      </c>
      <c r="C82" s="62"/>
      <c r="D82" s="50"/>
      <c r="E82" s="49"/>
    </row>
    <row r="83" spans="2:5" ht="16.5" thickBot="1" x14ac:dyDescent="0.3">
      <c r="B83" s="48">
        <v>78</v>
      </c>
      <c r="C83" s="62"/>
      <c r="D83" s="50"/>
      <c r="E83" s="49"/>
    </row>
    <row r="84" spans="2:5" ht="16.5" thickBot="1" x14ac:dyDescent="0.3">
      <c r="B84" s="48">
        <v>79</v>
      </c>
      <c r="C84" s="62"/>
      <c r="D84" s="50"/>
      <c r="E84" s="49"/>
    </row>
    <row r="85" spans="2:5" ht="16.5" thickBot="1" x14ac:dyDescent="0.3">
      <c r="B85" s="48">
        <v>80</v>
      </c>
      <c r="C85" s="62"/>
      <c r="D85" s="50"/>
      <c r="E85" s="49"/>
    </row>
    <row r="86" spans="2:5" ht="16.5" thickBot="1" x14ac:dyDescent="0.3">
      <c r="B86" s="48">
        <v>81</v>
      </c>
      <c r="C86" s="62"/>
      <c r="D86" s="50"/>
      <c r="E86" s="49"/>
    </row>
    <row r="87" spans="2:5" ht="16.5" thickBot="1" x14ac:dyDescent="0.3">
      <c r="B87" s="48">
        <v>82</v>
      </c>
      <c r="C87" s="62"/>
      <c r="D87" s="50"/>
      <c r="E87" s="49"/>
    </row>
    <row r="88" spans="2:5" ht="16.5" thickBot="1" x14ac:dyDescent="0.3">
      <c r="B88" s="48">
        <v>83</v>
      </c>
      <c r="C88" s="62"/>
      <c r="D88" s="50"/>
      <c r="E88" s="49"/>
    </row>
    <row r="89" spans="2:5" ht="16.5" thickBot="1" x14ac:dyDescent="0.3">
      <c r="B89" s="48">
        <v>84</v>
      </c>
      <c r="C89" s="62"/>
      <c r="D89" s="50"/>
      <c r="E89" s="49"/>
    </row>
    <row r="90" spans="2:5" ht="16.5" thickBot="1" x14ac:dyDescent="0.3">
      <c r="B90" s="48">
        <v>85</v>
      </c>
      <c r="C90" s="62"/>
      <c r="D90" s="50"/>
      <c r="E90" s="49"/>
    </row>
    <row r="91" spans="2:5" ht="16.5" thickBot="1" x14ac:dyDescent="0.3">
      <c r="B91" s="48">
        <v>86</v>
      </c>
      <c r="C91" s="62"/>
      <c r="D91" s="50"/>
      <c r="E91" s="49"/>
    </row>
    <row r="92" spans="2:5" ht="16.5" thickBot="1" x14ac:dyDescent="0.3">
      <c r="B92" s="48">
        <v>87</v>
      </c>
      <c r="C92" s="62"/>
      <c r="D92" s="50"/>
      <c r="E92" s="49"/>
    </row>
    <row r="93" spans="2:5" ht="16.5" thickBot="1" x14ac:dyDescent="0.3">
      <c r="B93" s="48">
        <v>88</v>
      </c>
      <c r="C93" s="62"/>
      <c r="D93" s="50"/>
      <c r="E93" s="49"/>
    </row>
    <row r="94" spans="2:5" ht="16.5" thickBot="1" x14ac:dyDescent="0.3">
      <c r="B94" s="48">
        <v>89</v>
      </c>
      <c r="C94" s="62"/>
      <c r="D94" s="50"/>
      <c r="E94" s="49"/>
    </row>
    <row r="95" spans="2:5" ht="16.5" thickBot="1" x14ac:dyDescent="0.3">
      <c r="B95" s="48">
        <v>90</v>
      </c>
      <c r="C95" s="62"/>
      <c r="D95" s="50"/>
      <c r="E95" s="49"/>
    </row>
    <row r="96" spans="2:5" ht="16.5" thickBot="1" x14ac:dyDescent="0.3">
      <c r="B96" s="48">
        <v>91</v>
      </c>
      <c r="C96" s="62"/>
      <c r="D96" s="50"/>
      <c r="E96" s="49"/>
    </row>
    <row r="97" spans="2:5" ht="16.5" thickBot="1" x14ac:dyDescent="0.3">
      <c r="B97" s="48">
        <v>92</v>
      </c>
      <c r="C97" s="62"/>
      <c r="D97" s="50"/>
      <c r="E97" s="49"/>
    </row>
    <row r="98" spans="2:5" ht="16.5" thickBot="1" x14ac:dyDescent="0.3">
      <c r="B98" s="48">
        <v>93</v>
      </c>
      <c r="C98" s="62"/>
      <c r="D98" s="50"/>
      <c r="E98" s="49"/>
    </row>
    <row r="99" spans="2:5" ht="16.5" thickBot="1" x14ac:dyDescent="0.3">
      <c r="B99" s="48">
        <v>94</v>
      </c>
      <c r="C99" s="62"/>
      <c r="D99" s="50"/>
      <c r="E99" s="49"/>
    </row>
    <row r="100" spans="2:5" ht="16.5" thickBot="1" x14ac:dyDescent="0.3">
      <c r="B100" s="48">
        <v>95</v>
      </c>
      <c r="C100" s="62"/>
      <c r="D100" s="50"/>
      <c r="E100" s="49"/>
    </row>
    <row r="101" spans="2:5" ht="16.5" thickBot="1" x14ac:dyDescent="0.3">
      <c r="B101" s="48">
        <v>96</v>
      </c>
      <c r="C101" s="62"/>
      <c r="D101" s="50"/>
      <c r="E101" s="49"/>
    </row>
    <row r="102" spans="2:5" ht="16.5" thickBot="1" x14ac:dyDescent="0.3">
      <c r="B102" s="48">
        <v>97</v>
      </c>
      <c r="C102" s="62"/>
      <c r="D102" s="50"/>
      <c r="E102" s="49"/>
    </row>
    <row r="103" spans="2:5" ht="16.5" thickBot="1" x14ac:dyDescent="0.3">
      <c r="B103" s="48">
        <v>98</v>
      </c>
      <c r="C103" s="62"/>
      <c r="D103" s="50"/>
      <c r="E103" s="49"/>
    </row>
    <row r="104" spans="2:5" ht="16.5" thickBot="1" x14ac:dyDescent="0.3">
      <c r="B104" s="48">
        <v>99</v>
      </c>
      <c r="C104" s="62"/>
      <c r="D104" s="50"/>
      <c r="E104" s="49"/>
    </row>
    <row r="105" spans="2:5" ht="16.5" thickBot="1" x14ac:dyDescent="0.3">
      <c r="B105" s="48">
        <v>100</v>
      </c>
      <c r="C105" s="62"/>
      <c r="D105" s="50"/>
      <c r="E105" s="49"/>
    </row>
    <row r="106" spans="2:5" ht="16.5" thickBot="1" x14ac:dyDescent="0.3">
      <c r="B106" s="48">
        <v>101</v>
      </c>
      <c r="C106" s="62"/>
      <c r="D106" s="50"/>
      <c r="E106" s="49"/>
    </row>
    <row r="107" spans="2:5" ht="16.5" thickBot="1" x14ac:dyDescent="0.3">
      <c r="B107" s="48">
        <v>102</v>
      </c>
      <c r="C107" s="62"/>
      <c r="D107" s="50"/>
      <c r="E107" s="49"/>
    </row>
    <row r="108" spans="2:5" ht="16.5" thickBot="1" x14ac:dyDescent="0.3">
      <c r="B108" s="48">
        <v>103</v>
      </c>
      <c r="C108" s="62"/>
      <c r="D108" s="50"/>
      <c r="E108" s="49"/>
    </row>
    <row r="109" spans="2:5" ht="16.5" thickBot="1" x14ac:dyDescent="0.3">
      <c r="B109" s="48">
        <v>104</v>
      </c>
      <c r="C109" s="62"/>
      <c r="D109" s="50"/>
      <c r="E109" s="49"/>
    </row>
    <row r="110" spans="2:5" ht="16.5" thickBot="1" x14ac:dyDescent="0.3">
      <c r="B110" s="48">
        <v>105</v>
      </c>
      <c r="C110" s="62"/>
      <c r="D110" s="50"/>
      <c r="E110" s="49"/>
    </row>
    <row r="111" spans="2:5" ht="16.5" thickBot="1" x14ac:dyDescent="0.3">
      <c r="B111" s="48">
        <v>106</v>
      </c>
      <c r="C111" s="62"/>
      <c r="D111" s="50"/>
      <c r="E111" s="49"/>
    </row>
    <row r="112" spans="2:5" ht="16.5" thickBot="1" x14ac:dyDescent="0.3">
      <c r="B112" s="48">
        <v>107</v>
      </c>
      <c r="C112" s="62"/>
      <c r="D112" s="50"/>
      <c r="E112" s="49"/>
    </row>
    <row r="113" spans="2:5" ht="16.5" thickBot="1" x14ac:dyDescent="0.3">
      <c r="B113" s="48">
        <v>108</v>
      </c>
      <c r="C113" s="62"/>
      <c r="D113" s="50"/>
      <c r="E113" s="49"/>
    </row>
    <row r="114" spans="2:5" ht="16.5" thickBot="1" x14ac:dyDescent="0.3">
      <c r="B114" s="48">
        <v>109</v>
      </c>
      <c r="C114" s="62"/>
      <c r="D114" s="50"/>
      <c r="E114" s="49"/>
    </row>
    <row r="115" spans="2:5" ht="16.5" thickBot="1" x14ac:dyDescent="0.3">
      <c r="B115" s="48">
        <v>110</v>
      </c>
      <c r="C115" s="62"/>
      <c r="D115" s="50"/>
      <c r="E115" s="49"/>
    </row>
    <row r="116" spans="2:5" ht="16.5" thickBot="1" x14ac:dyDescent="0.3">
      <c r="B116" s="48">
        <v>111</v>
      </c>
      <c r="C116" s="62"/>
      <c r="D116" s="50"/>
      <c r="E116" s="49"/>
    </row>
    <row r="117" spans="2:5" ht="16.5" thickBot="1" x14ac:dyDescent="0.3">
      <c r="B117" s="48">
        <v>112</v>
      </c>
      <c r="C117" s="62"/>
      <c r="D117" s="50"/>
      <c r="E117" s="49"/>
    </row>
    <row r="118" spans="2:5" ht="16.5" thickBot="1" x14ac:dyDescent="0.3">
      <c r="B118" s="48">
        <v>113</v>
      </c>
      <c r="C118" s="62"/>
      <c r="D118" s="50"/>
      <c r="E118" s="49"/>
    </row>
    <row r="119" spans="2:5" ht="16.5" thickBot="1" x14ac:dyDescent="0.3">
      <c r="B119" s="48">
        <v>114</v>
      </c>
      <c r="C119" s="62"/>
      <c r="D119" s="50"/>
      <c r="E119" s="49"/>
    </row>
    <row r="120" spans="2:5" ht="16.5" thickBot="1" x14ac:dyDescent="0.3">
      <c r="B120" s="48">
        <v>115</v>
      </c>
      <c r="C120" s="62"/>
      <c r="D120" s="50"/>
      <c r="E120" s="49"/>
    </row>
    <row r="121" spans="2:5" ht="16.5" thickBot="1" x14ac:dyDescent="0.3">
      <c r="B121" s="48">
        <v>116</v>
      </c>
      <c r="C121" s="62"/>
      <c r="D121" s="50"/>
      <c r="E121" s="49"/>
    </row>
    <row r="122" spans="2:5" ht="16.5" thickBot="1" x14ac:dyDescent="0.3">
      <c r="B122" s="48">
        <v>117</v>
      </c>
      <c r="C122" s="62"/>
      <c r="D122" s="50"/>
      <c r="E122" s="49"/>
    </row>
    <row r="123" spans="2:5" ht="16.5" thickBot="1" x14ac:dyDescent="0.3">
      <c r="B123" s="48">
        <v>118</v>
      </c>
      <c r="C123" s="62"/>
      <c r="D123" s="50"/>
      <c r="E123" s="49"/>
    </row>
    <row r="124" spans="2:5" ht="16.5" thickBot="1" x14ac:dyDescent="0.3">
      <c r="B124" s="48">
        <v>119</v>
      </c>
      <c r="C124" s="62"/>
      <c r="D124" s="50"/>
      <c r="E124" s="49"/>
    </row>
    <row r="125" spans="2:5" ht="16.5" thickBot="1" x14ac:dyDescent="0.3">
      <c r="B125" s="48">
        <v>120</v>
      </c>
      <c r="C125" s="62"/>
      <c r="D125" s="50"/>
      <c r="E125" s="49"/>
    </row>
    <row r="126" spans="2:5" ht="16.5" thickBot="1" x14ac:dyDescent="0.3">
      <c r="B126" s="48">
        <v>121</v>
      </c>
      <c r="C126" s="62"/>
      <c r="D126" s="50"/>
      <c r="E126" s="49"/>
    </row>
    <row r="127" spans="2:5" ht="16.5" thickBot="1" x14ac:dyDescent="0.3">
      <c r="B127" s="48">
        <v>122</v>
      </c>
      <c r="C127" s="62"/>
      <c r="D127" s="50"/>
      <c r="E127" s="49"/>
    </row>
    <row r="128" spans="2:5" ht="16.5" thickBot="1" x14ac:dyDescent="0.3">
      <c r="B128" s="48">
        <v>123</v>
      </c>
      <c r="C128" s="62"/>
      <c r="D128" s="50"/>
      <c r="E128" s="49"/>
    </row>
    <row r="129" spans="2:5" ht="16.5" thickBot="1" x14ac:dyDescent="0.3">
      <c r="B129" s="48">
        <v>124</v>
      </c>
      <c r="C129" s="62"/>
      <c r="D129" s="50"/>
      <c r="E129" s="49"/>
    </row>
    <row r="130" spans="2:5" ht="16.5" thickBot="1" x14ac:dyDescent="0.3">
      <c r="B130" s="48">
        <v>125</v>
      </c>
      <c r="C130" s="62"/>
      <c r="D130" s="50"/>
      <c r="E130" s="49"/>
    </row>
    <row r="131" spans="2:5" ht="16.5" thickBot="1" x14ac:dyDescent="0.3">
      <c r="B131" s="48">
        <v>126</v>
      </c>
      <c r="C131" s="62"/>
      <c r="D131" s="50"/>
      <c r="E131" s="49"/>
    </row>
    <row r="132" spans="2:5" ht="16.5" thickBot="1" x14ac:dyDescent="0.3">
      <c r="B132" s="48">
        <v>127</v>
      </c>
      <c r="C132" s="62"/>
      <c r="D132" s="50"/>
      <c r="E132" s="49"/>
    </row>
    <row r="133" spans="2:5" ht="16.5" thickBot="1" x14ac:dyDescent="0.3">
      <c r="B133" s="48">
        <v>128</v>
      </c>
      <c r="C133" s="62"/>
      <c r="D133" s="50"/>
      <c r="E133" s="49"/>
    </row>
    <row r="134" spans="2:5" ht="16.5" thickBot="1" x14ac:dyDescent="0.3">
      <c r="B134" s="48">
        <v>129</v>
      </c>
      <c r="C134" s="62"/>
      <c r="D134" s="50"/>
      <c r="E134" s="49"/>
    </row>
    <row r="135" spans="2:5" ht="16.5" thickBot="1" x14ac:dyDescent="0.3">
      <c r="B135" s="48">
        <v>130</v>
      </c>
      <c r="C135" s="62"/>
      <c r="D135" s="50"/>
      <c r="E135" s="49"/>
    </row>
    <row r="136" spans="2:5" ht="16.5" thickBot="1" x14ac:dyDescent="0.3">
      <c r="B136" s="48">
        <v>131</v>
      </c>
      <c r="C136" s="62"/>
      <c r="D136" s="50"/>
      <c r="E136" s="49"/>
    </row>
    <row r="137" spans="2:5" ht="16.5" thickBot="1" x14ac:dyDescent="0.3">
      <c r="B137" s="48">
        <v>132</v>
      </c>
      <c r="C137" s="62"/>
      <c r="D137" s="50"/>
      <c r="E137" s="49"/>
    </row>
    <row r="138" spans="2:5" ht="16.5" thickBot="1" x14ac:dyDescent="0.3">
      <c r="B138" s="48">
        <v>133</v>
      </c>
      <c r="C138" s="62"/>
      <c r="D138" s="50"/>
      <c r="E138" s="49"/>
    </row>
    <row r="139" spans="2:5" ht="16.5" thickBot="1" x14ac:dyDescent="0.3">
      <c r="B139" s="48">
        <v>134</v>
      </c>
      <c r="C139" s="62"/>
      <c r="D139" s="50"/>
      <c r="E139" s="49"/>
    </row>
    <row r="140" spans="2:5" ht="16.5" thickBot="1" x14ac:dyDescent="0.3">
      <c r="B140" s="48">
        <v>135</v>
      </c>
      <c r="C140" s="62"/>
      <c r="D140" s="50"/>
      <c r="E140" s="49"/>
    </row>
    <row r="141" spans="2:5" ht="16.5" thickBot="1" x14ac:dyDescent="0.3">
      <c r="B141" s="48">
        <v>136</v>
      </c>
      <c r="C141" s="62"/>
      <c r="D141" s="50"/>
    </row>
    <row r="142" spans="2:5" ht="16.5" thickBot="1" x14ac:dyDescent="0.3">
      <c r="B142" s="48">
        <v>137</v>
      </c>
      <c r="C142" s="62"/>
      <c r="D142" s="50"/>
    </row>
    <row r="143" spans="2:5" ht="16.5" thickBot="1" x14ac:dyDescent="0.3">
      <c r="B143" s="48">
        <v>138</v>
      </c>
      <c r="C143" s="62"/>
      <c r="D143" s="50"/>
    </row>
  </sheetData>
  <mergeCells count="3">
    <mergeCell ref="H17:H19"/>
    <mergeCell ref="B1:D2"/>
    <mergeCell ref="E1:E2"/>
  </mergeCells>
  <phoneticPr fontId="3" type="noConversion"/>
  <conditionalFormatting sqref="A12:A49">
    <cfRule type="iconSet" priority="7">
      <iconSet>
        <cfvo type="percent" val="0"/>
        <cfvo type="percent" val="33"/>
        <cfvo type="percent" val="67"/>
      </iconSet>
    </cfRule>
  </conditionalFormatting>
  <conditionalFormatting sqref="M24">
    <cfRule type="containsText" dxfId="23" priority="2" operator="containsText" text="1">
      <formula>NOT(ISERROR(SEARCH("1",M24)))</formula>
    </cfRule>
    <cfRule type="containsText" dxfId="22" priority="3" operator="containsText" text="0">
      <formula>NOT(ISERROR(SEARCH("0",M24)))</formula>
    </cfRule>
  </conditionalFormatting>
  <dataValidations disablePrompts="1" count="1">
    <dataValidation type="custom" errorStyle="warning" allowBlank="1" showInputMessage="1" showErrorMessage="1" errorTitle="Remark !!!" error="Please see the Remark" sqref="L8" xr:uid="{6D313BEE-54AF-4491-8180-954D0C0EE12B}">
      <formula1>#REF!</formula1>
    </dataValidation>
  </dataValidations>
  <pageMargins left="0.7" right="0.7" top="0.75" bottom="0.75" header="0.3" footer="0.3"/>
  <pageSetup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b_AutoSelectAllReferences">
          <controlPr defaultSize="0" autoLine="0" autoPict="0" r:id="rId5">
            <anchor moveWithCells="1">
              <from>
                <xdr:col>5</xdr:col>
                <xdr:colOff>371475</xdr:colOff>
                <xdr:row>6</xdr:row>
                <xdr:rowOff>19050</xdr:rowOff>
              </from>
              <to>
                <xdr:col>7</xdr:col>
                <xdr:colOff>790575</xdr:colOff>
                <xdr:row>7</xdr:row>
                <xdr:rowOff>171450</xdr:rowOff>
              </to>
            </anchor>
          </controlPr>
        </control>
      </mc:Choice>
      <mc:Fallback>
        <control shapeId="8195" r:id="rId4" name="cb_AutoSelectAllReferences"/>
      </mc:Fallback>
    </mc:AlternateContent>
    <mc:AlternateContent xmlns:mc="http://schemas.openxmlformats.org/markup-compatibility/2006">
      <mc:Choice Requires="x14">
        <control shapeId="8194" r:id="rId6" name="cb_AutoSingleStandard">
          <controlPr defaultSize="0" autoLine="0" r:id="rId7">
            <anchor moveWithCells="1">
              <from>
                <xdr:col>7</xdr:col>
                <xdr:colOff>895350</xdr:colOff>
                <xdr:row>6</xdr:row>
                <xdr:rowOff>85725</xdr:rowOff>
              </from>
              <to>
                <xdr:col>11</xdr:col>
                <xdr:colOff>666750</xdr:colOff>
                <xdr:row>7</xdr:row>
                <xdr:rowOff>123825</xdr:rowOff>
              </to>
            </anchor>
          </controlPr>
        </control>
      </mc:Choice>
      <mc:Fallback>
        <control shapeId="8194" r:id="rId6" name="cb_AutoSingleStandard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O">
            <anchor moveWithCells="1">
              <from>
                <xdr:col>5</xdr:col>
                <xdr:colOff>523875</xdr:colOff>
                <xdr:row>8</xdr:row>
                <xdr:rowOff>114300</xdr:rowOff>
              </from>
              <to>
                <xdr:col>10</xdr:col>
                <xdr:colOff>571500</xdr:colOff>
                <xdr:row>11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24E38-41EF-4C07-93F5-541F9E7796EA}">
  <sheetPr codeName="Sheet10"/>
  <dimension ref="C6:V31"/>
  <sheetViews>
    <sheetView topLeftCell="C1" zoomScaleNormal="100" workbookViewId="0">
      <selection activeCell="L26" sqref="L26"/>
    </sheetView>
  </sheetViews>
  <sheetFormatPr defaultColWidth="9.140625" defaultRowHeight="15" x14ac:dyDescent="0.25"/>
  <cols>
    <col min="1" max="16384" width="9.140625" style="58"/>
  </cols>
  <sheetData>
    <row r="6" spans="3:22" ht="15.75" thickBot="1" x14ac:dyDescent="0.3"/>
    <row r="7" spans="3:22" x14ac:dyDescent="0.25">
      <c r="C7" s="177" t="s">
        <v>75</v>
      </c>
      <c r="D7" s="178"/>
      <c r="E7" s="178"/>
      <c r="F7" s="178"/>
      <c r="G7" s="178"/>
      <c r="H7" s="178"/>
      <c r="I7" s="178"/>
      <c r="J7" s="178"/>
      <c r="K7" s="179"/>
      <c r="N7" s="177" t="s">
        <v>76</v>
      </c>
      <c r="O7" s="178"/>
      <c r="P7" s="178"/>
      <c r="Q7" s="178"/>
      <c r="R7" s="178"/>
      <c r="S7" s="178"/>
      <c r="T7" s="178"/>
      <c r="U7" s="178"/>
      <c r="V7" s="179"/>
    </row>
    <row r="8" spans="3:22" x14ac:dyDescent="0.25">
      <c r="C8" s="180"/>
      <c r="D8" s="181"/>
      <c r="E8" s="181"/>
      <c r="F8" s="181"/>
      <c r="G8" s="181"/>
      <c r="H8" s="181"/>
      <c r="I8" s="181"/>
      <c r="J8" s="181"/>
      <c r="K8" s="182"/>
      <c r="L8" s="59"/>
      <c r="M8" s="59"/>
      <c r="N8" s="180"/>
      <c r="O8" s="181"/>
      <c r="P8" s="181"/>
      <c r="Q8" s="181"/>
      <c r="R8" s="181"/>
      <c r="S8" s="181"/>
      <c r="T8" s="181"/>
      <c r="U8" s="181"/>
      <c r="V8" s="182"/>
    </row>
    <row r="9" spans="3:22" ht="15.75" thickBot="1" x14ac:dyDescent="0.3">
      <c r="C9" s="183"/>
      <c r="D9" s="184"/>
      <c r="E9" s="184"/>
      <c r="F9" s="184"/>
      <c r="G9" s="184"/>
      <c r="H9" s="184"/>
      <c r="I9" s="184"/>
      <c r="J9" s="184"/>
      <c r="K9" s="185"/>
      <c r="N9" s="183"/>
      <c r="O9" s="184"/>
      <c r="P9" s="184"/>
      <c r="Q9" s="184"/>
      <c r="R9" s="184"/>
      <c r="S9" s="184"/>
      <c r="T9" s="184"/>
      <c r="U9" s="184"/>
      <c r="V9" s="185"/>
    </row>
    <row r="12" spans="3:22" ht="15.75" thickBot="1" x14ac:dyDescent="0.3"/>
    <row r="13" spans="3:22" x14ac:dyDescent="0.25">
      <c r="F13" s="186">
        <v>0.6</v>
      </c>
      <c r="G13" s="187"/>
      <c r="H13" s="188"/>
      <c r="Q13" s="186">
        <v>1.1299999999999999</v>
      </c>
      <c r="R13" s="187"/>
      <c r="S13" s="188"/>
    </row>
    <row r="14" spans="3:22" x14ac:dyDescent="0.25">
      <c r="F14" s="189"/>
      <c r="G14" s="190"/>
      <c r="H14" s="191"/>
      <c r="Q14" s="189"/>
      <c r="R14" s="190"/>
      <c r="S14" s="191"/>
    </row>
    <row r="15" spans="3:22" x14ac:dyDescent="0.25">
      <c r="F15" s="189"/>
      <c r="G15" s="190"/>
      <c r="H15" s="191"/>
      <c r="Q15" s="189"/>
      <c r="R15" s="190"/>
      <c r="S15" s="191"/>
    </row>
    <row r="16" spans="3:22" x14ac:dyDescent="0.25">
      <c r="F16" s="189"/>
      <c r="G16" s="190"/>
      <c r="H16" s="191"/>
      <c r="J16" s="60"/>
      <c r="Q16" s="189"/>
      <c r="R16" s="190"/>
      <c r="S16" s="191"/>
    </row>
    <row r="17" spans="6:19" x14ac:dyDescent="0.25">
      <c r="F17" s="189"/>
      <c r="G17" s="190"/>
      <c r="H17" s="191"/>
      <c r="Q17" s="189"/>
      <c r="R17" s="190"/>
      <c r="S17" s="191"/>
    </row>
    <row r="18" spans="6:19" ht="15.75" thickBot="1" x14ac:dyDescent="0.3">
      <c r="F18" s="192"/>
      <c r="G18" s="193"/>
      <c r="H18" s="194"/>
      <c r="Q18" s="192"/>
      <c r="R18" s="193"/>
      <c r="S18" s="194"/>
    </row>
    <row r="26" spans="6:19" x14ac:dyDescent="0.25">
      <c r="M26" s="111"/>
      <c r="N26" s="111"/>
    </row>
    <row r="29" spans="6:19" x14ac:dyDescent="0.25">
      <c r="M29" s="111"/>
      <c r="N29" s="111"/>
    </row>
    <row r="31" spans="6:19" x14ac:dyDescent="0.25">
      <c r="M31" s="111"/>
      <c r="N31" s="111"/>
    </row>
  </sheetData>
  <mergeCells count="4">
    <mergeCell ref="C7:K9"/>
    <mergeCell ref="N7:V9"/>
    <mergeCell ref="F13:H18"/>
    <mergeCell ref="Q13:S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X58"/>
  <sheetViews>
    <sheetView topLeftCell="N1" zoomScale="85" zoomScaleNormal="85" workbookViewId="0">
      <selection activeCell="W25" sqref="W25"/>
    </sheetView>
  </sheetViews>
  <sheetFormatPr defaultColWidth="9.140625" defaultRowHeight="15" x14ac:dyDescent="0.25"/>
  <cols>
    <col min="1" max="1" width="5.42578125" style="11" bestFit="1" customWidth="1"/>
    <col min="2" max="2" width="45" style="11" bestFit="1" customWidth="1"/>
    <col min="3" max="3" width="1.5703125" style="11" customWidth="1"/>
    <col min="4" max="4" width="16.42578125" style="11" customWidth="1"/>
    <col min="5" max="5" width="1.5703125" style="11" customWidth="1"/>
    <col min="6" max="6" width="45" style="11" bestFit="1" customWidth="1"/>
    <col min="7" max="7" width="1.5703125" style="11" customWidth="1"/>
    <col min="8" max="8" width="5.5703125" style="11" bestFit="1" customWidth="1"/>
    <col min="9" max="9" width="23.5703125" style="11" customWidth="1"/>
    <col min="10" max="10" width="1.140625" style="11" customWidth="1"/>
    <col min="11" max="11" width="5.5703125" style="11" customWidth="1"/>
    <col min="12" max="12" width="11.140625" style="11" customWidth="1"/>
    <col min="13" max="13" width="1.5703125" style="11" customWidth="1"/>
    <col min="14" max="14" width="5.5703125" style="11" customWidth="1"/>
    <col min="15" max="15" width="12.140625" style="11" customWidth="1"/>
    <col min="16" max="16" width="1.85546875" style="11" customWidth="1"/>
    <col min="17" max="17" width="5.5703125" style="11" customWidth="1"/>
    <col min="18" max="18" width="23.5703125" style="11" bestFit="1" customWidth="1"/>
    <col min="19" max="19" width="21.5703125" style="11" customWidth="1"/>
    <col min="20" max="20" width="17.42578125" style="11" bestFit="1" customWidth="1"/>
    <col min="21" max="21" width="1.5703125" style="11" customWidth="1"/>
    <col min="22" max="22" width="5.5703125" style="11" customWidth="1"/>
    <col min="23" max="23" width="11.140625" style="11" customWidth="1"/>
    <col min="24" max="24" width="1.85546875" style="11" customWidth="1"/>
    <col min="25" max="25" width="5.5703125" style="11" customWidth="1"/>
    <col min="26" max="26" width="52.140625" style="11" bestFit="1" customWidth="1"/>
    <col min="27" max="27" width="1.140625" style="11" customWidth="1"/>
    <col min="28" max="28" width="5.5703125" style="11" customWidth="1"/>
    <col min="29" max="29" width="16.140625" style="11" customWidth="1"/>
    <col min="30" max="30" width="1.5703125" style="11" customWidth="1"/>
    <col min="31" max="31" width="5.5703125" style="11" bestFit="1" customWidth="1"/>
    <col min="32" max="32" width="15.140625" style="11" bestFit="1" customWidth="1"/>
    <col min="33" max="33" width="12.140625" style="11" bestFit="1" customWidth="1"/>
    <col min="34" max="34" width="11.5703125" style="11" bestFit="1" customWidth="1"/>
    <col min="35" max="35" width="7.42578125" style="11" bestFit="1" customWidth="1"/>
    <col min="36" max="36" width="11.85546875" style="11" bestFit="1" customWidth="1"/>
    <col min="37" max="37" width="11.5703125" style="11" bestFit="1" customWidth="1"/>
    <col min="38" max="38" width="1.5703125" style="11" customWidth="1"/>
    <col min="39" max="39" width="5.5703125" style="11" bestFit="1" customWidth="1"/>
    <col min="40" max="40" width="11.140625" style="11" bestFit="1" customWidth="1"/>
    <col min="41" max="41" width="1.42578125" style="11" customWidth="1"/>
    <col min="42" max="42" width="5.5703125" style="11" bestFit="1" customWidth="1"/>
    <col min="43" max="43" width="12" style="11" bestFit="1" customWidth="1"/>
    <col min="44" max="44" width="1.42578125" style="11" customWidth="1"/>
    <col min="45" max="45" width="5.5703125" style="11" bestFit="1" customWidth="1"/>
    <col min="46" max="46" width="17.140625" style="11" bestFit="1" customWidth="1"/>
    <col min="47" max="47" width="1.42578125" style="11" customWidth="1"/>
    <col min="48" max="48" width="5.5703125" style="11" bestFit="1" customWidth="1"/>
    <col min="49" max="49" width="32" style="11" bestFit="1" customWidth="1"/>
    <col min="50" max="50" width="1.42578125" style="11" customWidth="1"/>
    <col min="51" max="16384" width="9.140625" style="11"/>
  </cols>
  <sheetData>
    <row r="1" spans="1:50" x14ac:dyDescent="0.25">
      <c r="A1" s="195" t="s">
        <v>77</v>
      </c>
      <c r="B1" s="195"/>
      <c r="C1" s="195"/>
      <c r="D1" s="195"/>
      <c r="E1" s="195"/>
      <c r="F1" s="195"/>
      <c r="G1" s="195"/>
      <c r="H1" s="198" t="s">
        <v>1</v>
      </c>
      <c r="I1" s="198"/>
      <c r="J1" s="9"/>
      <c r="K1" s="199" t="s">
        <v>78</v>
      </c>
      <c r="L1" s="199"/>
      <c r="M1" s="9"/>
      <c r="N1" s="200" t="s">
        <v>3</v>
      </c>
      <c r="O1" s="200"/>
      <c r="P1" s="9"/>
      <c r="Q1" s="201" t="s">
        <v>4</v>
      </c>
      <c r="R1" s="201"/>
      <c r="S1" s="201"/>
      <c r="T1" s="201"/>
      <c r="U1" s="9"/>
      <c r="V1" s="202" t="s">
        <v>5</v>
      </c>
      <c r="W1" s="202"/>
      <c r="X1" s="9"/>
      <c r="Y1" s="203" t="s">
        <v>6</v>
      </c>
      <c r="Z1" s="203"/>
      <c r="AA1" s="9"/>
      <c r="AB1" s="204" t="s">
        <v>79</v>
      </c>
      <c r="AC1" s="204"/>
      <c r="AD1" s="9"/>
      <c r="AE1" s="205" t="s">
        <v>8</v>
      </c>
      <c r="AF1" s="205"/>
      <c r="AG1" s="205"/>
      <c r="AH1" s="205"/>
      <c r="AI1" s="205"/>
      <c r="AJ1" s="205"/>
      <c r="AK1" s="205"/>
      <c r="AL1" s="9"/>
      <c r="AM1" s="206" t="s">
        <v>9</v>
      </c>
      <c r="AN1" s="206"/>
      <c r="AO1" s="9"/>
      <c r="AP1" s="196" t="s">
        <v>80</v>
      </c>
      <c r="AQ1" s="196"/>
      <c r="AR1" s="10"/>
      <c r="AS1" s="197" t="s">
        <v>11</v>
      </c>
      <c r="AT1" s="197"/>
      <c r="AU1" s="9"/>
      <c r="AV1" s="196" t="s">
        <v>12</v>
      </c>
      <c r="AW1" s="196"/>
      <c r="AX1" s="9"/>
    </row>
    <row r="2" spans="1:50" x14ac:dyDescent="0.25">
      <c r="A2" s="11" t="s">
        <v>81</v>
      </c>
      <c r="B2" s="11" t="s">
        <v>82</v>
      </c>
      <c r="C2" s="64"/>
      <c r="D2" s="11" t="s">
        <v>83</v>
      </c>
      <c r="E2" s="64"/>
      <c r="F2" s="11" t="s">
        <v>84</v>
      </c>
      <c r="G2" s="9"/>
      <c r="H2" s="11" t="s">
        <v>85</v>
      </c>
      <c r="I2" s="11" t="s">
        <v>82</v>
      </c>
      <c r="J2" s="9"/>
      <c r="K2" s="11" t="s">
        <v>85</v>
      </c>
      <c r="L2" s="1" t="s">
        <v>82</v>
      </c>
      <c r="M2" s="9"/>
      <c r="N2" s="11" t="s">
        <v>85</v>
      </c>
      <c r="O2" s="11" t="s">
        <v>82</v>
      </c>
      <c r="P2" s="9"/>
      <c r="Q2" s="11" t="s">
        <v>85</v>
      </c>
      <c r="R2" s="11" t="s">
        <v>86</v>
      </c>
      <c r="S2" s="11" t="s">
        <v>87</v>
      </c>
      <c r="T2" s="11" t="s">
        <v>88</v>
      </c>
      <c r="U2" s="9"/>
      <c r="V2" s="11" t="s">
        <v>85</v>
      </c>
      <c r="W2" s="11" t="s">
        <v>82</v>
      </c>
      <c r="X2" s="9"/>
      <c r="Y2" s="11" t="s">
        <v>85</v>
      </c>
      <c r="Z2" s="11" t="s">
        <v>82</v>
      </c>
      <c r="AA2" s="9"/>
      <c r="AB2" s="11" t="s">
        <v>85</v>
      </c>
      <c r="AC2" s="11" t="s">
        <v>82</v>
      </c>
      <c r="AD2" s="9"/>
      <c r="AE2" s="12" t="s">
        <v>85</v>
      </c>
      <c r="AF2" s="12" t="s">
        <v>89</v>
      </c>
      <c r="AG2" s="12" t="s">
        <v>90</v>
      </c>
      <c r="AH2" s="11" t="s">
        <v>91</v>
      </c>
      <c r="AI2" s="11" t="s">
        <v>7</v>
      </c>
      <c r="AJ2" s="11" t="s">
        <v>92</v>
      </c>
      <c r="AK2" s="11" t="s">
        <v>93</v>
      </c>
      <c r="AL2" s="9"/>
      <c r="AM2" s="11" t="s">
        <v>85</v>
      </c>
      <c r="AN2" s="11" t="s">
        <v>82</v>
      </c>
      <c r="AO2" s="9"/>
      <c r="AP2" s="11" t="s">
        <v>85</v>
      </c>
      <c r="AQ2" s="11" t="s">
        <v>82</v>
      </c>
      <c r="AR2" s="10"/>
      <c r="AS2" s="11" t="s">
        <v>85</v>
      </c>
      <c r="AT2" s="11" t="s">
        <v>82</v>
      </c>
      <c r="AU2" s="9"/>
      <c r="AV2" s="11" t="s">
        <v>85</v>
      </c>
      <c r="AW2" s="11" t="s">
        <v>82</v>
      </c>
      <c r="AX2" s="9"/>
    </row>
    <row r="3" spans="1:50" x14ac:dyDescent="0.25">
      <c r="A3" s="17" t="s">
        <v>94</v>
      </c>
      <c r="B3" s="11" t="s">
        <v>95</v>
      </c>
      <c r="C3" s="64"/>
      <c r="D3" s="11" t="s">
        <v>96</v>
      </c>
      <c r="E3" s="64"/>
      <c r="F3" s="11" t="s">
        <v>97</v>
      </c>
      <c r="G3" s="9"/>
      <c r="H3" s="11" t="s">
        <v>98</v>
      </c>
      <c r="I3" s="11" t="s">
        <v>99</v>
      </c>
      <c r="J3" s="9"/>
      <c r="K3" s="11" t="s">
        <v>100</v>
      </c>
      <c r="L3" s="1" t="s">
        <v>101</v>
      </c>
      <c r="M3" s="9"/>
      <c r="N3" s="11" t="s">
        <v>22</v>
      </c>
      <c r="O3" s="11" t="s">
        <v>102</v>
      </c>
      <c r="P3" s="9"/>
      <c r="Q3" s="11" t="s">
        <v>103</v>
      </c>
      <c r="R3" s="11" t="s">
        <v>104</v>
      </c>
      <c r="S3" s="11" t="s">
        <v>105</v>
      </c>
      <c r="T3" s="11" t="s">
        <v>105</v>
      </c>
      <c r="U3" s="9"/>
      <c r="V3" s="11">
        <v>1</v>
      </c>
      <c r="W3" s="11" t="s">
        <v>106</v>
      </c>
      <c r="X3" s="9"/>
      <c r="Y3" s="11" t="s">
        <v>107</v>
      </c>
      <c r="Z3" s="11" t="s">
        <v>108</v>
      </c>
      <c r="AA3" s="9"/>
      <c r="AB3" s="11" t="s">
        <v>22</v>
      </c>
      <c r="AC3" s="11" t="s">
        <v>109</v>
      </c>
      <c r="AD3" s="9"/>
      <c r="AE3" s="11" t="s">
        <v>110</v>
      </c>
      <c r="AF3" s="11" t="s">
        <v>111</v>
      </c>
      <c r="AI3" s="11" t="s">
        <v>112</v>
      </c>
      <c r="AJ3" s="11" t="s">
        <v>112</v>
      </c>
      <c r="AL3" s="9"/>
      <c r="AM3" s="11" t="s">
        <v>113</v>
      </c>
      <c r="AN3" s="11">
        <v>80</v>
      </c>
      <c r="AO3" s="9"/>
      <c r="AP3" s="11" t="s">
        <v>114</v>
      </c>
      <c r="AQ3" s="11" t="s">
        <v>115</v>
      </c>
      <c r="AR3" s="10"/>
      <c r="AS3" s="11" t="s">
        <v>116</v>
      </c>
      <c r="AT3" s="11" t="s">
        <v>117</v>
      </c>
      <c r="AU3" s="9"/>
      <c r="AV3" s="11" t="s">
        <v>118</v>
      </c>
      <c r="AW3" s="11" t="s">
        <v>119</v>
      </c>
      <c r="AX3" s="9"/>
    </row>
    <row r="4" spans="1:50" x14ac:dyDescent="0.25">
      <c r="A4" s="11" t="s">
        <v>34</v>
      </c>
      <c r="B4" s="31" t="s">
        <v>120</v>
      </c>
      <c r="C4" s="64"/>
      <c r="D4" s="31" t="s">
        <v>96</v>
      </c>
      <c r="E4" s="64"/>
      <c r="F4" s="31" t="s">
        <v>121</v>
      </c>
      <c r="G4" s="9"/>
      <c r="H4" s="11" t="s">
        <v>122</v>
      </c>
      <c r="I4" s="11" t="s">
        <v>123</v>
      </c>
      <c r="J4" s="9"/>
      <c r="K4" s="11">
        <v>12</v>
      </c>
      <c r="L4" s="1" t="s">
        <v>124</v>
      </c>
      <c r="M4" s="9"/>
      <c r="N4" s="11" t="s">
        <v>118</v>
      </c>
      <c r="O4" s="11" t="s">
        <v>125</v>
      </c>
      <c r="P4" s="9"/>
      <c r="Q4" s="11" t="s">
        <v>126</v>
      </c>
      <c r="R4" s="11" t="s">
        <v>127</v>
      </c>
      <c r="S4" s="11" t="s">
        <v>128</v>
      </c>
      <c r="T4" s="11" t="s">
        <v>128</v>
      </c>
      <c r="U4" s="9"/>
      <c r="V4" s="11" t="s">
        <v>129</v>
      </c>
      <c r="W4" s="11" t="s">
        <v>130</v>
      </c>
      <c r="X4" s="9"/>
      <c r="Y4" s="11" t="s">
        <v>118</v>
      </c>
      <c r="Z4" s="11" t="s">
        <v>131</v>
      </c>
      <c r="AA4" s="9"/>
      <c r="AB4" s="11" t="s">
        <v>118</v>
      </c>
      <c r="AC4" s="11" t="s">
        <v>132</v>
      </c>
      <c r="AD4" s="9"/>
      <c r="AE4" s="11" t="s">
        <v>133</v>
      </c>
      <c r="AI4" s="11" t="s">
        <v>134</v>
      </c>
      <c r="AJ4" s="11" t="s">
        <v>134</v>
      </c>
      <c r="AL4" s="9"/>
      <c r="AM4" s="11" t="s">
        <v>135</v>
      </c>
      <c r="AN4" s="11">
        <v>90</v>
      </c>
      <c r="AO4" s="9"/>
      <c r="AP4" s="11" t="s">
        <v>136</v>
      </c>
      <c r="AQ4" s="11" t="s">
        <v>137</v>
      </c>
      <c r="AR4" s="10"/>
      <c r="AS4" s="11" t="s">
        <v>135</v>
      </c>
      <c r="AT4" s="11" t="s">
        <v>138</v>
      </c>
      <c r="AU4" s="9"/>
      <c r="AV4" s="11" t="s">
        <v>126</v>
      </c>
      <c r="AW4" s="11" t="s">
        <v>139</v>
      </c>
      <c r="AX4" s="9"/>
    </row>
    <row r="5" spans="1:50" x14ac:dyDescent="0.25">
      <c r="A5" s="17" t="s">
        <v>40</v>
      </c>
      <c r="B5" s="11" t="s">
        <v>140</v>
      </c>
      <c r="C5" s="64"/>
      <c r="D5" s="11" t="s">
        <v>96</v>
      </c>
      <c r="E5" s="64"/>
      <c r="F5" s="11" t="s">
        <v>93</v>
      </c>
      <c r="G5" s="9"/>
      <c r="H5" s="11" t="s">
        <v>110</v>
      </c>
      <c r="I5" s="11" t="s">
        <v>141</v>
      </c>
      <c r="J5" s="9"/>
      <c r="K5" s="11">
        <v>18</v>
      </c>
      <c r="L5" s="1" t="s">
        <v>142</v>
      </c>
      <c r="M5" s="9"/>
      <c r="N5" s="11" t="s">
        <v>28</v>
      </c>
      <c r="O5" s="11" t="s">
        <v>143</v>
      </c>
      <c r="P5" s="9"/>
      <c r="Q5" s="11" t="s">
        <v>144</v>
      </c>
      <c r="R5" s="11" t="s">
        <v>145</v>
      </c>
      <c r="S5" s="11" t="s">
        <v>146</v>
      </c>
      <c r="T5" s="11" t="s">
        <v>146</v>
      </c>
      <c r="U5" s="9"/>
      <c r="V5" s="11" t="s">
        <v>147</v>
      </c>
      <c r="W5" s="11" t="s">
        <v>148</v>
      </c>
      <c r="X5" s="9"/>
      <c r="Y5" s="11" t="s">
        <v>149</v>
      </c>
      <c r="Z5" s="11" t="s">
        <v>150</v>
      </c>
      <c r="AA5" s="9"/>
      <c r="AB5" s="11" t="s">
        <v>133</v>
      </c>
      <c r="AC5" s="11" t="s">
        <v>151</v>
      </c>
      <c r="AD5" s="9"/>
      <c r="AE5" s="11" t="s">
        <v>126</v>
      </c>
      <c r="AI5" s="11" t="s">
        <v>152</v>
      </c>
      <c r="AJ5" s="11" t="s">
        <v>153</v>
      </c>
      <c r="AL5" s="9"/>
      <c r="AO5" s="9"/>
      <c r="AP5" s="11" t="s">
        <v>154</v>
      </c>
      <c r="AQ5" s="11" t="s">
        <v>155</v>
      </c>
      <c r="AR5" s="10"/>
      <c r="AS5" s="11" t="s">
        <v>156</v>
      </c>
      <c r="AT5" s="11" t="s">
        <v>117</v>
      </c>
      <c r="AU5" s="9"/>
      <c r="AV5" s="11" t="s">
        <v>157</v>
      </c>
      <c r="AW5" s="11" t="s">
        <v>158</v>
      </c>
      <c r="AX5" s="9"/>
    </row>
    <row r="6" spans="1:50" x14ac:dyDescent="0.25">
      <c r="A6" s="11" t="s">
        <v>30</v>
      </c>
      <c r="B6" s="30" t="s">
        <v>159</v>
      </c>
      <c r="C6" s="64"/>
      <c r="D6" s="30" t="s">
        <v>96</v>
      </c>
      <c r="E6" s="64"/>
      <c r="F6" s="30" t="s">
        <v>160</v>
      </c>
      <c r="G6" s="9"/>
      <c r="H6" s="11" t="s">
        <v>161</v>
      </c>
      <c r="I6" s="11" t="s">
        <v>162</v>
      </c>
      <c r="J6" s="9"/>
      <c r="K6" s="11">
        <v>24</v>
      </c>
      <c r="L6" s="1" t="s">
        <v>163</v>
      </c>
      <c r="M6" s="9"/>
      <c r="N6" s="11" t="s">
        <v>156</v>
      </c>
      <c r="O6" s="11" t="s">
        <v>164</v>
      </c>
      <c r="P6" s="9"/>
      <c r="Q6" s="11" t="s">
        <v>165</v>
      </c>
      <c r="R6" s="11" t="s">
        <v>166</v>
      </c>
      <c r="S6" s="11" t="s">
        <v>167</v>
      </c>
      <c r="T6" s="11" t="s">
        <v>167</v>
      </c>
      <c r="U6" s="9"/>
      <c r="X6" s="9"/>
      <c r="Y6" s="11" t="s">
        <v>168</v>
      </c>
      <c r="Z6" s="11" t="s">
        <v>169</v>
      </c>
      <c r="AA6" s="9"/>
      <c r="AB6" s="11" t="s">
        <v>149</v>
      </c>
      <c r="AC6" s="11" t="s">
        <v>170</v>
      </c>
      <c r="AD6" s="9"/>
      <c r="AE6" s="11" t="s">
        <v>171</v>
      </c>
      <c r="AI6" s="11" t="s">
        <v>172</v>
      </c>
      <c r="AJ6" s="11" t="s">
        <v>172</v>
      </c>
      <c r="AL6" s="9"/>
      <c r="AO6" s="9"/>
      <c r="AP6" s="11" t="s">
        <v>173</v>
      </c>
      <c r="AQ6" s="11" t="s">
        <v>174</v>
      </c>
      <c r="AR6" s="10"/>
      <c r="AU6" s="9"/>
      <c r="AV6" s="11" t="s">
        <v>110</v>
      </c>
      <c r="AW6" s="11" t="s">
        <v>175</v>
      </c>
      <c r="AX6" s="9"/>
    </row>
    <row r="7" spans="1:50" x14ac:dyDescent="0.25">
      <c r="A7" s="11" t="s">
        <v>14</v>
      </c>
      <c r="B7" s="30" t="s">
        <v>176</v>
      </c>
      <c r="C7" s="64"/>
      <c r="D7" s="30" t="s">
        <v>96</v>
      </c>
      <c r="E7" s="64"/>
      <c r="F7" s="30" t="s">
        <v>177</v>
      </c>
      <c r="G7" s="9"/>
      <c r="H7" s="11" t="s">
        <v>126</v>
      </c>
      <c r="I7" s="11" t="s">
        <v>178</v>
      </c>
      <c r="J7" s="9"/>
      <c r="K7" s="11">
        <v>30</v>
      </c>
      <c r="L7" s="1" t="s">
        <v>179</v>
      </c>
      <c r="M7" s="9"/>
      <c r="P7" s="9"/>
      <c r="Q7" s="11" t="s">
        <v>168</v>
      </c>
      <c r="R7" s="11" t="s">
        <v>180</v>
      </c>
      <c r="S7" s="11" t="s">
        <v>181</v>
      </c>
      <c r="U7" s="9"/>
      <c r="X7" s="9"/>
      <c r="Y7" s="11" t="s">
        <v>157</v>
      </c>
      <c r="Z7" s="11" t="s">
        <v>182</v>
      </c>
      <c r="AA7" s="9"/>
      <c r="AB7" s="11" t="s">
        <v>28</v>
      </c>
      <c r="AC7" s="11" t="s">
        <v>183</v>
      </c>
      <c r="AD7" s="9"/>
      <c r="AE7" s="11" t="s">
        <v>157</v>
      </c>
      <c r="AI7" s="11" t="s">
        <v>184</v>
      </c>
      <c r="AJ7" s="11" t="s">
        <v>185</v>
      </c>
      <c r="AK7" s="11" t="s">
        <v>186</v>
      </c>
      <c r="AL7" s="9"/>
      <c r="AO7" s="9"/>
      <c r="AP7" s="11" t="s">
        <v>187</v>
      </c>
      <c r="AQ7" s="11" t="s">
        <v>188</v>
      </c>
      <c r="AR7" s="10"/>
      <c r="AU7" s="9"/>
      <c r="AX7" s="9"/>
    </row>
    <row r="8" spans="1:50" x14ac:dyDescent="0.25">
      <c r="A8" s="17" t="s">
        <v>189</v>
      </c>
      <c r="B8" s="11" t="s">
        <v>190</v>
      </c>
      <c r="C8" s="64"/>
      <c r="D8" s="11" t="s">
        <v>191</v>
      </c>
      <c r="E8" s="64"/>
      <c r="F8" s="11" t="s">
        <v>97</v>
      </c>
      <c r="G8" s="9"/>
      <c r="H8" s="11" t="s">
        <v>22</v>
      </c>
      <c r="I8" s="11" t="s">
        <v>192</v>
      </c>
      <c r="J8" s="9"/>
      <c r="K8" s="11">
        <v>36</v>
      </c>
      <c r="L8" s="1" t="s">
        <v>193</v>
      </c>
      <c r="M8" s="9"/>
      <c r="P8" s="9"/>
      <c r="Q8" s="11" t="s">
        <v>22</v>
      </c>
      <c r="R8" s="11" t="s">
        <v>194</v>
      </c>
      <c r="S8" s="11" t="s">
        <v>195</v>
      </c>
      <c r="U8" s="9"/>
      <c r="X8" s="9"/>
      <c r="Y8" s="11" t="s">
        <v>171</v>
      </c>
      <c r="Z8" s="11" t="s">
        <v>196</v>
      </c>
      <c r="AA8" s="9"/>
      <c r="AB8" s="11" t="s">
        <v>157</v>
      </c>
      <c r="AC8" s="11" t="s">
        <v>197</v>
      </c>
      <c r="AD8" s="9"/>
      <c r="AE8" s="11" t="s">
        <v>28</v>
      </c>
      <c r="AH8" s="11" t="s">
        <v>198</v>
      </c>
      <c r="AI8" s="11" t="s">
        <v>199</v>
      </c>
      <c r="AL8" s="9"/>
      <c r="AO8" s="9"/>
      <c r="AP8" s="11" t="s">
        <v>200</v>
      </c>
      <c r="AQ8" s="11" t="s">
        <v>201</v>
      </c>
      <c r="AR8" s="10"/>
      <c r="AU8" s="9"/>
      <c r="AX8" s="9"/>
    </row>
    <row r="9" spans="1:50" x14ac:dyDescent="0.25">
      <c r="A9" s="11" t="s">
        <v>53</v>
      </c>
      <c r="B9" s="31" t="s">
        <v>202</v>
      </c>
      <c r="C9" s="64"/>
      <c r="D9" s="31" t="s">
        <v>191</v>
      </c>
      <c r="E9" s="64"/>
      <c r="F9" s="31" t="s">
        <v>121</v>
      </c>
      <c r="G9" s="9"/>
      <c r="H9" s="11" t="s">
        <v>203</v>
      </c>
      <c r="I9" s="11" t="s">
        <v>204</v>
      </c>
      <c r="J9" s="9"/>
      <c r="K9" s="11">
        <v>42</v>
      </c>
      <c r="L9" s="1" t="s">
        <v>205</v>
      </c>
      <c r="M9" s="9"/>
      <c r="P9" s="9"/>
      <c r="Q9" s="11" t="s">
        <v>129</v>
      </c>
      <c r="R9" s="11" t="s">
        <v>127</v>
      </c>
      <c r="S9" s="11" t="s">
        <v>128</v>
      </c>
      <c r="U9" s="9"/>
      <c r="X9" s="9"/>
      <c r="Y9" s="11" t="s">
        <v>28</v>
      </c>
      <c r="Z9" s="11" t="s">
        <v>206</v>
      </c>
      <c r="AA9" s="9"/>
      <c r="AB9" s="11" t="s">
        <v>156</v>
      </c>
      <c r="AC9" s="11" t="s">
        <v>164</v>
      </c>
      <c r="AD9" s="9"/>
      <c r="AE9" s="11" t="s">
        <v>103</v>
      </c>
      <c r="AF9" s="11" t="s">
        <v>207</v>
      </c>
      <c r="AK9" s="11" t="s">
        <v>93</v>
      </c>
      <c r="AL9" s="9"/>
      <c r="AO9" s="9"/>
      <c r="AP9" s="11" t="s">
        <v>208</v>
      </c>
      <c r="AQ9" s="11" t="s">
        <v>209</v>
      </c>
      <c r="AR9" s="10"/>
      <c r="AU9" s="9"/>
      <c r="AX9" s="9"/>
    </row>
    <row r="10" spans="1:50" x14ac:dyDescent="0.25">
      <c r="A10" s="17" t="s">
        <v>55</v>
      </c>
      <c r="B10" s="11" t="s">
        <v>210</v>
      </c>
      <c r="C10" s="64"/>
      <c r="D10" s="11" t="s">
        <v>191</v>
      </c>
      <c r="E10" s="64"/>
      <c r="F10" s="11" t="s">
        <v>93</v>
      </c>
      <c r="G10" s="9"/>
      <c r="H10" s="11" t="s">
        <v>157</v>
      </c>
      <c r="I10" s="11" t="s">
        <v>211</v>
      </c>
      <c r="J10" s="9"/>
      <c r="K10" s="11">
        <v>48</v>
      </c>
      <c r="L10" s="1" t="s">
        <v>212</v>
      </c>
      <c r="M10" s="9"/>
      <c r="P10" s="9"/>
      <c r="Q10" s="11" t="s">
        <v>107</v>
      </c>
      <c r="R10" s="11" t="s">
        <v>166</v>
      </c>
      <c r="S10" s="11" t="s">
        <v>167</v>
      </c>
      <c r="U10" s="9"/>
      <c r="X10" s="9"/>
      <c r="Y10" s="11" t="s">
        <v>144</v>
      </c>
      <c r="Z10" s="11" t="s">
        <v>213</v>
      </c>
      <c r="AA10" s="9"/>
      <c r="AB10" s="11" t="s">
        <v>41</v>
      </c>
      <c r="AC10" s="11" t="s">
        <v>93</v>
      </c>
      <c r="AD10" s="9"/>
      <c r="AE10" s="11" t="s">
        <v>107</v>
      </c>
      <c r="AJ10" s="11" t="s">
        <v>214</v>
      </c>
      <c r="AK10" s="11" t="s">
        <v>214</v>
      </c>
      <c r="AL10" s="9"/>
      <c r="AO10" s="9"/>
      <c r="AR10" s="10"/>
      <c r="AU10" s="9"/>
      <c r="AX10" s="9"/>
    </row>
    <row r="11" spans="1:50" x14ac:dyDescent="0.25">
      <c r="A11" s="11" t="s">
        <v>49</v>
      </c>
      <c r="B11" s="30" t="s">
        <v>215</v>
      </c>
      <c r="C11" s="64"/>
      <c r="D11" s="30" t="s">
        <v>191</v>
      </c>
      <c r="E11" s="64"/>
      <c r="F11" s="30" t="s">
        <v>160</v>
      </c>
      <c r="G11" s="9"/>
      <c r="H11" s="11" t="s">
        <v>171</v>
      </c>
      <c r="I11" s="11" t="s">
        <v>216</v>
      </c>
      <c r="J11" s="9"/>
      <c r="K11" s="11">
        <v>54</v>
      </c>
      <c r="L11" s="1" t="s">
        <v>217</v>
      </c>
      <c r="M11" s="9"/>
      <c r="P11" s="9"/>
      <c r="Q11" s="11" t="s">
        <v>149</v>
      </c>
      <c r="S11" s="11" t="s">
        <v>167</v>
      </c>
      <c r="U11" s="9"/>
      <c r="X11" s="9"/>
      <c r="Y11" s="11" t="s">
        <v>203</v>
      </c>
      <c r="Z11" s="11" t="s">
        <v>218</v>
      </c>
      <c r="AA11" s="9"/>
      <c r="AB11" s="11" t="s">
        <v>110</v>
      </c>
      <c r="AC11" s="11" t="s">
        <v>219</v>
      </c>
      <c r="AD11" s="9"/>
      <c r="AE11" s="11" t="s">
        <v>22</v>
      </c>
      <c r="AG11" s="11" t="s">
        <v>220</v>
      </c>
      <c r="AH11" s="11" t="s">
        <v>220</v>
      </c>
      <c r="AJ11" s="11" t="s">
        <v>221</v>
      </c>
      <c r="AL11" s="9"/>
      <c r="AO11" s="9"/>
      <c r="AR11" s="10"/>
      <c r="AU11" s="9"/>
      <c r="AX11" s="9"/>
    </row>
    <row r="12" spans="1:50" x14ac:dyDescent="0.25">
      <c r="A12" s="11" t="s">
        <v>45</v>
      </c>
      <c r="B12" s="30" t="s">
        <v>222</v>
      </c>
      <c r="C12" s="64"/>
      <c r="D12" s="30" t="s">
        <v>191</v>
      </c>
      <c r="E12" s="64"/>
      <c r="F12" s="30" t="s">
        <v>177</v>
      </c>
      <c r="G12" s="9"/>
      <c r="J12" s="9"/>
      <c r="K12" s="11">
        <v>60</v>
      </c>
      <c r="L12" s="1" t="s">
        <v>223</v>
      </c>
      <c r="M12" s="9"/>
      <c r="P12" s="9"/>
      <c r="U12" s="9"/>
      <c r="X12" s="9"/>
      <c r="Y12" s="11" t="s">
        <v>224</v>
      </c>
      <c r="Z12" s="11" t="s">
        <v>225</v>
      </c>
      <c r="AA12" s="9"/>
      <c r="AD12" s="9"/>
      <c r="AE12" s="11" t="s">
        <v>161</v>
      </c>
      <c r="AF12" s="11" t="s">
        <v>226</v>
      </c>
      <c r="AL12" s="9"/>
      <c r="AO12" s="9"/>
      <c r="AR12" s="10"/>
      <c r="AU12" s="9"/>
      <c r="AX12" s="9"/>
    </row>
    <row r="13" spans="1:50" x14ac:dyDescent="0.25">
      <c r="A13" s="17" t="s">
        <v>227</v>
      </c>
      <c r="B13" s="11" t="s">
        <v>95</v>
      </c>
      <c r="C13" s="64"/>
      <c r="D13" s="11" t="s">
        <v>96</v>
      </c>
      <c r="E13" s="64"/>
      <c r="F13" s="11" t="s">
        <v>97</v>
      </c>
      <c r="G13" s="9"/>
      <c r="J13" s="9"/>
      <c r="L13" s="1"/>
      <c r="M13" s="9"/>
      <c r="P13" s="9"/>
      <c r="U13" s="9"/>
      <c r="X13" s="9"/>
      <c r="Y13" s="11" t="s">
        <v>103</v>
      </c>
      <c r="Z13" s="11" t="s">
        <v>228</v>
      </c>
      <c r="AA13" s="9"/>
      <c r="AD13" s="9"/>
      <c r="AL13" s="9"/>
      <c r="AO13" s="9"/>
      <c r="AR13" s="10"/>
      <c r="AU13" s="9"/>
      <c r="AX13" s="9"/>
    </row>
    <row r="14" spans="1:50" x14ac:dyDescent="0.25">
      <c r="A14" s="11" t="s">
        <v>229</v>
      </c>
      <c r="B14" s="31" t="s">
        <v>230</v>
      </c>
      <c r="C14" s="64"/>
      <c r="D14" s="31" t="s">
        <v>96</v>
      </c>
      <c r="E14" s="64"/>
      <c r="F14" s="31" t="s">
        <v>121</v>
      </c>
      <c r="G14" s="9"/>
      <c r="J14" s="9"/>
      <c r="M14" s="9"/>
      <c r="P14" s="9"/>
      <c r="U14" s="9"/>
      <c r="X14" s="9"/>
      <c r="Y14" s="11" t="s">
        <v>231</v>
      </c>
      <c r="Z14" s="11" t="s">
        <v>232</v>
      </c>
      <c r="AA14" s="9"/>
      <c r="AD14" s="9"/>
      <c r="AL14" s="9"/>
      <c r="AO14" s="9"/>
      <c r="AR14" s="10"/>
      <c r="AU14" s="9"/>
      <c r="AX14" s="9"/>
    </row>
    <row r="15" spans="1:50" x14ac:dyDescent="0.25">
      <c r="A15" s="17" t="s">
        <v>233</v>
      </c>
      <c r="B15" s="11" t="s">
        <v>140</v>
      </c>
      <c r="C15" s="64"/>
      <c r="D15" s="11" t="s">
        <v>96</v>
      </c>
      <c r="E15" s="64"/>
      <c r="F15" s="11" t="s">
        <v>93</v>
      </c>
      <c r="G15" s="9"/>
      <c r="J15" s="9"/>
      <c r="M15" s="9"/>
      <c r="P15" s="9"/>
      <c r="U15" s="9"/>
      <c r="X15" s="9"/>
      <c r="Y15" s="11" t="s">
        <v>126</v>
      </c>
      <c r="Z15" s="11" t="s">
        <v>234</v>
      </c>
      <c r="AA15" s="9"/>
      <c r="AD15" s="9"/>
      <c r="AL15" s="9"/>
      <c r="AO15" s="9"/>
      <c r="AR15" s="10"/>
      <c r="AU15" s="9"/>
      <c r="AX15" s="9"/>
    </row>
    <row r="16" spans="1:50" x14ac:dyDescent="0.25">
      <c r="A16" s="11" t="s">
        <v>235</v>
      </c>
      <c r="B16" s="31" t="s">
        <v>159</v>
      </c>
      <c r="C16" s="64"/>
      <c r="D16" s="31" t="s">
        <v>96</v>
      </c>
      <c r="E16" s="64"/>
      <c r="F16" s="31" t="s">
        <v>160</v>
      </c>
      <c r="G16" s="9"/>
      <c r="J16" s="9"/>
      <c r="M16" s="9"/>
      <c r="P16" s="9"/>
      <c r="U16" s="9"/>
      <c r="X16" s="9"/>
      <c r="Y16" s="11" t="s">
        <v>133</v>
      </c>
      <c r="Z16" s="11" t="s">
        <v>236</v>
      </c>
      <c r="AA16" s="9"/>
      <c r="AD16" s="9"/>
      <c r="AL16" s="9"/>
      <c r="AO16" s="9"/>
      <c r="AR16" s="10"/>
      <c r="AU16" s="9"/>
      <c r="AX16" s="9"/>
    </row>
    <row r="17" spans="1:50" x14ac:dyDescent="0.25">
      <c r="A17" s="11" t="s">
        <v>237</v>
      </c>
      <c r="B17" s="11" t="s">
        <v>176</v>
      </c>
      <c r="C17" s="64"/>
      <c r="D17" s="11" t="s">
        <v>96</v>
      </c>
      <c r="E17" s="64"/>
      <c r="F17" s="11" t="s">
        <v>177</v>
      </c>
      <c r="G17" s="9"/>
      <c r="J17" s="9"/>
      <c r="M17" s="9"/>
      <c r="P17" s="9"/>
      <c r="U17" s="9"/>
      <c r="X17" s="9"/>
      <c r="AA17" s="9"/>
      <c r="AD17" s="9"/>
      <c r="AL17" s="9"/>
      <c r="AO17" s="9"/>
      <c r="AR17" s="10"/>
      <c r="AU17" s="9"/>
      <c r="AX17" s="9"/>
    </row>
    <row r="18" spans="1:50" x14ac:dyDescent="0.25">
      <c r="A18" s="16" t="s">
        <v>238</v>
      </c>
      <c r="B18" s="31" t="s">
        <v>239</v>
      </c>
      <c r="C18" s="64"/>
      <c r="D18" s="31" t="s">
        <v>96</v>
      </c>
      <c r="E18" s="64"/>
      <c r="F18" s="31" t="s">
        <v>111</v>
      </c>
      <c r="G18" s="9"/>
      <c r="J18" s="9"/>
      <c r="M18" s="9"/>
      <c r="P18" s="9"/>
      <c r="U18" s="9"/>
      <c r="X18" s="9"/>
      <c r="AA18" s="9"/>
      <c r="AD18" s="9"/>
      <c r="AL18" s="9"/>
      <c r="AO18" s="9"/>
      <c r="AR18" s="10"/>
      <c r="AU18" s="9"/>
      <c r="AX18" s="9"/>
    </row>
    <row r="19" spans="1:50" x14ac:dyDescent="0.25">
      <c r="A19" s="40" t="s">
        <v>240</v>
      </c>
      <c r="B19" s="30" t="s">
        <v>241</v>
      </c>
      <c r="C19" s="64"/>
      <c r="D19" s="30" t="s">
        <v>191</v>
      </c>
      <c r="E19" s="64"/>
      <c r="F19" s="30" t="s">
        <v>89</v>
      </c>
      <c r="G19" s="9"/>
      <c r="J19" s="9"/>
      <c r="M19" s="9"/>
      <c r="P19" s="9"/>
      <c r="U19" s="9"/>
      <c r="X19" s="9"/>
      <c r="AA19" s="9"/>
      <c r="AD19" s="9"/>
      <c r="AL19" s="9"/>
      <c r="AO19" s="9"/>
      <c r="AR19" s="10"/>
      <c r="AU19" s="9"/>
      <c r="AX19" s="9"/>
    </row>
    <row r="20" spans="1:50" x14ac:dyDescent="0.25">
      <c r="A20" s="16" t="s">
        <v>242</v>
      </c>
      <c r="B20" s="11" t="s">
        <v>243</v>
      </c>
      <c r="C20" s="64"/>
      <c r="D20" s="11" t="s">
        <v>191</v>
      </c>
      <c r="E20" s="64"/>
      <c r="F20" s="11" t="s">
        <v>111</v>
      </c>
      <c r="G20" s="9"/>
      <c r="J20" s="9"/>
      <c r="M20" s="9"/>
      <c r="P20" s="9"/>
      <c r="U20" s="9"/>
      <c r="X20" s="9"/>
      <c r="AA20" s="9"/>
      <c r="AD20" s="9"/>
      <c r="AL20" s="9"/>
      <c r="AO20" s="9"/>
      <c r="AR20" s="10"/>
      <c r="AU20" s="9"/>
      <c r="AX20" s="9"/>
    </row>
    <row r="21" spans="1:50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</row>
    <row r="22" spans="1:50" x14ac:dyDescent="0.25">
      <c r="A22" s="11" t="s">
        <v>244</v>
      </c>
      <c r="B22" s="11" t="s">
        <v>147</v>
      </c>
      <c r="C22" s="11" t="s">
        <v>245</v>
      </c>
      <c r="D22" s="11" t="s">
        <v>246</v>
      </c>
      <c r="E22" s="11" t="s">
        <v>247</v>
      </c>
      <c r="F22" s="11" t="s">
        <v>248</v>
      </c>
      <c r="G22" s="11" t="s">
        <v>249</v>
      </c>
      <c r="H22" s="11" t="s">
        <v>113</v>
      </c>
      <c r="I22" s="11" t="s">
        <v>135</v>
      </c>
      <c r="J22" s="11" t="s">
        <v>250</v>
      </c>
      <c r="K22" s="11" t="s">
        <v>251</v>
      </c>
      <c r="L22" s="11" t="s">
        <v>252</v>
      </c>
      <c r="M22" s="11" t="s">
        <v>253</v>
      </c>
      <c r="N22" s="11" t="s">
        <v>254</v>
      </c>
      <c r="O22" s="11" t="s">
        <v>255</v>
      </c>
      <c r="P22" s="11" t="s">
        <v>256</v>
      </c>
      <c r="Q22" s="11" t="s">
        <v>257</v>
      </c>
      <c r="R22" s="11" t="s">
        <v>258</v>
      </c>
      <c r="S22" s="11" t="s">
        <v>259</v>
      </c>
      <c r="T22" s="11" t="s">
        <v>260</v>
      </c>
      <c r="U22" s="11" t="s">
        <v>261</v>
      </c>
      <c r="V22" s="11" t="s">
        <v>262</v>
      </c>
      <c r="W22" s="11" t="s">
        <v>263</v>
      </c>
      <c r="X22" s="11" t="s">
        <v>264</v>
      </c>
      <c r="Y22" s="11" t="s">
        <v>265</v>
      </c>
      <c r="Z22" s="11" t="s">
        <v>266</v>
      </c>
      <c r="AA22" s="11" t="s">
        <v>114</v>
      </c>
      <c r="AB22" s="11" t="s">
        <v>267</v>
      </c>
      <c r="AC22" s="11" t="s">
        <v>268</v>
      </c>
      <c r="AD22" s="11" t="s">
        <v>136</v>
      </c>
      <c r="AE22" s="11" t="s">
        <v>269</v>
      </c>
      <c r="AF22" s="11" t="s">
        <v>270</v>
      </c>
      <c r="AG22" s="11" t="s">
        <v>271</v>
      </c>
      <c r="AH22" s="11" t="s">
        <v>272</v>
      </c>
      <c r="AI22" s="11" t="s">
        <v>154</v>
      </c>
      <c r="AJ22" s="11" t="s">
        <v>273</v>
      </c>
      <c r="AK22" s="11" t="s">
        <v>274</v>
      </c>
      <c r="AL22" s="11" t="s">
        <v>275</v>
      </c>
      <c r="AM22" s="11" t="s">
        <v>276</v>
      </c>
      <c r="AN22" s="11" t="s">
        <v>173</v>
      </c>
      <c r="AO22" s="11" t="s">
        <v>277</v>
      </c>
      <c r="AP22" s="11" t="s">
        <v>278</v>
      </c>
      <c r="AQ22" s="11" t="s">
        <v>279</v>
      </c>
      <c r="AR22" s="11" t="s">
        <v>280</v>
      </c>
      <c r="AS22" s="11" t="s">
        <v>281</v>
      </c>
      <c r="AT22" s="11" t="s">
        <v>282</v>
      </c>
      <c r="AU22" s="11" t="s">
        <v>283</v>
      </c>
      <c r="AV22" s="11" t="s">
        <v>284</v>
      </c>
      <c r="AW22" s="11" t="s">
        <v>285</v>
      </c>
      <c r="AX22" s="11" t="s">
        <v>286</v>
      </c>
    </row>
    <row r="24" spans="1:50" x14ac:dyDescent="0.25">
      <c r="A24" s="13"/>
      <c r="B24" s="15" t="s">
        <v>287</v>
      </c>
      <c r="D24" s="15"/>
      <c r="F24" s="15"/>
    </row>
    <row r="25" spans="1:50" x14ac:dyDescent="0.25">
      <c r="B25" s="11" t="s">
        <v>288</v>
      </c>
      <c r="I25" s="11" t="s">
        <v>289</v>
      </c>
    </row>
    <row r="26" spans="1:50" x14ac:dyDescent="0.25">
      <c r="Z26" s="11" t="s">
        <v>290</v>
      </c>
    </row>
    <row r="27" spans="1:50" x14ac:dyDescent="0.25">
      <c r="B27" s="15" t="s">
        <v>291</v>
      </c>
      <c r="D27" s="15"/>
      <c r="F27" s="15"/>
      <c r="R27" s="77"/>
      <c r="S27" s="56"/>
      <c r="Z27" s="11" t="s">
        <v>292</v>
      </c>
    </row>
    <row r="28" spans="1:50" ht="16.5" thickBot="1" x14ac:dyDescent="0.3">
      <c r="B28" s="11" t="s">
        <v>293</v>
      </c>
      <c r="F28" s="65" t="s">
        <v>294</v>
      </c>
      <c r="S28" s="56"/>
    </row>
    <row r="29" spans="1:50" x14ac:dyDescent="0.25">
      <c r="S29" s="56"/>
    </row>
    <row r="30" spans="1:50" x14ac:dyDescent="0.25">
      <c r="B30" s="15" t="s">
        <v>93</v>
      </c>
      <c r="D30" s="15"/>
      <c r="S30" s="56"/>
    </row>
    <row r="31" spans="1:50" x14ac:dyDescent="0.25">
      <c r="B31" s="11" t="s">
        <v>295</v>
      </c>
      <c r="S31" s="56"/>
    </row>
    <row r="32" spans="1:50" x14ac:dyDescent="0.25">
      <c r="F32" s="11" t="s">
        <v>296</v>
      </c>
      <c r="S32" s="56"/>
    </row>
    <row r="33" spans="2:19" x14ac:dyDescent="0.25">
      <c r="B33" s="15" t="s">
        <v>297</v>
      </c>
      <c r="D33" s="15"/>
      <c r="F33" s="15"/>
      <c r="S33" s="57" t="s">
        <v>298</v>
      </c>
    </row>
    <row r="34" spans="2:19" x14ac:dyDescent="0.25">
      <c r="B34" s="11" t="s">
        <v>299</v>
      </c>
    </row>
    <row r="35" spans="2:19" x14ac:dyDescent="0.25">
      <c r="L35" s="1"/>
    </row>
    <row r="36" spans="2:19" x14ac:dyDescent="0.25">
      <c r="B36" s="15" t="s">
        <v>300</v>
      </c>
      <c r="D36" s="15"/>
      <c r="F36" s="15"/>
    </row>
    <row r="37" spans="2:19" x14ac:dyDescent="0.25">
      <c r="B37" s="11" t="s">
        <v>301</v>
      </c>
    </row>
    <row r="39" spans="2:19" x14ac:dyDescent="0.25">
      <c r="B39" s="15" t="s">
        <v>302</v>
      </c>
      <c r="D39" s="15"/>
      <c r="F39" s="15"/>
    </row>
    <row r="40" spans="2:19" x14ac:dyDescent="0.25">
      <c r="B40" s="11" t="s">
        <v>303</v>
      </c>
    </row>
    <row r="42" spans="2:19" x14ac:dyDescent="0.25">
      <c r="B42" s="15" t="s">
        <v>304</v>
      </c>
      <c r="D42" s="15"/>
      <c r="F42" s="15"/>
    </row>
    <row r="43" spans="2:19" x14ac:dyDescent="0.25">
      <c r="B43" s="11" t="s">
        <v>305</v>
      </c>
    </row>
    <row r="45" spans="2:19" x14ac:dyDescent="0.25">
      <c r="B45" s="15" t="s">
        <v>306</v>
      </c>
      <c r="D45" s="15"/>
      <c r="F45" s="15"/>
    </row>
    <row r="46" spans="2:19" x14ac:dyDescent="0.25">
      <c r="B46" s="11" t="s">
        <v>189</v>
      </c>
    </row>
    <row r="48" spans="2:19" x14ac:dyDescent="0.25">
      <c r="B48" s="15" t="s">
        <v>307</v>
      </c>
      <c r="D48" s="15"/>
      <c r="F48" s="15"/>
    </row>
    <row r="49" spans="2:6" x14ac:dyDescent="0.25">
      <c r="B49" s="11" t="s">
        <v>308</v>
      </c>
    </row>
    <row r="51" spans="2:6" x14ac:dyDescent="0.25">
      <c r="B51" s="15" t="s">
        <v>309</v>
      </c>
      <c r="D51" s="15"/>
      <c r="F51" s="15"/>
    </row>
    <row r="52" spans="2:6" x14ac:dyDescent="0.25">
      <c r="B52" s="11" t="s">
        <v>310</v>
      </c>
    </row>
    <row r="54" spans="2:6" x14ac:dyDescent="0.25">
      <c r="B54" s="15" t="s">
        <v>311</v>
      </c>
      <c r="D54" s="15"/>
      <c r="F54" s="15"/>
    </row>
    <row r="55" spans="2:6" x14ac:dyDescent="0.25">
      <c r="B55" s="11" t="s">
        <v>312</v>
      </c>
    </row>
    <row r="57" spans="2:6" x14ac:dyDescent="0.25">
      <c r="B57" s="15" t="s">
        <v>313</v>
      </c>
      <c r="D57" s="15"/>
      <c r="F57" s="15"/>
    </row>
    <row r="58" spans="2:6" x14ac:dyDescent="0.25">
      <c r="B58" s="11" t="s">
        <v>314</v>
      </c>
    </row>
  </sheetData>
  <mergeCells count="13">
    <mergeCell ref="A1:G1"/>
    <mergeCell ref="AV1:AW1"/>
    <mergeCell ref="AS1:AT1"/>
    <mergeCell ref="H1:I1"/>
    <mergeCell ref="K1:L1"/>
    <mergeCell ref="N1:O1"/>
    <mergeCell ref="Q1:T1"/>
    <mergeCell ref="V1:W1"/>
    <mergeCell ref="Y1:Z1"/>
    <mergeCell ref="AB1:AC1"/>
    <mergeCell ref="AE1:AK1"/>
    <mergeCell ref="AM1:AN1"/>
    <mergeCell ref="AP1:AQ1"/>
  </mergeCells>
  <phoneticPr fontId="3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O13"/>
  <sheetViews>
    <sheetView topLeftCell="D1" zoomScale="115" zoomScaleNormal="115" workbookViewId="0">
      <selection activeCell="J10" sqref="J10"/>
    </sheetView>
  </sheetViews>
  <sheetFormatPr defaultColWidth="9.140625" defaultRowHeight="15" x14ac:dyDescent="0.25"/>
  <cols>
    <col min="1" max="1" width="7.5703125" style="1" bestFit="1" customWidth="1"/>
    <col min="2" max="2" width="26.85546875" style="1" customWidth="1"/>
    <col min="3" max="3" width="5.5703125" style="1" customWidth="1"/>
    <col min="4" max="4" width="42.140625" style="2" customWidth="1"/>
    <col min="5" max="5" width="12.85546875" style="2" customWidth="1"/>
    <col min="6" max="6" width="9.5703125" style="11" customWidth="1"/>
    <col min="7" max="7" width="8.42578125" style="1" customWidth="1"/>
    <col min="8" max="8" width="7.5703125" style="1" customWidth="1"/>
    <col min="9" max="9" width="11.85546875" style="68" customWidth="1"/>
    <col min="10" max="10" width="17.5703125" style="8" bestFit="1" customWidth="1"/>
    <col min="11" max="12" width="11.85546875" style="8" customWidth="1"/>
    <col min="13" max="13" width="9.140625" style="68"/>
    <col min="14" max="14" width="11.85546875" style="8" customWidth="1"/>
    <col min="15" max="15" width="9.140625" style="70"/>
    <col min="16" max="16384" width="9.140625" style="1"/>
  </cols>
  <sheetData>
    <row r="1" spans="1:14" ht="23.25" x14ac:dyDescent="0.25">
      <c r="A1" s="207" t="s">
        <v>315</v>
      </c>
      <c r="B1" s="207"/>
      <c r="C1" s="207"/>
      <c r="D1" s="207"/>
      <c r="E1" s="207"/>
      <c r="F1" s="207"/>
      <c r="G1" s="207"/>
      <c r="H1" s="207"/>
      <c r="I1" s="207"/>
      <c r="J1" s="87" t="s">
        <v>316</v>
      </c>
      <c r="K1" s="1" t="s">
        <v>317</v>
      </c>
      <c r="L1" s="1"/>
      <c r="N1" s="1"/>
    </row>
    <row r="2" spans="1:14" ht="14.65" customHeight="1" x14ac:dyDescent="0.25"/>
    <row r="7" spans="1:14" x14ac:dyDescent="0.25">
      <c r="F7" s="41"/>
    </row>
    <row r="10" spans="1:14" x14ac:dyDescent="0.25">
      <c r="F10" s="41"/>
    </row>
    <row r="13" spans="1:14" x14ac:dyDescent="0.25">
      <c r="F13" s="41"/>
    </row>
  </sheetData>
  <mergeCells count="1">
    <mergeCell ref="A1:I1"/>
  </mergeCells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1015"/>
  <sheetViews>
    <sheetView topLeftCell="H1" zoomScale="70" zoomScaleNormal="70" workbookViewId="0">
      <pane ySplit="3" topLeftCell="A4" activePane="bottomLeft" state="frozen"/>
      <selection pane="bottomLeft" activeCell="O14" sqref="O14"/>
    </sheetView>
  </sheetViews>
  <sheetFormatPr defaultColWidth="34.140625" defaultRowHeight="15" x14ac:dyDescent="0.25"/>
  <cols>
    <col min="1" max="1" width="7.5703125" style="32" customWidth="1"/>
    <col min="2" max="2" width="40.85546875" style="1" bestFit="1" customWidth="1"/>
    <col min="3" max="3" width="19.85546875" style="2" bestFit="1" customWidth="1"/>
    <col min="4" max="4" width="22.28515625" style="1" bestFit="1" customWidth="1"/>
    <col min="5" max="5" width="76.42578125" style="1" customWidth="1"/>
    <col min="6" max="6" width="13.5703125" style="1" customWidth="1"/>
    <col min="7" max="7" width="6.85546875" style="1" customWidth="1"/>
    <col min="8" max="8" width="22.5703125" style="1" customWidth="1"/>
    <col min="9" max="9" width="12.140625" style="1" customWidth="1"/>
    <col min="10" max="10" width="9.7109375" style="1" customWidth="1"/>
    <col min="11" max="11" width="19.140625" style="1" customWidth="1"/>
    <col min="12" max="12" width="13.140625" style="1" customWidth="1"/>
    <col min="13" max="13" width="10.42578125" style="1" customWidth="1"/>
    <col min="14" max="14" width="9.140625" style="1" customWidth="1"/>
    <col min="15" max="15" width="18.7109375" style="1" customWidth="1"/>
    <col min="16" max="16" width="12.5703125" style="1" customWidth="1"/>
    <col min="17" max="17" width="9.7109375" style="1" customWidth="1"/>
    <col min="18" max="18" width="16.140625" style="1" customWidth="1"/>
    <col min="19" max="19" width="11.7109375" style="1" customWidth="1"/>
    <col min="20" max="20" width="17.85546875" style="1" customWidth="1"/>
    <col min="21" max="21" width="13" style="1" customWidth="1"/>
    <col min="22" max="22" width="62.5703125" style="1" customWidth="1"/>
    <col min="23" max="23" width="38.140625" style="1" bestFit="1" customWidth="1"/>
    <col min="24" max="24" width="10.140625" style="1" bestFit="1" customWidth="1"/>
    <col min="25" max="25" width="13.85546875" style="1" customWidth="1"/>
    <col min="26" max="26" width="13.42578125" style="70" bestFit="1" customWidth="1"/>
    <col min="27" max="27" width="13.42578125" style="70" customWidth="1"/>
    <col min="28" max="16384" width="34.140625" style="1"/>
  </cols>
  <sheetData>
    <row r="1" spans="1:29" x14ac:dyDescent="0.25">
      <c r="A1" s="32">
        <v>1</v>
      </c>
      <c r="B1" s="1">
        <f t="shared" ref="B1:V1" si="0">A1+1</f>
        <v>2</v>
      </c>
      <c r="C1" s="1"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si="0"/>
        <v>22</v>
      </c>
      <c r="W1" s="1">
        <f t="shared" ref="W1" si="6">V1+1</f>
        <v>23</v>
      </c>
      <c r="X1" s="1">
        <f t="shared" ref="X1" si="7">W1+1</f>
        <v>24</v>
      </c>
      <c r="Y1" s="1">
        <f t="shared" ref="Y1" si="8">X1+1</f>
        <v>25</v>
      </c>
      <c r="Z1" s="1">
        <v>26</v>
      </c>
      <c r="AA1" s="1">
        <f>Z1+1</f>
        <v>27</v>
      </c>
    </row>
    <row r="2" spans="1:29" x14ac:dyDescent="0.25">
      <c r="C2" s="1"/>
      <c r="Y2" s="69" t="s">
        <v>318</v>
      </c>
    </row>
    <row r="3" spans="1:29" s="14" customFormat="1" ht="39" customHeight="1" x14ac:dyDescent="0.25">
      <c r="A3" s="38" t="s">
        <v>70</v>
      </c>
      <c r="B3" s="39" t="s">
        <v>319</v>
      </c>
      <c r="C3" s="39" t="s">
        <v>320</v>
      </c>
      <c r="D3" s="39" t="s">
        <v>321</v>
      </c>
      <c r="E3" s="39" t="s">
        <v>77</v>
      </c>
      <c r="F3" s="39" t="s">
        <v>1</v>
      </c>
      <c r="G3" s="39" t="s">
        <v>12</v>
      </c>
      <c r="H3" s="39" t="s">
        <v>2</v>
      </c>
      <c r="I3" s="39" t="s">
        <v>322</v>
      </c>
      <c r="J3" s="39" t="s">
        <v>5</v>
      </c>
      <c r="K3" s="39" t="s">
        <v>6</v>
      </c>
      <c r="L3" s="39" t="s">
        <v>323</v>
      </c>
      <c r="M3" s="39" t="s">
        <v>8</v>
      </c>
      <c r="N3" s="39" t="s">
        <v>9</v>
      </c>
      <c r="O3" s="39" t="s">
        <v>10</v>
      </c>
      <c r="P3" s="39" t="s">
        <v>324</v>
      </c>
      <c r="Q3" s="39" t="s">
        <v>325</v>
      </c>
      <c r="R3" s="39" t="s">
        <v>326</v>
      </c>
      <c r="S3" s="39" t="s">
        <v>327</v>
      </c>
      <c r="T3" s="39" t="s">
        <v>328</v>
      </c>
      <c r="U3" s="39" t="s">
        <v>329</v>
      </c>
      <c r="V3" s="39" t="s">
        <v>82</v>
      </c>
      <c r="W3" s="39" t="s">
        <v>330</v>
      </c>
      <c r="X3" s="39" t="s">
        <v>331</v>
      </c>
      <c r="Y3" s="39" t="s">
        <v>332</v>
      </c>
      <c r="Z3" s="71" t="s">
        <v>333</v>
      </c>
      <c r="AA3" s="71" t="s">
        <v>334</v>
      </c>
    </row>
    <row r="4" spans="1:29" x14ac:dyDescent="0.25">
      <c r="A4" s="33">
        <f t="shared" ref="A4:A48" si="9">ROW()-3</f>
        <v>1</v>
      </c>
      <c r="B4" s="19">
        <v>22001</v>
      </c>
      <c r="C4" s="19" t="s">
        <v>335</v>
      </c>
      <c r="D4" s="19" t="s">
        <v>336</v>
      </c>
      <c r="E4" s="19" t="s">
        <v>337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 t="s">
        <v>338</v>
      </c>
      <c r="R4" s="19">
        <v>1</v>
      </c>
      <c r="S4" s="19">
        <v>300</v>
      </c>
      <c r="T4" s="19"/>
      <c r="U4" s="20">
        <f>Y4*1.1/3.28</f>
        <v>0.97256097560975618</v>
      </c>
      <c r="V4" s="19" t="s">
        <v>339</v>
      </c>
      <c r="W4" s="19" t="s">
        <v>340</v>
      </c>
      <c r="X4" s="19"/>
      <c r="Y4" s="21">
        <v>2.9</v>
      </c>
      <c r="Z4" s="92">
        <v>1.7</v>
      </c>
      <c r="AA4" s="92">
        <v>1.7</v>
      </c>
      <c r="AC4" s="1">
        <f>VLOOKUP(C4,[2]Database!$C$4:$AA$1017,25,FALSE)</f>
        <v>1</v>
      </c>
    </row>
    <row r="5" spans="1:29" x14ac:dyDescent="0.25">
      <c r="A5" s="33">
        <f t="shared" si="9"/>
        <v>2</v>
      </c>
      <c r="B5" s="19">
        <v>22001</v>
      </c>
      <c r="C5" s="19" t="s">
        <v>335</v>
      </c>
      <c r="D5" s="19" t="s">
        <v>336</v>
      </c>
      <c r="E5" s="22" t="s">
        <v>341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 t="s">
        <v>338</v>
      </c>
      <c r="R5" s="19">
        <v>1</v>
      </c>
      <c r="S5" s="19">
        <v>300</v>
      </c>
      <c r="T5" s="19"/>
      <c r="U5" s="20">
        <f t="shared" ref="U5:U42" si="10">Y5*1.1/3.28</f>
        <v>0.97256097560975618</v>
      </c>
      <c r="V5" s="19" t="s">
        <v>339</v>
      </c>
      <c r="W5" s="19" t="s">
        <v>340</v>
      </c>
      <c r="X5" s="19"/>
      <c r="Y5" s="21">
        <v>2.9</v>
      </c>
      <c r="Z5" s="92">
        <v>1.7</v>
      </c>
      <c r="AA5" s="92">
        <v>1.7</v>
      </c>
    </row>
    <row r="6" spans="1:29" x14ac:dyDescent="0.25">
      <c r="A6" s="33">
        <f t="shared" si="9"/>
        <v>3</v>
      </c>
      <c r="B6" s="19">
        <v>22003</v>
      </c>
      <c r="C6" s="19" t="s">
        <v>342</v>
      </c>
      <c r="D6" s="19" t="s">
        <v>336</v>
      </c>
      <c r="E6" s="19" t="s">
        <v>337</v>
      </c>
      <c r="F6" s="19" t="s">
        <v>343</v>
      </c>
      <c r="G6" s="19" t="s">
        <v>110</v>
      </c>
      <c r="H6" s="19"/>
      <c r="I6" s="19"/>
      <c r="J6" s="19"/>
      <c r="K6" s="19" t="s">
        <v>344</v>
      </c>
      <c r="L6" s="19"/>
      <c r="M6" s="19"/>
      <c r="N6" s="19"/>
      <c r="O6" s="19"/>
      <c r="P6" s="19"/>
      <c r="Q6" s="19" t="s">
        <v>338</v>
      </c>
      <c r="R6" s="19">
        <v>1</v>
      </c>
      <c r="S6" s="19">
        <v>300</v>
      </c>
      <c r="T6" s="19">
        <v>4</v>
      </c>
      <c r="U6" s="20">
        <f t="shared" si="10"/>
        <v>2.1060975609756101</v>
      </c>
      <c r="V6" s="19" t="s">
        <v>345</v>
      </c>
      <c r="W6" s="19" t="s">
        <v>340</v>
      </c>
      <c r="X6" s="19"/>
      <c r="Y6" s="21">
        <v>6.28</v>
      </c>
      <c r="Z6" s="92">
        <v>1.7</v>
      </c>
      <c r="AA6" s="92">
        <v>1.7</v>
      </c>
    </row>
    <row r="7" spans="1:29" x14ac:dyDescent="0.25">
      <c r="A7" s="33">
        <f t="shared" si="9"/>
        <v>4</v>
      </c>
      <c r="B7" s="19">
        <v>22003</v>
      </c>
      <c r="C7" s="19" t="s">
        <v>342</v>
      </c>
      <c r="D7" s="19" t="s">
        <v>336</v>
      </c>
      <c r="E7" s="19" t="s">
        <v>337</v>
      </c>
      <c r="F7" s="19" t="s">
        <v>343</v>
      </c>
      <c r="G7" s="19" t="s">
        <v>346</v>
      </c>
      <c r="H7" s="19"/>
      <c r="I7" s="19"/>
      <c r="J7" s="19"/>
      <c r="K7" s="19" t="s">
        <v>344</v>
      </c>
      <c r="L7" s="19"/>
      <c r="M7" s="19"/>
      <c r="N7" s="19"/>
      <c r="O7" s="19"/>
      <c r="P7" s="19"/>
      <c r="Q7" s="19" t="s">
        <v>338</v>
      </c>
      <c r="R7" s="19">
        <v>1</v>
      </c>
      <c r="S7" s="19">
        <v>310</v>
      </c>
      <c r="T7" s="19">
        <v>2.5</v>
      </c>
      <c r="U7" s="20">
        <f t="shared" si="10"/>
        <v>2.1060975609756101</v>
      </c>
      <c r="V7" s="19" t="s">
        <v>345</v>
      </c>
      <c r="W7" s="19" t="s">
        <v>340</v>
      </c>
      <c r="X7" s="19"/>
      <c r="Y7" s="21">
        <v>6.28</v>
      </c>
      <c r="Z7" s="92">
        <v>1.7</v>
      </c>
      <c r="AA7" s="92">
        <v>1.7</v>
      </c>
    </row>
    <row r="8" spans="1:29" x14ac:dyDescent="0.25">
      <c r="A8" s="33">
        <f t="shared" si="9"/>
        <v>5</v>
      </c>
      <c r="B8" s="19">
        <v>22003</v>
      </c>
      <c r="C8" s="19" t="s">
        <v>342</v>
      </c>
      <c r="D8" s="19" t="s">
        <v>336</v>
      </c>
      <c r="E8" s="19" t="s">
        <v>337</v>
      </c>
      <c r="F8" s="19" t="s">
        <v>343</v>
      </c>
      <c r="G8" s="19" t="s">
        <v>126</v>
      </c>
      <c r="H8" s="19"/>
      <c r="I8" s="19"/>
      <c r="J8" s="19"/>
      <c r="K8" s="19" t="s">
        <v>344</v>
      </c>
      <c r="L8" s="19"/>
      <c r="M8" s="19"/>
      <c r="N8" s="19"/>
      <c r="O8" s="19"/>
      <c r="P8" s="19"/>
      <c r="Q8" s="19" t="s">
        <v>338</v>
      </c>
      <c r="R8" s="19">
        <v>1</v>
      </c>
      <c r="S8" s="19">
        <v>310</v>
      </c>
      <c r="T8" s="19">
        <v>0.5</v>
      </c>
      <c r="U8" s="20">
        <f t="shared" si="10"/>
        <v>2.1060975609756101</v>
      </c>
      <c r="V8" s="19" t="s">
        <v>345</v>
      </c>
      <c r="W8" s="19" t="s">
        <v>340</v>
      </c>
      <c r="X8" s="19"/>
      <c r="Y8" s="21">
        <v>6.28</v>
      </c>
      <c r="Z8" s="92">
        <v>1.7</v>
      </c>
      <c r="AA8" s="92">
        <v>1.7</v>
      </c>
    </row>
    <row r="9" spans="1:29" x14ac:dyDescent="0.25">
      <c r="A9" s="33">
        <f t="shared" si="9"/>
        <v>6</v>
      </c>
      <c r="B9" s="19">
        <v>22003</v>
      </c>
      <c r="C9" s="19" t="s">
        <v>342</v>
      </c>
      <c r="D9" s="19" t="s">
        <v>336</v>
      </c>
      <c r="E9" s="22" t="s">
        <v>347</v>
      </c>
      <c r="F9" s="19" t="s">
        <v>343</v>
      </c>
      <c r="G9" s="19" t="s">
        <v>110</v>
      </c>
      <c r="H9" s="19"/>
      <c r="I9" s="19"/>
      <c r="J9" s="19"/>
      <c r="K9" s="19" t="s">
        <v>344</v>
      </c>
      <c r="L9" s="19"/>
      <c r="M9" s="19"/>
      <c r="N9" s="19"/>
      <c r="O9" s="19"/>
      <c r="P9" s="19"/>
      <c r="Q9" s="19" t="s">
        <v>338</v>
      </c>
      <c r="R9" s="19">
        <v>1</v>
      </c>
      <c r="S9" s="19">
        <v>310</v>
      </c>
      <c r="T9" s="19">
        <v>4</v>
      </c>
      <c r="U9" s="20">
        <f t="shared" si="10"/>
        <v>2.1060975609756101</v>
      </c>
      <c r="V9" s="19" t="s">
        <v>345</v>
      </c>
      <c r="W9" s="19" t="s">
        <v>340</v>
      </c>
      <c r="X9" s="19"/>
      <c r="Y9" s="21">
        <v>6.28</v>
      </c>
      <c r="Z9" s="92">
        <v>1.7</v>
      </c>
      <c r="AA9" s="92">
        <v>1.7</v>
      </c>
    </row>
    <row r="10" spans="1:29" x14ac:dyDescent="0.25">
      <c r="A10" s="33">
        <f t="shared" si="9"/>
        <v>7</v>
      </c>
      <c r="B10" s="19">
        <v>22003</v>
      </c>
      <c r="C10" s="19" t="s">
        <v>342</v>
      </c>
      <c r="D10" s="19" t="s">
        <v>336</v>
      </c>
      <c r="E10" s="22" t="s">
        <v>347</v>
      </c>
      <c r="F10" s="19" t="s">
        <v>343</v>
      </c>
      <c r="G10" s="19" t="s">
        <v>346</v>
      </c>
      <c r="H10" s="19"/>
      <c r="I10" s="19"/>
      <c r="J10" s="19"/>
      <c r="K10" s="19" t="s">
        <v>344</v>
      </c>
      <c r="L10" s="19"/>
      <c r="M10" s="19"/>
      <c r="N10" s="19"/>
      <c r="O10" s="19"/>
      <c r="P10" s="19"/>
      <c r="Q10" s="19" t="s">
        <v>338</v>
      </c>
      <c r="R10" s="19">
        <v>1</v>
      </c>
      <c r="S10" s="19">
        <v>310</v>
      </c>
      <c r="T10" s="19">
        <v>2.5</v>
      </c>
      <c r="U10" s="20">
        <f t="shared" si="10"/>
        <v>2.1060975609756101</v>
      </c>
      <c r="V10" s="19" t="s">
        <v>345</v>
      </c>
      <c r="W10" s="19" t="s">
        <v>340</v>
      </c>
      <c r="X10" s="19"/>
      <c r="Y10" s="21">
        <v>6.28</v>
      </c>
      <c r="Z10" s="92">
        <v>1.7</v>
      </c>
      <c r="AA10" s="92">
        <v>1.7</v>
      </c>
    </row>
    <row r="11" spans="1:29" x14ac:dyDescent="0.25">
      <c r="A11" s="33">
        <f t="shared" si="9"/>
        <v>8</v>
      </c>
      <c r="B11" s="19">
        <v>22003</v>
      </c>
      <c r="C11" s="19" t="s">
        <v>342</v>
      </c>
      <c r="D11" s="19" t="s">
        <v>336</v>
      </c>
      <c r="E11" s="22" t="s">
        <v>347</v>
      </c>
      <c r="F11" s="19" t="s">
        <v>343</v>
      </c>
      <c r="G11" s="19" t="s">
        <v>126</v>
      </c>
      <c r="H11" s="19"/>
      <c r="I11" s="19"/>
      <c r="J11" s="19"/>
      <c r="K11" s="19" t="s">
        <v>344</v>
      </c>
      <c r="L11" s="19"/>
      <c r="M11" s="19"/>
      <c r="N11" s="19"/>
      <c r="O11" s="19"/>
      <c r="P11" s="19"/>
      <c r="Q11" s="19" t="s">
        <v>338</v>
      </c>
      <c r="R11" s="19">
        <v>1</v>
      </c>
      <c r="S11" s="19">
        <v>310</v>
      </c>
      <c r="T11" s="19">
        <v>0.5</v>
      </c>
      <c r="U11" s="20">
        <f t="shared" si="10"/>
        <v>2.1060975609756101</v>
      </c>
      <c r="V11" s="19" t="s">
        <v>345</v>
      </c>
      <c r="W11" s="19" t="s">
        <v>340</v>
      </c>
      <c r="X11" s="19"/>
      <c r="Y11" s="21">
        <v>6.28</v>
      </c>
      <c r="Z11" s="92">
        <v>1.7</v>
      </c>
      <c r="AA11" s="92">
        <v>1.7</v>
      </c>
    </row>
    <row r="12" spans="1:29" x14ac:dyDescent="0.25">
      <c r="A12" s="33">
        <f t="shared" si="9"/>
        <v>9</v>
      </c>
      <c r="B12" s="19">
        <v>22004</v>
      </c>
      <c r="C12" s="19" t="s">
        <v>348</v>
      </c>
      <c r="D12" s="19" t="s">
        <v>336</v>
      </c>
      <c r="E12" s="22" t="s">
        <v>349</v>
      </c>
      <c r="F12" s="19" t="s">
        <v>98</v>
      </c>
      <c r="G12" s="19" t="s">
        <v>110</v>
      </c>
      <c r="H12" s="19"/>
      <c r="I12" s="19"/>
      <c r="J12" s="19"/>
      <c r="K12" s="19"/>
      <c r="L12" s="19"/>
      <c r="M12" s="19"/>
      <c r="N12" s="19"/>
      <c r="O12" s="19"/>
      <c r="P12" s="19"/>
      <c r="Q12" s="19" t="s">
        <v>338</v>
      </c>
      <c r="R12" s="19">
        <v>1</v>
      </c>
      <c r="S12" s="19">
        <v>310</v>
      </c>
      <c r="T12" s="19">
        <v>4</v>
      </c>
      <c r="U12" s="20">
        <f t="shared" si="10"/>
        <v>2.2134146341463414</v>
      </c>
      <c r="V12" s="19" t="s">
        <v>350</v>
      </c>
      <c r="W12" s="19" t="s">
        <v>340</v>
      </c>
      <c r="X12" s="19"/>
      <c r="Y12" s="21">
        <v>6.6</v>
      </c>
      <c r="Z12" s="92">
        <v>1.7</v>
      </c>
      <c r="AA12" s="92">
        <v>1.7</v>
      </c>
    </row>
    <row r="13" spans="1:29" x14ac:dyDescent="0.25">
      <c r="A13" s="33">
        <f t="shared" si="9"/>
        <v>10</v>
      </c>
      <c r="B13" s="19">
        <v>22004</v>
      </c>
      <c r="C13" s="19" t="s">
        <v>348</v>
      </c>
      <c r="D13" s="19" t="s">
        <v>336</v>
      </c>
      <c r="E13" s="22" t="s">
        <v>349</v>
      </c>
      <c r="F13" s="19" t="s">
        <v>98</v>
      </c>
      <c r="G13" s="19" t="s">
        <v>346</v>
      </c>
      <c r="H13" s="19"/>
      <c r="I13" s="19"/>
      <c r="J13" s="19"/>
      <c r="K13" s="19"/>
      <c r="L13" s="19"/>
      <c r="M13" s="19"/>
      <c r="N13" s="19"/>
      <c r="O13" s="19"/>
      <c r="P13" s="19"/>
      <c r="Q13" s="19" t="s">
        <v>338</v>
      </c>
      <c r="R13" s="19">
        <v>1</v>
      </c>
      <c r="S13" s="19">
        <v>310</v>
      </c>
      <c r="T13" s="19">
        <v>2.5</v>
      </c>
      <c r="U13" s="20">
        <f t="shared" si="10"/>
        <v>2.2134146341463414</v>
      </c>
      <c r="V13" s="19" t="s">
        <v>350</v>
      </c>
      <c r="W13" s="19" t="s">
        <v>340</v>
      </c>
      <c r="X13" s="19"/>
      <c r="Y13" s="21">
        <v>6.6</v>
      </c>
      <c r="Z13" s="92">
        <v>1.7</v>
      </c>
      <c r="AA13" s="92">
        <v>1.7</v>
      </c>
    </row>
    <row r="14" spans="1:29" x14ac:dyDescent="0.25">
      <c r="A14" s="33">
        <f t="shared" si="9"/>
        <v>11</v>
      </c>
      <c r="B14" s="19">
        <v>22004</v>
      </c>
      <c r="C14" s="19" t="s">
        <v>348</v>
      </c>
      <c r="D14" s="19" t="s">
        <v>336</v>
      </c>
      <c r="E14" s="22" t="s">
        <v>349</v>
      </c>
      <c r="F14" s="19" t="s">
        <v>98</v>
      </c>
      <c r="G14" s="19" t="s">
        <v>126</v>
      </c>
      <c r="H14" s="19"/>
      <c r="I14" s="19"/>
      <c r="J14" s="19"/>
      <c r="K14" s="19"/>
      <c r="L14" s="19"/>
      <c r="M14" s="19"/>
      <c r="N14" s="19"/>
      <c r="O14" s="19"/>
      <c r="P14" s="19"/>
      <c r="Q14" s="19" t="s">
        <v>338</v>
      </c>
      <c r="R14" s="19">
        <v>1</v>
      </c>
      <c r="S14" s="19">
        <v>310</v>
      </c>
      <c r="T14" s="19">
        <v>0.5</v>
      </c>
      <c r="U14" s="20">
        <f t="shared" si="10"/>
        <v>2.2134146341463414</v>
      </c>
      <c r="V14" s="19" t="s">
        <v>350</v>
      </c>
      <c r="W14" s="19" t="s">
        <v>340</v>
      </c>
      <c r="X14" s="19"/>
      <c r="Y14" s="21">
        <v>6.6</v>
      </c>
      <c r="Z14" s="92">
        <v>1.7</v>
      </c>
      <c r="AA14" s="92">
        <v>1.7</v>
      </c>
    </row>
    <row r="15" spans="1:29" x14ac:dyDescent="0.25">
      <c r="A15" s="33">
        <f t="shared" si="9"/>
        <v>12</v>
      </c>
      <c r="B15" s="19">
        <v>22004</v>
      </c>
      <c r="C15" s="19" t="s">
        <v>348</v>
      </c>
      <c r="D15" s="19" t="s">
        <v>336</v>
      </c>
      <c r="E15" s="19" t="s">
        <v>337</v>
      </c>
      <c r="F15" s="19" t="s">
        <v>98</v>
      </c>
      <c r="G15" s="19" t="s">
        <v>110</v>
      </c>
      <c r="H15" s="19"/>
      <c r="I15" s="19"/>
      <c r="J15" s="19"/>
      <c r="K15" s="19"/>
      <c r="L15" s="19"/>
      <c r="M15" s="19"/>
      <c r="N15" s="19"/>
      <c r="O15" s="19"/>
      <c r="P15" s="19"/>
      <c r="Q15" s="19" t="s">
        <v>338</v>
      </c>
      <c r="R15" s="19">
        <v>1</v>
      </c>
      <c r="S15" s="19">
        <v>310</v>
      </c>
      <c r="T15" s="19">
        <v>4</v>
      </c>
      <c r="U15" s="20">
        <f t="shared" si="10"/>
        <v>2.2134146341463414</v>
      </c>
      <c r="V15" s="19" t="s">
        <v>350</v>
      </c>
      <c r="W15" s="19" t="s">
        <v>340</v>
      </c>
      <c r="X15" s="19"/>
      <c r="Y15" s="21">
        <v>6.6</v>
      </c>
      <c r="Z15" s="92">
        <v>1.7</v>
      </c>
      <c r="AA15" s="92">
        <v>1.7</v>
      </c>
    </row>
    <row r="16" spans="1:29" x14ac:dyDescent="0.25">
      <c r="A16" s="33">
        <f t="shared" si="9"/>
        <v>13</v>
      </c>
      <c r="B16" s="19">
        <v>22004</v>
      </c>
      <c r="C16" s="19" t="s">
        <v>348</v>
      </c>
      <c r="D16" s="19" t="s">
        <v>336</v>
      </c>
      <c r="E16" s="19" t="s">
        <v>337</v>
      </c>
      <c r="F16" s="19" t="s">
        <v>98</v>
      </c>
      <c r="G16" s="19" t="s">
        <v>346</v>
      </c>
      <c r="H16" s="19"/>
      <c r="I16" s="19"/>
      <c r="J16" s="19"/>
      <c r="K16" s="19"/>
      <c r="L16" s="19"/>
      <c r="M16" s="19"/>
      <c r="N16" s="19"/>
      <c r="O16" s="19"/>
      <c r="P16" s="19"/>
      <c r="Q16" s="19" t="s">
        <v>338</v>
      </c>
      <c r="R16" s="19">
        <v>1</v>
      </c>
      <c r="S16" s="19">
        <v>310</v>
      </c>
      <c r="T16" s="19">
        <v>0.5</v>
      </c>
      <c r="U16" s="20">
        <f t="shared" si="10"/>
        <v>2.2134146341463414</v>
      </c>
      <c r="V16" s="19" t="s">
        <v>350</v>
      </c>
      <c r="W16" s="19" t="s">
        <v>340</v>
      </c>
      <c r="X16" s="19"/>
      <c r="Y16" s="21">
        <v>6.6</v>
      </c>
      <c r="Z16" s="92">
        <v>1.7</v>
      </c>
      <c r="AA16" s="92">
        <v>1.7</v>
      </c>
    </row>
    <row r="17" spans="1:27" x14ac:dyDescent="0.25">
      <c r="A17" s="33">
        <f t="shared" si="9"/>
        <v>14</v>
      </c>
      <c r="B17" s="19">
        <v>22006</v>
      </c>
      <c r="C17" s="19" t="s">
        <v>351</v>
      </c>
      <c r="D17" s="19" t="s">
        <v>336</v>
      </c>
      <c r="E17" s="22" t="s">
        <v>352</v>
      </c>
      <c r="F17" s="19" t="s">
        <v>353</v>
      </c>
      <c r="G17" s="19" t="s">
        <v>110</v>
      </c>
      <c r="H17" s="19"/>
      <c r="I17" s="19"/>
      <c r="J17" s="19"/>
      <c r="K17" s="19" t="s">
        <v>354</v>
      </c>
      <c r="L17" s="19"/>
      <c r="M17" s="19"/>
      <c r="N17" s="19"/>
      <c r="O17" s="19"/>
      <c r="P17" s="19"/>
      <c r="Q17" s="19" t="s">
        <v>338</v>
      </c>
      <c r="R17" s="19">
        <v>1</v>
      </c>
      <c r="S17" s="19">
        <v>310</v>
      </c>
      <c r="T17" s="19">
        <v>5</v>
      </c>
      <c r="U17" s="20">
        <f t="shared" si="10"/>
        <v>1.4756097560975614</v>
      </c>
      <c r="V17" s="19" t="s">
        <v>355</v>
      </c>
      <c r="W17" s="19" t="s">
        <v>340</v>
      </c>
      <c r="X17" s="19"/>
      <c r="Y17" s="21">
        <v>4.4000000000000004</v>
      </c>
      <c r="Z17" s="92">
        <v>1.7</v>
      </c>
      <c r="AA17" s="92">
        <v>1.7</v>
      </c>
    </row>
    <row r="18" spans="1:27" x14ac:dyDescent="0.25">
      <c r="A18" s="33">
        <f t="shared" si="9"/>
        <v>15</v>
      </c>
      <c r="B18" s="19">
        <v>22006</v>
      </c>
      <c r="C18" s="19" t="s">
        <v>351</v>
      </c>
      <c r="D18" s="19" t="s">
        <v>336</v>
      </c>
      <c r="E18" s="22" t="s">
        <v>352</v>
      </c>
      <c r="F18" s="19" t="s">
        <v>353</v>
      </c>
      <c r="G18" s="19" t="s">
        <v>126</v>
      </c>
      <c r="H18" s="19"/>
      <c r="I18" s="19"/>
      <c r="J18" s="19"/>
      <c r="K18" s="19" t="s">
        <v>354</v>
      </c>
      <c r="L18" s="19"/>
      <c r="M18" s="19"/>
      <c r="N18" s="19"/>
      <c r="O18" s="19"/>
      <c r="P18" s="19"/>
      <c r="Q18" s="19" t="s">
        <v>338</v>
      </c>
      <c r="R18" s="19">
        <v>1</v>
      </c>
      <c r="S18" s="19">
        <v>310</v>
      </c>
      <c r="T18" s="19">
        <v>3.5</v>
      </c>
      <c r="U18" s="20">
        <f t="shared" si="10"/>
        <v>1.4756097560975614</v>
      </c>
      <c r="V18" s="19" t="s">
        <v>355</v>
      </c>
      <c r="W18" s="19" t="s">
        <v>340</v>
      </c>
      <c r="X18" s="19"/>
      <c r="Y18" s="21">
        <v>4.4000000000000004</v>
      </c>
      <c r="Z18" s="92">
        <v>1.7</v>
      </c>
      <c r="AA18" s="92">
        <v>1.7</v>
      </c>
    </row>
    <row r="19" spans="1:27" x14ac:dyDescent="0.25">
      <c r="A19" s="33">
        <f t="shared" si="9"/>
        <v>16</v>
      </c>
      <c r="B19" s="19">
        <v>22006</v>
      </c>
      <c r="C19" s="19" t="s">
        <v>351</v>
      </c>
      <c r="D19" s="19" t="s">
        <v>336</v>
      </c>
      <c r="E19" s="22" t="s">
        <v>352</v>
      </c>
      <c r="F19" s="19" t="s">
        <v>353</v>
      </c>
      <c r="G19" s="19" t="s">
        <v>346</v>
      </c>
      <c r="H19" s="19"/>
      <c r="I19" s="19"/>
      <c r="J19" s="19"/>
      <c r="K19" s="19" t="s">
        <v>354</v>
      </c>
      <c r="L19" s="19"/>
      <c r="M19" s="19"/>
      <c r="N19" s="19"/>
      <c r="O19" s="19"/>
      <c r="P19" s="19"/>
      <c r="Q19" s="19" t="s">
        <v>338</v>
      </c>
      <c r="R19" s="19">
        <v>1</v>
      </c>
      <c r="S19" s="19">
        <v>310</v>
      </c>
      <c r="T19" s="19">
        <v>2.5</v>
      </c>
      <c r="U19" s="20">
        <f t="shared" si="10"/>
        <v>1.4756097560975614</v>
      </c>
      <c r="V19" s="19" t="s">
        <v>355</v>
      </c>
      <c r="W19" s="19" t="s">
        <v>340</v>
      </c>
      <c r="X19" s="19"/>
      <c r="Y19" s="21">
        <v>4.4000000000000004</v>
      </c>
      <c r="Z19" s="92">
        <v>1.7</v>
      </c>
      <c r="AA19" s="92">
        <v>1.7</v>
      </c>
    </row>
    <row r="20" spans="1:27" x14ac:dyDescent="0.25">
      <c r="A20" s="33">
        <f t="shared" si="9"/>
        <v>17</v>
      </c>
      <c r="B20" s="19">
        <v>22006</v>
      </c>
      <c r="C20" s="19" t="s">
        <v>351</v>
      </c>
      <c r="D20" s="19" t="s">
        <v>336</v>
      </c>
      <c r="E20" s="19" t="s">
        <v>356</v>
      </c>
      <c r="F20" s="19" t="s">
        <v>353</v>
      </c>
      <c r="G20" s="19" t="s">
        <v>110</v>
      </c>
      <c r="H20" s="19"/>
      <c r="I20" s="19"/>
      <c r="J20" s="19"/>
      <c r="K20" s="19" t="s">
        <v>354</v>
      </c>
      <c r="L20" s="19"/>
      <c r="M20" s="19"/>
      <c r="N20" s="19"/>
      <c r="O20" s="19"/>
      <c r="P20" s="19"/>
      <c r="Q20" s="19" t="s">
        <v>338</v>
      </c>
      <c r="R20" s="19">
        <v>1</v>
      </c>
      <c r="S20" s="19">
        <v>310</v>
      </c>
      <c r="T20" s="19">
        <v>5</v>
      </c>
      <c r="U20" s="20">
        <f t="shared" si="10"/>
        <v>1.4756097560975614</v>
      </c>
      <c r="V20" s="19" t="s">
        <v>355</v>
      </c>
      <c r="W20" s="19" t="s">
        <v>340</v>
      </c>
      <c r="X20" s="19"/>
      <c r="Y20" s="21">
        <v>4.4000000000000004</v>
      </c>
      <c r="Z20" s="92">
        <v>1.7</v>
      </c>
      <c r="AA20" s="92">
        <v>1.7</v>
      </c>
    </row>
    <row r="21" spans="1:27" x14ac:dyDescent="0.25">
      <c r="A21" s="33">
        <f t="shared" si="9"/>
        <v>18</v>
      </c>
      <c r="B21" s="19">
        <v>22006</v>
      </c>
      <c r="C21" s="19" t="s">
        <v>351</v>
      </c>
      <c r="D21" s="19" t="s">
        <v>336</v>
      </c>
      <c r="E21" s="19" t="s">
        <v>356</v>
      </c>
      <c r="F21" s="19" t="s">
        <v>353</v>
      </c>
      <c r="G21" s="19" t="s">
        <v>126</v>
      </c>
      <c r="H21" s="19"/>
      <c r="I21" s="19"/>
      <c r="J21" s="19"/>
      <c r="K21" s="19" t="s">
        <v>354</v>
      </c>
      <c r="L21" s="19"/>
      <c r="M21" s="19"/>
      <c r="N21" s="19"/>
      <c r="O21" s="19"/>
      <c r="P21" s="19"/>
      <c r="Q21" s="19" t="s">
        <v>338</v>
      </c>
      <c r="R21" s="19">
        <v>1</v>
      </c>
      <c r="S21" s="19">
        <v>310</v>
      </c>
      <c r="T21" s="19">
        <v>3.5</v>
      </c>
      <c r="U21" s="20">
        <f t="shared" si="10"/>
        <v>1.4756097560975614</v>
      </c>
      <c r="V21" s="19" t="s">
        <v>355</v>
      </c>
      <c r="W21" s="19" t="s">
        <v>340</v>
      </c>
      <c r="X21" s="19"/>
      <c r="Y21" s="21">
        <v>4.4000000000000004</v>
      </c>
      <c r="Z21" s="92">
        <v>1.7</v>
      </c>
      <c r="AA21" s="92">
        <v>1.7</v>
      </c>
    </row>
    <row r="22" spans="1:27" x14ac:dyDescent="0.25">
      <c r="A22" s="33">
        <f t="shared" si="9"/>
        <v>19</v>
      </c>
      <c r="B22" s="19">
        <v>22006</v>
      </c>
      <c r="C22" s="19" t="s">
        <v>351</v>
      </c>
      <c r="D22" s="19" t="s">
        <v>336</v>
      </c>
      <c r="E22" s="19" t="s">
        <v>356</v>
      </c>
      <c r="F22" s="19" t="s">
        <v>353</v>
      </c>
      <c r="G22" s="19" t="s">
        <v>346</v>
      </c>
      <c r="H22" s="19"/>
      <c r="I22" s="19"/>
      <c r="J22" s="19"/>
      <c r="K22" s="19" t="s">
        <v>354</v>
      </c>
      <c r="L22" s="19"/>
      <c r="M22" s="19"/>
      <c r="N22" s="19"/>
      <c r="O22" s="19"/>
      <c r="P22" s="19"/>
      <c r="Q22" s="19" t="s">
        <v>338</v>
      </c>
      <c r="R22" s="19">
        <v>1</v>
      </c>
      <c r="S22" s="19">
        <v>310</v>
      </c>
      <c r="T22" s="19">
        <v>2.5</v>
      </c>
      <c r="U22" s="20">
        <f t="shared" si="10"/>
        <v>1.4756097560975614</v>
      </c>
      <c r="V22" s="19" t="s">
        <v>355</v>
      </c>
      <c r="W22" s="19" t="s">
        <v>340</v>
      </c>
      <c r="X22" s="19"/>
      <c r="Y22" s="21">
        <v>4.4000000000000004</v>
      </c>
      <c r="Z22" s="92">
        <v>1.7</v>
      </c>
      <c r="AA22" s="92">
        <v>1.7</v>
      </c>
    </row>
    <row r="23" spans="1:27" x14ac:dyDescent="0.25">
      <c r="A23" s="33">
        <f t="shared" si="9"/>
        <v>20</v>
      </c>
      <c r="B23" s="19">
        <v>22008</v>
      </c>
      <c r="C23" s="19" t="s">
        <v>357</v>
      </c>
      <c r="D23" s="19" t="s">
        <v>336</v>
      </c>
      <c r="E23" s="19" t="s">
        <v>349</v>
      </c>
      <c r="F23" s="19" t="s">
        <v>122</v>
      </c>
      <c r="G23" s="19" t="s">
        <v>110</v>
      </c>
      <c r="H23" s="19"/>
      <c r="I23" s="19"/>
      <c r="J23" s="19"/>
      <c r="K23" s="19"/>
      <c r="L23" s="19"/>
      <c r="M23" s="19"/>
      <c r="N23" s="19"/>
      <c r="O23" s="19"/>
      <c r="P23" s="19"/>
      <c r="Q23" s="19" t="s">
        <v>338</v>
      </c>
      <c r="R23" s="19">
        <v>1</v>
      </c>
      <c r="S23" s="19">
        <v>310</v>
      </c>
      <c r="T23" s="19">
        <v>4</v>
      </c>
      <c r="U23" s="20">
        <f t="shared" si="10"/>
        <v>2.3106707317073174</v>
      </c>
      <c r="V23" s="19" t="s">
        <v>358</v>
      </c>
      <c r="W23" s="19" t="s">
        <v>340</v>
      </c>
      <c r="X23" s="19"/>
      <c r="Y23" s="21">
        <v>6.89</v>
      </c>
      <c r="Z23" s="92">
        <v>1.7</v>
      </c>
      <c r="AA23" s="92">
        <v>1.7</v>
      </c>
    </row>
    <row r="24" spans="1:27" x14ac:dyDescent="0.25">
      <c r="A24" s="33">
        <f t="shared" si="9"/>
        <v>21</v>
      </c>
      <c r="B24" s="19">
        <v>22008</v>
      </c>
      <c r="C24" s="19" t="s">
        <v>357</v>
      </c>
      <c r="D24" s="19" t="s">
        <v>336</v>
      </c>
      <c r="E24" s="19" t="s">
        <v>349</v>
      </c>
      <c r="F24" s="19" t="s">
        <v>122</v>
      </c>
      <c r="G24" s="19" t="s">
        <v>126</v>
      </c>
      <c r="H24" s="19"/>
      <c r="I24" s="19"/>
      <c r="J24" s="19"/>
      <c r="K24" s="19"/>
      <c r="L24" s="19"/>
      <c r="M24" s="19"/>
      <c r="N24" s="19"/>
      <c r="O24" s="19"/>
      <c r="P24" s="19"/>
      <c r="Q24" s="19" t="s">
        <v>338</v>
      </c>
      <c r="R24" s="19">
        <v>1</v>
      </c>
      <c r="S24" s="19">
        <v>310</v>
      </c>
      <c r="T24" s="19">
        <v>0.5</v>
      </c>
      <c r="U24" s="20">
        <f t="shared" si="10"/>
        <v>2.3106707317073174</v>
      </c>
      <c r="V24" s="19" t="s">
        <v>358</v>
      </c>
      <c r="W24" s="19" t="s">
        <v>340</v>
      </c>
      <c r="X24" s="19"/>
      <c r="Y24" s="21">
        <v>6.89</v>
      </c>
      <c r="Z24" s="92">
        <v>1.7</v>
      </c>
      <c r="AA24" s="92">
        <v>1.7</v>
      </c>
    </row>
    <row r="25" spans="1:27" x14ac:dyDescent="0.25">
      <c r="A25" s="33">
        <f t="shared" si="9"/>
        <v>22</v>
      </c>
      <c r="B25" s="19">
        <v>22008</v>
      </c>
      <c r="C25" s="19" t="s">
        <v>357</v>
      </c>
      <c r="D25" s="19" t="s">
        <v>336</v>
      </c>
      <c r="E25" s="19" t="s">
        <v>349</v>
      </c>
      <c r="F25" s="19" t="s">
        <v>122</v>
      </c>
      <c r="G25" s="19" t="s">
        <v>346</v>
      </c>
      <c r="H25" s="19"/>
      <c r="I25" s="19"/>
      <c r="J25" s="19"/>
      <c r="K25" s="19"/>
      <c r="L25" s="19"/>
      <c r="M25" s="19"/>
      <c r="N25" s="19"/>
      <c r="O25" s="19"/>
      <c r="P25" s="19"/>
      <c r="Q25" s="19" t="s">
        <v>338</v>
      </c>
      <c r="R25" s="19">
        <v>1</v>
      </c>
      <c r="S25" s="19">
        <v>310</v>
      </c>
      <c r="T25" s="19">
        <v>2.5</v>
      </c>
      <c r="U25" s="20">
        <f t="shared" si="10"/>
        <v>2.3106707317073174</v>
      </c>
      <c r="V25" s="19" t="s">
        <v>358</v>
      </c>
      <c r="W25" s="19" t="s">
        <v>340</v>
      </c>
      <c r="X25" s="19"/>
      <c r="Y25" s="21">
        <v>6.89</v>
      </c>
      <c r="Z25" s="92">
        <v>1.7</v>
      </c>
      <c r="AA25" s="92">
        <v>1.7</v>
      </c>
    </row>
    <row r="26" spans="1:27" x14ac:dyDescent="0.25">
      <c r="A26" s="33">
        <f t="shared" si="9"/>
        <v>23</v>
      </c>
      <c r="B26" s="19">
        <v>22008</v>
      </c>
      <c r="C26" s="19" t="s">
        <v>357</v>
      </c>
      <c r="D26" s="19" t="s">
        <v>336</v>
      </c>
      <c r="E26" s="19" t="s">
        <v>359</v>
      </c>
      <c r="F26" s="19" t="s">
        <v>122</v>
      </c>
      <c r="G26" s="19" t="s">
        <v>110</v>
      </c>
      <c r="H26" s="19"/>
      <c r="I26" s="19"/>
      <c r="J26" s="19"/>
      <c r="K26" s="19"/>
      <c r="L26" s="19"/>
      <c r="M26" s="19"/>
      <c r="N26" s="19"/>
      <c r="O26" s="19"/>
      <c r="P26" s="19"/>
      <c r="Q26" s="19" t="s">
        <v>338</v>
      </c>
      <c r="R26" s="19">
        <v>1</v>
      </c>
      <c r="S26" s="19">
        <v>310</v>
      </c>
      <c r="T26" s="19">
        <v>4</v>
      </c>
      <c r="U26" s="20">
        <f t="shared" si="10"/>
        <v>2.3106707317073174</v>
      </c>
      <c r="V26" s="19" t="s">
        <v>358</v>
      </c>
      <c r="W26" s="19" t="s">
        <v>340</v>
      </c>
      <c r="X26" s="19"/>
      <c r="Y26" s="21">
        <v>6.89</v>
      </c>
      <c r="Z26" s="92">
        <v>1.7</v>
      </c>
      <c r="AA26" s="92">
        <v>1.7</v>
      </c>
    </row>
    <row r="27" spans="1:27" x14ac:dyDescent="0.25">
      <c r="A27" s="33">
        <f t="shared" si="9"/>
        <v>24</v>
      </c>
      <c r="B27" s="19">
        <v>22008</v>
      </c>
      <c r="C27" s="19" t="s">
        <v>357</v>
      </c>
      <c r="D27" s="19" t="s">
        <v>336</v>
      </c>
      <c r="E27" s="19" t="s">
        <v>359</v>
      </c>
      <c r="F27" s="19" t="s">
        <v>122</v>
      </c>
      <c r="G27" s="19" t="s">
        <v>346</v>
      </c>
      <c r="H27" s="19"/>
      <c r="I27" s="19"/>
      <c r="J27" s="19"/>
      <c r="K27" s="19"/>
      <c r="L27" s="19"/>
      <c r="M27" s="19"/>
      <c r="N27" s="19"/>
      <c r="O27" s="19"/>
      <c r="P27" s="19"/>
      <c r="Q27" s="19" t="s">
        <v>338</v>
      </c>
      <c r="R27" s="19">
        <v>1</v>
      </c>
      <c r="S27" s="19">
        <v>310</v>
      </c>
      <c r="T27" s="19">
        <v>2.5</v>
      </c>
      <c r="U27" s="20">
        <f t="shared" si="10"/>
        <v>2.3106707317073174</v>
      </c>
      <c r="V27" s="19" t="s">
        <v>358</v>
      </c>
      <c r="W27" s="19" t="s">
        <v>340</v>
      </c>
      <c r="X27" s="19"/>
      <c r="Y27" s="21">
        <v>6.89</v>
      </c>
      <c r="Z27" s="92">
        <v>1.7</v>
      </c>
      <c r="AA27" s="92">
        <v>1.7</v>
      </c>
    </row>
    <row r="28" spans="1:27" x14ac:dyDescent="0.25">
      <c r="A28" s="33">
        <f t="shared" si="9"/>
        <v>25</v>
      </c>
      <c r="B28" s="19">
        <v>22008</v>
      </c>
      <c r="C28" s="19" t="s">
        <v>357</v>
      </c>
      <c r="D28" s="19" t="s">
        <v>336</v>
      </c>
      <c r="E28" s="19" t="s">
        <v>359</v>
      </c>
      <c r="F28" s="19" t="s">
        <v>122</v>
      </c>
      <c r="G28" s="19" t="s">
        <v>126</v>
      </c>
      <c r="H28" s="19"/>
      <c r="I28" s="19"/>
      <c r="J28" s="19"/>
      <c r="K28" s="19"/>
      <c r="L28" s="19"/>
      <c r="M28" s="19"/>
      <c r="N28" s="19"/>
      <c r="O28" s="19"/>
      <c r="P28" s="19"/>
      <c r="Q28" s="19" t="s">
        <v>338</v>
      </c>
      <c r="R28" s="19">
        <v>1</v>
      </c>
      <c r="S28" s="19">
        <v>310</v>
      </c>
      <c r="T28" s="19">
        <v>0.5</v>
      </c>
      <c r="U28" s="20">
        <f t="shared" si="10"/>
        <v>2.3106707317073174</v>
      </c>
      <c r="V28" s="19" t="s">
        <v>358</v>
      </c>
      <c r="W28" s="19" t="s">
        <v>340</v>
      </c>
      <c r="X28" s="19"/>
      <c r="Y28" s="21">
        <v>6.89</v>
      </c>
      <c r="Z28" s="92">
        <v>1.7</v>
      </c>
      <c r="AA28" s="92">
        <v>1.7</v>
      </c>
    </row>
    <row r="29" spans="1:27" x14ac:dyDescent="0.25">
      <c r="A29" s="33">
        <f t="shared" si="9"/>
        <v>26</v>
      </c>
      <c r="B29" s="19">
        <v>17090</v>
      </c>
      <c r="C29" s="19" t="s">
        <v>360</v>
      </c>
      <c r="D29" s="19" t="s">
        <v>336</v>
      </c>
      <c r="E29" s="19" t="s">
        <v>240</v>
      </c>
      <c r="F29" s="19" t="s">
        <v>361</v>
      </c>
      <c r="G29" s="19"/>
      <c r="H29" s="19"/>
      <c r="I29" s="19"/>
      <c r="J29" s="19"/>
      <c r="K29" s="19"/>
      <c r="L29" s="19"/>
      <c r="M29" s="19" t="s">
        <v>362</v>
      </c>
      <c r="N29" s="19"/>
      <c r="O29" s="19"/>
      <c r="P29" s="19"/>
      <c r="Q29" s="19" t="s">
        <v>338</v>
      </c>
      <c r="R29" s="19">
        <v>1</v>
      </c>
      <c r="S29" s="19"/>
      <c r="T29" s="19">
        <v>150</v>
      </c>
      <c r="U29" s="20">
        <f t="shared" si="10"/>
        <v>0.43932926829268304</v>
      </c>
      <c r="V29" s="19" t="s">
        <v>363</v>
      </c>
      <c r="W29" s="19" t="s">
        <v>340</v>
      </c>
      <c r="X29" s="19"/>
      <c r="Y29" s="21">
        <v>1.31</v>
      </c>
      <c r="Z29" s="92">
        <v>1.7</v>
      </c>
      <c r="AA29" s="92">
        <v>1.7</v>
      </c>
    </row>
    <row r="30" spans="1:27" x14ac:dyDescent="0.25">
      <c r="A30" s="33">
        <f t="shared" si="9"/>
        <v>27</v>
      </c>
      <c r="B30" s="19">
        <v>17091</v>
      </c>
      <c r="C30" s="19" t="s">
        <v>364</v>
      </c>
      <c r="D30" s="19" t="s">
        <v>336</v>
      </c>
      <c r="E30" s="19" t="s">
        <v>240</v>
      </c>
      <c r="F30" s="19" t="s">
        <v>361</v>
      </c>
      <c r="G30" s="19"/>
      <c r="H30" s="19"/>
      <c r="I30" s="19"/>
      <c r="J30" s="19"/>
      <c r="K30" s="19"/>
      <c r="L30" s="19"/>
      <c r="M30" s="19" t="s">
        <v>362</v>
      </c>
      <c r="N30" s="19"/>
      <c r="O30" s="19"/>
      <c r="P30" s="19"/>
      <c r="Q30" s="19" t="s">
        <v>338</v>
      </c>
      <c r="R30" s="19">
        <v>1</v>
      </c>
      <c r="S30" s="19"/>
      <c r="T30" s="19">
        <v>150</v>
      </c>
      <c r="U30" s="20">
        <f t="shared" si="10"/>
        <v>0.21128048780487807</v>
      </c>
      <c r="V30" s="19" t="s">
        <v>365</v>
      </c>
      <c r="W30" s="19" t="s">
        <v>340</v>
      </c>
      <c r="X30" s="19"/>
      <c r="Y30" s="21">
        <v>0.63</v>
      </c>
      <c r="Z30" s="92">
        <v>1.7</v>
      </c>
      <c r="AA30" s="92">
        <v>1.7</v>
      </c>
    </row>
    <row r="31" spans="1:27" x14ac:dyDescent="0.25">
      <c r="A31" s="33">
        <f t="shared" si="9"/>
        <v>28</v>
      </c>
      <c r="B31" s="19">
        <v>17093</v>
      </c>
      <c r="C31" s="19" t="s">
        <v>366</v>
      </c>
      <c r="D31" s="19" t="s">
        <v>336</v>
      </c>
      <c r="E31" s="19" t="s">
        <v>240</v>
      </c>
      <c r="F31" s="19" t="s">
        <v>361</v>
      </c>
      <c r="G31" s="19"/>
      <c r="H31" s="19"/>
      <c r="I31" s="19"/>
      <c r="J31" s="19"/>
      <c r="K31" s="19"/>
      <c r="L31" s="19"/>
      <c r="M31" s="19" t="s">
        <v>362</v>
      </c>
      <c r="N31" s="19"/>
      <c r="O31" s="19"/>
      <c r="P31" s="19"/>
      <c r="Q31" s="19" t="s">
        <v>338</v>
      </c>
      <c r="R31" s="19">
        <v>1</v>
      </c>
      <c r="S31" s="19"/>
      <c r="T31" s="19">
        <v>150</v>
      </c>
      <c r="U31" s="20">
        <f t="shared" si="10"/>
        <v>0.66402439024390247</v>
      </c>
      <c r="V31" s="19" t="s">
        <v>367</v>
      </c>
      <c r="W31" s="19" t="s">
        <v>340</v>
      </c>
      <c r="X31" s="19"/>
      <c r="Y31" s="21">
        <v>1.98</v>
      </c>
      <c r="Z31" s="92">
        <v>1.7</v>
      </c>
      <c r="AA31" s="92">
        <v>1.7</v>
      </c>
    </row>
    <row r="32" spans="1:27" x14ac:dyDescent="0.25">
      <c r="A32" s="33">
        <f t="shared" si="9"/>
        <v>29</v>
      </c>
      <c r="B32" s="19">
        <v>17090</v>
      </c>
      <c r="C32" s="19" t="s">
        <v>360</v>
      </c>
      <c r="D32" s="19" t="s">
        <v>336</v>
      </c>
      <c r="E32" s="19" t="s">
        <v>368</v>
      </c>
      <c r="F32" s="19"/>
      <c r="G32" s="19"/>
      <c r="H32" s="19"/>
      <c r="I32" s="19"/>
      <c r="J32" s="19"/>
      <c r="K32" s="19"/>
      <c r="L32" s="19"/>
      <c r="M32" s="19" t="s">
        <v>22</v>
      </c>
      <c r="N32" s="19"/>
      <c r="O32" s="19"/>
      <c r="P32" s="19"/>
      <c r="Q32" s="19" t="s">
        <v>338</v>
      </c>
      <c r="R32" s="19">
        <v>1</v>
      </c>
      <c r="S32" s="19">
        <v>310</v>
      </c>
      <c r="T32" s="19"/>
      <c r="U32" s="20">
        <f t="shared" si="10"/>
        <v>0.43932926829268304</v>
      </c>
      <c r="V32" s="19" t="s">
        <v>369</v>
      </c>
      <c r="W32" s="19" t="s">
        <v>340</v>
      </c>
      <c r="X32" s="19"/>
      <c r="Y32" s="21">
        <v>1.31</v>
      </c>
      <c r="Z32" s="92">
        <v>1.7</v>
      </c>
      <c r="AA32" s="92">
        <v>1.7</v>
      </c>
    </row>
    <row r="33" spans="1:27" x14ac:dyDescent="0.25">
      <c r="A33" s="33">
        <f t="shared" si="9"/>
        <v>30</v>
      </c>
      <c r="B33" s="19">
        <v>17091</v>
      </c>
      <c r="C33" s="19" t="s">
        <v>364</v>
      </c>
      <c r="D33" s="19" t="s">
        <v>336</v>
      </c>
      <c r="E33" s="19" t="s">
        <v>368</v>
      </c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 t="s">
        <v>338</v>
      </c>
      <c r="R33" s="19">
        <v>1</v>
      </c>
      <c r="S33" s="19">
        <v>310</v>
      </c>
      <c r="T33" s="19"/>
      <c r="U33" s="20">
        <f t="shared" si="10"/>
        <v>0.21128048780487807</v>
      </c>
      <c r="V33" s="19" t="s">
        <v>365</v>
      </c>
      <c r="W33" s="19" t="s">
        <v>340</v>
      </c>
      <c r="X33" s="19"/>
      <c r="Y33" s="21">
        <v>0.63</v>
      </c>
      <c r="Z33" s="92">
        <v>1.7</v>
      </c>
      <c r="AA33" s="92">
        <v>1.7</v>
      </c>
    </row>
    <row r="34" spans="1:27" x14ac:dyDescent="0.25">
      <c r="A34" s="33">
        <f t="shared" si="9"/>
        <v>31</v>
      </c>
      <c r="B34" s="19">
        <v>17093</v>
      </c>
      <c r="C34" s="19" t="s">
        <v>366</v>
      </c>
      <c r="D34" s="19" t="s">
        <v>336</v>
      </c>
      <c r="E34" s="19" t="s">
        <v>368</v>
      </c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 t="s">
        <v>338</v>
      </c>
      <c r="R34" s="19">
        <v>1</v>
      </c>
      <c r="S34" s="19">
        <v>310</v>
      </c>
      <c r="T34" s="19"/>
      <c r="U34" s="20">
        <f t="shared" si="10"/>
        <v>0.66402439024390247</v>
      </c>
      <c r="V34" s="19" t="s">
        <v>367</v>
      </c>
      <c r="W34" s="19" t="s">
        <v>340</v>
      </c>
      <c r="X34" s="19"/>
      <c r="Y34" s="21">
        <v>1.98</v>
      </c>
      <c r="Z34" s="92">
        <v>1.7</v>
      </c>
      <c r="AA34" s="92">
        <v>1.7</v>
      </c>
    </row>
    <row r="35" spans="1:27" x14ac:dyDescent="0.25">
      <c r="A35" s="33" t="s">
        <v>1598</v>
      </c>
      <c r="B35" s="19">
        <v>17011</v>
      </c>
      <c r="C35" s="19" t="s">
        <v>370</v>
      </c>
      <c r="D35" s="19" t="s">
        <v>336</v>
      </c>
      <c r="E35" s="22" t="s">
        <v>240</v>
      </c>
      <c r="F35" s="19" t="s">
        <v>361</v>
      </c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 t="s">
        <v>338</v>
      </c>
      <c r="R35" s="19">
        <v>1</v>
      </c>
      <c r="S35" s="19"/>
      <c r="T35" s="19">
        <v>162.5</v>
      </c>
      <c r="U35" s="20">
        <f t="shared" si="10"/>
        <v>1.5259146341463414</v>
      </c>
      <c r="V35" s="19" t="s">
        <v>371</v>
      </c>
      <c r="W35" s="19" t="s">
        <v>340</v>
      </c>
      <c r="X35" s="19"/>
      <c r="Y35" s="21">
        <v>4.55</v>
      </c>
      <c r="Z35" s="92">
        <v>1.7</v>
      </c>
      <c r="AA35" s="92">
        <v>1.7</v>
      </c>
    </row>
    <row r="36" spans="1:27" x14ac:dyDescent="0.25">
      <c r="A36" s="33">
        <f t="shared" si="9"/>
        <v>33</v>
      </c>
      <c r="B36" s="19">
        <v>17011</v>
      </c>
      <c r="C36" s="19" t="s">
        <v>370</v>
      </c>
      <c r="D36" s="19" t="s">
        <v>336</v>
      </c>
      <c r="E36" s="22" t="s">
        <v>372</v>
      </c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 t="s">
        <v>338</v>
      </c>
      <c r="R36" s="19">
        <v>1</v>
      </c>
      <c r="S36" s="19">
        <v>310</v>
      </c>
      <c r="T36" s="19">
        <v>12.5</v>
      </c>
      <c r="U36" s="20">
        <f t="shared" si="10"/>
        <v>1.5259146341463414</v>
      </c>
      <c r="V36" s="19" t="s">
        <v>371</v>
      </c>
      <c r="W36" s="19" t="s">
        <v>340</v>
      </c>
      <c r="X36" s="19"/>
      <c r="Y36" s="21">
        <v>4.55</v>
      </c>
      <c r="Z36" s="92">
        <v>1.7</v>
      </c>
      <c r="AA36" s="92">
        <v>1.7</v>
      </c>
    </row>
    <row r="37" spans="1:27" x14ac:dyDescent="0.25">
      <c r="A37" s="33">
        <f t="shared" si="9"/>
        <v>34</v>
      </c>
      <c r="B37" s="19">
        <v>17011</v>
      </c>
      <c r="C37" s="19" t="s">
        <v>370</v>
      </c>
      <c r="D37" s="19" t="s">
        <v>336</v>
      </c>
      <c r="E37" s="22" t="s">
        <v>373</v>
      </c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 t="s">
        <v>338</v>
      </c>
      <c r="R37" s="19">
        <v>1</v>
      </c>
      <c r="S37" s="19">
        <v>310</v>
      </c>
      <c r="T37" s="19">
        <v>12.5</v>
      </c>
      <c r="U37" s="20">
        <f t="shared" si="10"/>
        <v>1.5259146341463414</v>
      </c>
      <c r="V37" s="19" t="s">
        <v>371</v>
      </c>
      <c r="W37" s="19" t="s">
        <v>340</v>
      </c>
      <c r="X37" s="19"/>
      <c r="Y37" s="21">
        <v>4.55</v>
      </c>
      <c r="Z37" s="92">
        <v>1.7</v>
      </c>
      <c r="AA37" s="92">
        <v>1.7</v>
      </c>
    </row>
    <row r="38" spans="1:27" x14ac:dyDescent="0.25">
      <c r="A38" s="33">
        <f t="shared" si="9"/>
        <v>35</v>
      </c>
      <c r="B38" s="19">
        <v>17041</v>
      </c>
      <c r="C38" s="19" t="s">
        <v>374</v>
      </c>
      <c r="D38" s="19" t="s">
        <v>336</v>
      </c>
      <c r="E38" s="19" t="s">
        <v>375</v>
      </c>
      <c r="F38" s="19" t="s">
        <v>203</v>
      </c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 t="s">
        <v>338</v>
      </c>
      <c r="R38" s="19">
        <v>1</v>
      </c>
      <c r="S38" s="19">
        <v>310</v>
      </c>
      <c r="T38" s="19">
        <v>21</v>
      </c>
      <c r="U38" s="20">
        <f t="shared" si="10"/>
        <v>2.4649390243902443</v>
      </c>
      <c r="V38" s="19" t="s">
        <v>376</v>
      </c>
      <c r="W38" s="19" t="s">
        <v>340</v>
      </c>
      <c r="X38" s="19"/>
      <c r="Y38" s="21">
        <v>7.35</v>
      </c>
      <c r="Z38" s="92">
        <v>1.7</v>
      </c>
      <c r="AA38" s="92">
        <v>1.7</v>
      </c>
    </row>
    <row r="39" spans="1:27" x14ac:dyDescent="0.25">
      <c r="A39" s="33">
        <f t="shared" si="9"/>
        <v>36</v>
      </c>
      <c r="B39" s="19">
        <v>17041</v>
      </c>
      <c r="C39" s="19" t="s">
        <v>374</v>
      </c>
      <c r="D39" s="19" t="s">
        <v>336</v>
      </c>
      <c r="E39" s="22" t="s">
        <v>373</v>
      </c>
      <c r="F39" s="19" t="s">
        <v>203</v>
      </c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 t="s">
        <v>338</v>
      </c>
      <c r="R39" s="19">
        <v>1</v>
      </c>
      <c r="S39" s="19">
        <v>310</v>
      </c>
      <c r="T39" s="19">
        <v>21</v>
      </c>
      <c r="U39" s="20">
        <f t="shared" si="10"/>
        <v>2.4649390243902443</v>
      </c>
      <c r="V39" s="37" t="s">
        <v>376</v>
      </c>
      <c r="W39" s="19" t="s">
        <v>340</v>
      </c>
      <c r="X39" s="19"/>
      <c r="Y39" s="21">
        <v>7.35</v>
      </c>
      <c r="Z39" s="92">
        <v>1.7</v>
      </c>
      <c r="AA39" s="92">
        <v>1.7</v>
      </c>
    </row>
    <row r="40" spans="1:27" x14ac:dyDescent="0.25">
      <c r="A40" s="33">
        <f t="shared" si="9"/>
        <v>37</v>
      </c>
      <c r="B40" s="19">
        <v>17012</v>
      </c>
      <c r="C40" s="19" t="s">
        <v>377</v>
      </c>
      <c r="D40" s="19" t="s">
        <v>336</v>
      </c>
      <c r="E40" s="22" t="s">
        <v>240</v>
      </c>
      <c r="F40" s="19" t="s">
        <v>171</v>
      </c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 t="s">
        <v>338</v>
      </c>
      <c r="R40" s="19">
        <v>2</v>
      </c>
      <c r="S40" s="19"/>
      <c r="T40" s="19">
        <v>168.8</v>
      </c>
      <c r="U40" s="20">
        <f t="shared" si="10"/>
        <v>0.22469512195121955</v>
      </c>
      <c r="V40" s="19" t="s">
        <v>378</v>
      </c>
      <c r="W40" s="19" t="s">
        <v>340</v>
      </c>
      <c r="X40" s="19"/>
      <c r="Y40" s="21">
        <v>0.67</v>
      </c>
      <c r="Z40" s="92">
        <v>1.7</v>
      </c>
      <c r="AA40" s="92">
        <v>1.7</v>
      </c>
    </row>
    <row r="41" spans="1:27" x14ac:dyDescent="0.25">
      <c r="A41" s="33">
        <f t="shared" si="9"/>
        <v>38</v>
      </c>
      <c r="B41" s="19">
        <v>17012</v>
      </c>
      <c r="C41" s="19" t="s">
        <v>377</v>
      </c>
      <c r="D41" s="19" t="s">
        <v>336</v>
      </c>
      <c r="E41" s="19" t="s">
        <v>372</v>
      </c>
      <c r="F41" s="19" t="s">
        <v>379</v>
      </c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 t="s">
        <v>338</v>
      </c>
      <c r="R41" s="19">
        <v>2</v>
      </c>
      <c r="S41" s="19">
        <v>310</v>
      </c>
      <c r="T41" s="19">
        <v>18.8</v>
      </c>
      <c r="U41" s="20">
        <f t="shared" si="10"/>
        <v>0.22469512195121955</v>
      </c>
      <c r="V41" s="19" t="s">
        <v>378</v>
      </c>
      <c r="W41" s="19" t="s">
        <v>340</v>
      </c>
      <c r="X41" s="19"/>
      <c r="Y41" s="21">
        <v>0.67</v>
      </c>
      <c r="Z41" s="92">
        <v>1.7</v>
      </c>
      <c r="AA41" s="92">
        <v>1.7</v>
      </c>
    </row>
    <row r="42" spans="1:27" x14ac:dyDescent="0.25">
      <c r="A42" s="33">
        <f t="shared" si="9"/>
        <v>39</v>
      </c>
      <c r="B42" s="19">
        <v>17012</v>
      </c>
      <c r="C42" s="19" t="s">
        <v>377</v>
      </c>
      <c r="D42" s="19" t="s">
        <v>336</v>
      </c>
      <c r="E42" s="19" t="s">
        <v>380</v>
      </c>
      <c r="F42" s="19" t="s">
        <v>379</v>
      </c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 t="s">
        <v>338</v>
      </c>
      <c r="R42" s="19">
        <v>2</v>
      </c>
      <c r="S42" s="19">
        <v>310</v>
      </c>
      <c r="T42" s="19">
        <v>18.8</v>
      </c>
      <c r="U42" s="20">
        <f t="shared" si="10"/>
        <v>0.22469512195121955</v>
      </c>
      <c r="V42" s="19" t="s">
        <v>378</v>
      </c>
      <c r="W42" s="19" t="s">
        <v>340</v>
      </c>
      <c r="X42" s="19"/>
      <c r="Y42" s="21">
        <v>0.67</v>
      </c>
      <c r="Z42" s="92">
        <v>1.7</v>
      </c>
      <c r="AA42" s="92">
        <v>1.7</v>
      </c>
    </row>
    <row r="43" spans="1:27" x14ac:dyDescent="0.25">
      <c r="A43" s="33">
        <f t="shared" si="9"/>
        <v>40</v>
      </c>
      <c r="B43" s="19">
        <v>17021</v>
      </c>
      <c r="C43" s="19" t="s">
        <v>381</v>
      </c>
      <c r="D43" s="19" t="s">
        <v>336</v>
      </c>
      <c r="E43" s="19" t="s">
        <v>382</v>
      </c>
      <c r="F43" s="22" t="s">
        <v>383</v>
      </c>
      <c r="G43" s="19"/>
      <c r="H43" s="19" t="s">
        <v>384</v>
      </c>
      <c r="I43" s="19"/>
      <c r="J43" s="19"/>
      <c r="K43" s="19"/>
      <c r="L43" s="19"/>
      <c r="M43" s="19"/>
      <c r="N43" s="19"/>
      <c r="O43" s="19"/>
      <c r="P43" s="19"/>
      <c r="Q43" s="19" t="s">
        <v>338</v>
      </c>
      <c r="R43" s="19">
        <v>1</v>
      </c>
      <c r="S43" s="19"/>
      <c r="T43" s="19">
        <v>120</v>
      </c>
      <c r="U43" s="20">
        <f>Y43*T43*1.1/1000</f>
        <v>0.44087999999999999</v>
      </c>
      <c r="V43" s="19" t="s">
        <v>385</v>
      </c>
      <c r="W43" s="19" t="s">
        <v>340</v>
      </c>
      <c r="X43" s="19"/>
      <c r="Y43" s="72">
        <v>3.34</v>
      </c>
      <c r="Z43" s="92">
        <v>1.7</v>
      </c>
      <c r="AA43" s="92">
        <v>1.7</v>
      </c>
    </row>
    <row r="44" spans="1:27" x14ac:dyDescent="0.25">
      <c r="A44" s="33">
        <f t="shared" si="9"/>
        <v>41</v>
      </c>
      <c r="B44" s="19">
        <v>17021</v>
      </c>
      <c r="C44" s="19" t="s">
        <v>381</v>
      </c>
      <c r="D44" s="19" t="s">
        <v>336</v>
      </c>
      <c r="E44" s="19" t="s">
        <v>382</v>
      </c>
      <c r="F44" s="22" t="s">
        <v>386</v>
      </c>
      <c r="G44" s="19"/>
      <c r="H44" s="19" t="s">
        <v>384</v>
      </c>
      <c r="I44" s="19"/>
      <c r="J44" s="19"/>
      <c r="K44" s="19"/>
      <c r="L44" s="19"/>
      <c r="M44" s="19"/>
      <c r="N44" s="19"/>
      <c r="O44" s="19"/>
      <c r="P44" s="19"/>
      <c r="Q44" s="19" t="s">
        <v>338</v>
      </c>
      <c r="R44" s="19">
        <v>1</v>
      </c>
      <c r="S44" s="19"/>
      <c r="T44" s="19">
        <v>220</v>
      </c>
      <c r="U44" s="20">
        <f t="shared" ref="U44:U48" si="11">Y44*T44*1.1/1000</f>
        <v>0.80828</v>
      </c>
      <c r="V44" s="19" t="s">
        <v>385</v>
      </c>
      <c r="W44" s="19" t="s">
        <v>340</v>
      </c>
      <c r="X44" s="19"/>
      <c r="Y44" s="72">
        <v>3.34</v>
      </c>
      <c r="Z44" s="92">
        <v>1.7</v>
      </c>
      <c r="AA44" s="92">
        <v>1.7</v>
      </c>
    </row>
    <row r="45" spans="1:27" x14ac:dyDescent="0.25">
      <c r="A45" s="33">
        <f t="shared" si="9"/>
        <v>42</v>
      </c>
      <c r="B45" s="19">
        <v>17021</v>
      </c>
      <c r="C45" s="19" t="s">
        <v>381</v>
      </c>
      <c r="D45" s="19" t="s">
        <v>336</v>
      </c>
      <c r="E45" s="19" t="s">
        <v>382</v>
      </c>
      <c r="F45" s="22" t="s">
        <v>289</v>
      </c>
      <c r="G45" s="19"/>
      <c r="H45" s="19" t="s">
        <v>387</v>
      </c>
      <c r="I45" s="19"/>
      <c r="J45" s="19"/>
      <c r="K45" s="19"/>
      <c r="L45" s="19"/>
      <c r="M45" s="19"/>
      <c r="N45" s="19"/>
      <c r="O45" s="19"/>
      <c r="P45" s="19"/>
      <c r="Q45" s="19" t="s">
        <v>338</v>
      </c>
      <c r="R45" s="19">
        <v>1</v>
      </c>
      <c r="S45" s="19"/>
      <c r="T45" s="19">
        <v>380</v>
      </c>
      <c r="U45" s="20">
        <f t="shared" si="11"/>
        <v>1.39612</v>
      </c>
      <c r="V45" s="19" t="s">
        <v>385</v>
      </c>
      <c r="W45" s="19" t="s">
        <v>340</v>
      </c>
      <c r="X45" s="19"/>
      <c r="Y45" s="72">
        <v>3.34</v>
      </c>
      <c r="Z45" s="92">
        <v>1.7</v>
      </c>
      <c r="AA45" s="92">
        <v>1.7</v>
      </c>
    </row>
    <row r="46" spans="1:27" x14ac:dyDescent="0.25">
      <c r="A46" s="33">
        <f t="shared" si="9"/>
        <v>43</v>
      </c>
      <c r="B46" s="19">
        <v>17021</v>
      </c>
      <c r="C46" s="19" t="s">
        <v>381</v>
      </c>
      <c r="D46" s="19" t="s">
        <v>336</v>
      </c>
      <c r="E46" s="19" t="s">
        <v>382</v>
      </c>
      <c r="F46" s="22" t="s">
        <v>289</v>
      </c>
      <c r="G46" s="19"/>
      <c r="H46" s="19" t="s">
        <v>388</v>
      </c>
      <c r="I46" s="19"/>
      <c r="J46" s="19"/>
      <c r="K46" s="19"/>
      <c r="L46" s="19"/>
      <c r="M46" s="19"/>
      <c r="N46" s="19"/>
      <c r="O46" s="19"/>
      <c r="P46" s="19"/>
      <c r="Q46" s="19" t="s">
        <v>338</v>
      </c>
      <c r="R46" s="19">
        <v>1</v>
      </c>
      <c r="S46" s="19"/>
      <c r="T46" s="19">
        <v>660</v>
      </c>
      <c r="U46" s="20">
        <f t="shared" si="11"/>
        <v>2.4248400000000001</v>
      </c>
      <c r="V46" s="19" t="s">
        <v>385</v>
      </c>
      <c r="W46" s="19" t="s">
        <v>340</v>
      </c>
      <c r="X46" s="19"/>
      <c r="Y46" s="72">
        <v>3.34</v>
      </c>
      <c r="Z46" s="92">
        <v>1.7</v>
      </c>
      <c r="AA46" s="92">
        <v>1.7</v>
      </c>
    </row>
    <row r="47" spans="1:27" x14ac:dyDescent="0.25">
      <c r="A47" s="33">
        <f t="shared" si="9"/>
        <v>44</v>
      </c>
      <c r="B47" s="19">
        <v>17021</v>
      </c>
      <c r="C47" s="19" t="s">
        <v>381</v>
      </c>
      <c r="D47" s="19" t="s">
        <v>336</v>
      </c>
      <c r="E47" s="19" t="s">
        <v>382</v>
      </c>
      <c r="F47" s="22" t="s">
        <v>289</v>
      </c>
      <c r="G47" s="19"/>
      <c r="H47" s="19" t="s">
        <v>389</v>
      </c>
      <c r="I47" s="19"/>
      <c r="J47" s="19"/>
      <c r="K47" s="19"/>
      <c r="L47" s="19"/>
      <c r="M47" s="19"/>
      <c r="N47" s="19"/>
      <c r="O47" s="19"/>
      <c r="P47" s="19"/>
      <c r="Q47" s="19" t="s">
        <v>338</v>
      </c>
      <c r="R47" s="19">
        <v>1</v>
      </c>
      <c r="S47" s="19"/>
      <c r="T47" s="19">
        <v>1000</v>
      </c>
      <c r="U47" s="20">
        <f t="shared" si="11"/>
        <v>3.6740000000000004</v>
      </c>
      <c r="V47" s="19" t="s">
        <v>385</v>
      </c>
      <c r="W47" s="19" t="s">
        <v>340</v>
      </c>
      <c r="X47" s="19"/>
      <c r="Y47" s="72">
        <v>3.34</v>
      </c>
      <c r="Z47" s="92">
        <v>1.7</v>
      </c>
      <c r="AA47" s="92">
        <v>1.7</v>
      </c>
    </row>
    <row r="48" spans="1:27" x14ac:dyDescent="0.25">
      <c r="A48" s="33">
        <f t="shared" si="9"/>
        <v>45</v>
      </c>
      <c r="B48" s="19">
        <v>17021</v>
      </c>
      <c r="C48" s="19" t="s">
        <v>381</v>
      </c>
      <c r="D48" s="19" t="s">
        <v>336</v>
      </c>
      <c r="E48" s="22" t="s">
        <v>240</v>
      </c>
      <c r="F48" s="19" t="s">
        <v>361</v>
      </c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 t="s">
        <v>338</v>
      </c>
      <c r="R48" s="19">
        <v>1</v>
      </c>
      <c r="S48" s="19"/>
      <c r="T48" s="19">
        <v>50</v>
      </c>
      <c r="U48" s="20">
        <f t="shared" si="11"/>
        <v>0.18370000000000003</v>
      </c>
      <c r="V48" s="19" t="s">
        <v>385</v>
      </c>
      <c r="W48" s="19" t="s">
        <v>340</v>
      </c>
      <c r="X48" s="19"/>
      <c r="Y48" s="72">
        <v>3.34</v>
      </c>
      <c r="Z48" s="92">
        <v>1.7</v>
      </c>
      <c r="AA48" s="92">
        <v>1.7</v>
      </c>
    </row>
    <row r="49" spans="1:27" x14ac:dyDescent="0.25">
      <c r="A49" s="33">
        <f t="shared" ref="A49:A108" si="12">ROW()-3</f>
        <v>46</v>
      </c>
      <c r="B49" s="19">
        <v>17017</v>
      </c>
      <c r="C49" s="19" t="s">
        <v>390</v>
      </c>
      <c r="D49" s="19" t="s">
        <v>336</v>
      </c>
      <c r="E49" s="19" t="s">
        <v>240</v>
      </c>
      <c r="F49" s="19" t="s">
        <v>157</v>
      </c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 t="s">
        <v>338</v>
      </c>
      <c r="R49" s="19">
        <v>2</v>
      </c>
      <c r="S49" s="19"/>
      <c r="T49" s="19">
        <v>150</v>
      </c>
      <c r="U49" s="20">
        <f>Y49*1.1/3.28</f>
        <v>0.26493902439024397</v>
      </c>
      <c r="V49" s="19" t="s">
        <v>391</v>
      </c>
      <c r="W49" s="19" t="s">
        <v>340</v>
      </c>
      <c r="X49" s="19"/>
      <c r="Y49" s="72">
        <v>0.79</v>
      </c>
      <c r="Z49" s="92">
        <v>1.7</v>
      </c>
      <c r="AA49" s="92">
        <v>1.7</v>
      </c>
    </row>
    <row r="50" spans="1:27" x14ac:dyDescent="0.25">
      <c r="A50" s="33">
        <f t="shared" si="12"/>
        <v>47</v>
      </c>
      <c r="B50" s="19">
        <v>17017</v>
      </c>
      <c r="C50" s="19" t="s">
        <v>390</v>
      </c>
      <c r="D50" s="19" t="s">
        <v>336</v>
      </c>
      <c r="E50" s="19" t="s">
        <v>372</v>
      </c>
      <c r="F50" s="19" t="s">
        <v>98</v>
      </c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 t="s">
        <v>338</v>
      </c>
      <c r="R50" s="19">
        <v>2</v>
      </c>
      <c r="S50" s="19">
        <v>310</v>
      </c>
      <c r="T50" s="19">
        <v>18.8</v>
      </c>
      <c r="U50" s="20">
        <f t="shared" ref="U50:U51" si="13">Y50*1.1/3.28</f>
        <v>0.26493902439024397</v>
      </c>
      <c r="V50" s="19" t="s">
        <v>391</v>
      </c>
      <c r="W50" s="19" t="s">
        <v>340</v>
      </c>
      <c r="X50" s="19"/>
      <c r="Y50" s="72">
        <v>0.79</v>
      </c>
      <c r="Z50" s="92">
        <v>1.7</v>
      </c>
      <c r="AA50" s="92">
        <v>1.7</v>
      </c>
    </row>
    <row r="51" spans="1:27" x14ac:dyDescent="0.25">
      <c r="A51" s="33">
        <f t="shared" si="12"/>
        <v>48</v>
      </c>
      <c r="B51" s="19">
        <v>17017</v>
      </c>
      <c r="C51" s="19" t="s">
        <v>390</v>
      </c>
      <c r="D51" s="19" t="s">
        <v>336</v>
      </c>
      <c r="E51" s="19" t="s">
        <v>380</v>
      </c>
      <c r="F51" s="19" t="s">
        <v>98</v>
      </c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 t="s">
        <v>338</v>
      </c>
      <c r="R51" s="19">
        <v>2</v>
      </c>
      <c r="S51" s="19">
        <v>310</v>
      </c>
      <c r="T51" s="19">
        <v>18.8</v>
      </c>
      <c r="U51" s="20">
        <f t="shared" si="13"/>
        <v>0.26493902439024397</v>
      </c>
      <c r="V51" s="19" t="s">
        <v>391</v>
      </c>
      <c r="W51" s="19" t="s">
        <v>340</v>
      </c>
      <c r="X51" s="19"/>
      <c r="Y51" s="72">
        <v>0.79</v>
      </c>
      <c r="Z51" s="92">
        <v>1.7</v>
      </c>
      <c r="AA51" s="92">
        <v>1.7</v>
      </c>
    </row>
    <row r="52" spans="1:27" x14ac:dyDescent="0.25">
      <c r="A52" s="33">
        <f t="shared" si="12"/>
        <v>49</v>
      </c>
      <c r="B52" s="19">
        <v>17018</v>
      </c>
      <c r="C52" s="19" t="s">
        <v>392</v>
      </c>
      <c r="D52" s="19" t="s">
        <v>393</v>
      </c>
      <c r="E52" s="19" t="s">
        <v>394</v>
      </c>
      <c r="F52" s="19" t="s">
        <v>161</v>
      </c>
      <c r="G52" s="19" t="s">
        <v>110</v>
      </c>
      <c r="H52" s="19">
        <v>24</v>
      </c>
      <c r="I52" s="19"/>
      <c r="J52" s="19"/>
      <c r="K52" s="19"/>
      <c r="L52" s="19"/>
      <c r="M52" s="19"/>
      <c r="N52" s="19"/>
      <c r="O52" s="19"/>
      <c r="P52" s="19"/>
      <c r="Q52" s="19" t="s">
        <v>395</v>
      </c>
      <c r="R52" s="19">
        <v>1</v>
      </c>
      <c r="S52" s="19"/>
      <c r="T52" s="19">
        <v>1</v>
      </c>
      <c r="U52" s="20">
        <f>Y52*1.1</f>
        <v>0.9900000000000001</v>
      </c>
      <c r="V52" s="19" t="s">
        <v>396</v>
      </c>
      <c r="W52" s="19" t="s">
        <v>397</v>
      </c>
      <c r="X52" s="19"/>
      <c r="Y52" s="21">
        <v>0.9</v>
      </c>
      <c r="Z52" s="92">
        <v>1.3</v>
      </c>
      <c r="AA52" s="92">
        <v>1</v>
      </c>
    </row>
    <row r="53" spans="1:27" x14ac:dyDescent="0.25">
      <c r="A53" s="33">
        <f t="shared" si="12"/>
        <v>50</v>
      </c>
      <c r="B53" s="19">
        <v>17018</v>
      </c>
      <c r="C53" s="19" t="s">
        <v>398</v>
      </c>
      <c r="D53" s="19" t="s">
        <v>393</v>
      </c>
      <c r="E53" s="19" t="s">
        <v>394</v>
      </c>
      <c r="F53" s="19" t="s">
        <v>161</v>
      </c>
      <c r="G53" s="19" t="s">
        <v>110</v>
      </c>
      <c r="H53" s="19">
        <v>30</v>
      </c>
      <c r="I53" s="19"/>
      <c r="J53" s="19"/>
      <c r="K53" s="19"/>
      <c r="L53" s="19"/>
      <c r="M53" s="19"/>
      <c r="N53" s="19"/>
      <c r="O53" s="19"/>
      <c r="P53" s="19"/>
      <c r="Q53" s="19" t="s">
        <v>395</v>
      </c>
      <c r="R53" s="19">
        <v>1</v>
      </c>
      <c r="S53" s="19"/>
      <c r="T53" s="19">
        <v>1</v>
      </c>
      <c r="U53" s="20">
        <f t="shared" ref="U53:U116" si="14">Y53*1.1</f>
        <v>1.375</v>
      </c>
      <c r="V53" s="19" t="s">
        <v>399</v>
      </c>
      <c r="W53" s="19" t="s">
        <v>397</v>
      </c>
      <c r="X53" s="19"/>
      <c r="Y53" s="21">
        <v>1.25</v>
      </c>
      <c r="Z53" s="92">
        <v>1.3</v>
      </c>
      <c r="AA53" s="92">
        <v>1</v>
      </c>
    </row>
    <row r="54" spans="1:27" x14ac:dyDescent="0.25">
      <c r="A54" s="33">
        <f t="shared" si="12"/>
        <v>51</v>
      </c>
      <c r="B54" s="19">
        <v>17018</v>
      </c>
      <c r="C54" s="19" t="s">
        <v>400</v>
      </c>
      <c r="D54" s="19" t="s">
        <v>393</v>
      </c>
      <c r="E54" s="19" t="s">
        <v>394</v>
      </c>
      <c r="F54" s="19" t="s">
        <v>161</v>
      </c>
      <c r="G54" s="19" t="s">
        <v>110</v>
      </c>
      <c r="H54" s="19">
        <v>36</v>
      </c>
      <c r="I54" s="19"/>
      <c r="J54" s="19"/>
      <c r="K54" s="19"/>
      <c r="L54" s="19"/>
      <c r="M54" s="19"/>
      <c r="N54" s="19"/>
      <c r="O54" s="19"/>
      <c r="P54" s="19"/>
      <c r="Q54" s="19" t="s">
        <v>395</v>
      </c>
      <c r="R54" s="19">
        <v>1</v>
      </c>
      <c r="S54" s="19"/>
      <c r="T54" s="19">
        <v>1</v>
      </c>
      <c r="U54" s="20">
        <f t="shared" si="14"/>
        <v>1.6500000000000001</v>
      </c>
      <c r="V54" s="19" t="s">
        <v>401</v>
      </c>
      <c r="W54" s="19" t="s">
        <v>397</v>
      </c>
      <c r="X54" s="19"/>
      <c r="Y54" s="21">
        <v>1.5</v>
      </c>
      <c r="Z54" s="92">
        <v>1.3</v>
      </c>
      <c r="AA54" s="92">
        <v>1</v>
      </c>
    </row>
    <row r="55" spans="1:27" x14ac:dyDescent="0.25">
      <c r="A55" s="33">
        <f t="shared" si="12"/>
        <v>52</v>
      </c>
      <c r="B55" s="19">
        <v>17018</v>
      </c>
      <c r="C55" s="19" t="s">
        <v>402</v>
      </c>
      <c r="D55" s="19" t="s">
        <v>393</v>
      </c>
      <c r="E55" s="19" t="s">
        <v>394</v>
      </c>
      <c r="F55" s="19" t="s">
        <v>161</v>
      </c>
      <c r="G55" s="19" t="s">
        <v>110</v>
      </c>
      <c r="H55" s="19">
        <v>42</v>
      </c>
      <c r="I55" s="19"/>
      <c r="J55" s="19"/>
      <c r="K55" s="19"/>
      <c r="L55" s="19"/>
      <c r="M55" s="19"/>
      <c r="N55" s="19"/>
      <c r="O55" s="19"/>
      <c r="P55" s="19"/>
      <c r="Q55" s="19" t="s">
        <v>395</v>
      </c>
      <c r="R55" s="19">
        <v>1</v>
      </c>
      <c r="S55" s="19"/>
      <c r="T55" s="19">
        <v>1</v>
      </c>
      <c r="U55" s="20">
        <f t="shared" si="14"/>
        <v>2.0020000000000002</v>
      </c>
      <c r="V55" s="19" t="s">
        <v>403</v>
      </c>
      <c r="W55" s="19" t="s">
        <v>397</v>
      </c>
      <c r="X55" s="19"/>
      <c r="Y55" s="21">
        <v>1.82</v>
      </c>
      <c r="Z55" s="92">
        <v>1.3</v>
      </c>
      <c r="AA55" s="92">
        <v>1</v>
      </c>
    </row>
    <row r="56" spans="1:27" x14ac:dyDescent="0.25">
      <c r="A56" s="33">
        <f t="shared" si="12"/>
        <v>53</v>
      </c>
      <c r="B56" s="19">
        <v>17018</v>
      </c>
      <c r="C56" s="19" t="s">
        <v>404</v>
      </c>
      <c r="D56" s="19" t="s">
        <v>393</v>
      </c>
      <c r="E56" s="19" t="s">
        <v>394</v>
      </c>
      <c r="F56" s="19" t="s">
        <v>161</v>
      </c>
      <c r="G56" s="19" t="s">
        <v>110</v>
      </c>
      <c r="H56" s="19">
        <v>48</v>
      </c>
      <c r="I56" s="19"/>
      <c r="J56" s="19"/>
      <c r="K56" s="19"/>
      <c r="L56" s="19"/>
      <c r="M56" s="19"/>
      <c r="N56" s="19"/>
      <c r="O56" s="19"/>
      <c r="P56" s="19"/>
      <c r="Q56" s="19" t="s">
        <v>395</v>
      </c>
      <c r="R56" s="19">
        <v>1</v>
      </c>
      <c r="S56" s="19"/>
      <c r="T56" s="19">
        <v>1</v>
      </c>
      <c r="U56" s="20">
        <f t="shared" si="14"/>
        <v>2.3319999999999999</v>
      </c>
      <c r="V56" s="19" t="s">
        <v>405</v>
      </c>
      <c r="W56" s="19" t="s">
        <v>397</v>
      </c>
      <c r="X56" s="19"/>
      <c r="Y56" s="21">
        <v>2.1199999999999997</v>
      </c>
      <c r="Z56" s="92">
        <v>1.3</v>
      </c>
      <c r="AA56" s="92">
        <v>1</v>
      </c>
    </row>
    <row r="57" spans="1:27" x14ac:dyDescent="0.25">
      <c r="A57" s="33">
        <f t="shared" si="12"/>
        <v>54</v>
      </c>
      <c r="B57" s="19">
        <v>17018</v>
      </c>
      <c r="C57" s="19" t="s">
        <v>406</v>
      </c>
      <c r="D57" s="19" t="s">
        <v>393</v>
      </c>
      <c r="E57" s="19" t="s">
        <v>394</v>
      </c>
      <c r="F57" s="19" t="s">
        <v>161</v>
      </c>
      <c r="G57" s="19" t="s">
        <v>110</v>
      </c>
      <c r="H57" s="19">
        <v>54</v>
      </c>
      <c r="I57" s="19"/>
      <c r="J57" s="19"/>
      <c r="K57" s="19"/>
      <c r="L57" s="19"/>
      <c r="M57" s="19"/>
      <c r="N57" s="19"/>
      <c r="O57" s="19"/>
      <c r="P57" s="19"/>
      <c r="Q57" s="19" t="s">
        <v>395</v>
      </c>
      <c r="R57" s="19">
        <v>1</v>
      </c>
      <c r="S57" s="19"/>
      <c r="T57" s="19">
        <v>1</v>
      </c>
      <c r="U57" s="20">
        <f t="shared" si="14"/>
        <v>2.6619999999999999</v>
      </c>
      <c r="V57" s="19" t="s">
        <v>407</v>
      </c>
      <c r="W57" s="19" t="s">
        <v>397</v>
      </c>
      <c r="X57" s="19"/>
      <c r="Y57" s="21">
        <v>2.42</v>
      </c>
      <c r="Z57" s="92">
        <v>1.3</v>
      </c>
      <c r="AA57" s="92">
        <v>1</v>
      </c>
    </row>
    <row r="58" spans="1:27" x14ac:dyDescent="0.25">
      <c r="A58" s="33">
        <f t="shared" si="12"/>
        <v>55</v>
      </c>
      <c r="B58" s="19">
        <v>17018</v>
      </c>
      <c r="C58" s="19" t="s">
        <v>408</v>
      </c>
      <c r="D58" s="19" t="s">
        <v>393</v>
      </c>
      <c r="E58" s="19" t="s">
        <v>394</v>
      </c>
      <c r="F58" s="19" t="s">
        <v>161</v>
      </c>
      <c r="G58" s="19" t="s">
        <v>110</v>
      </c>
      <c r="H58" s="19">
        <v>60</v>
      </c>
      <c r="I58" s="19"/>
      <c r="J58" s="19"/>
      <c r="K58" s="19"/>
      <c r="L58" s="19"/>
      <c r="M58" s="19"/>
      <c r="N58" s="19"/>
      <c r="O58" s="19"/>
      <c r="P58" s="19"/>
      <c r="Q58" s="19" t="s">
        <v>395</v>
      </c>
      <c r="R58" s="19">
        <v>1</v>
      </c>
      <c r="S58" s="19"/>
      <c r="T58" s="19">
        <v>1</v>
      </c>
      <c r="U58" s="20">
        <f t="shared" si="14"/>
        <v>2.992</v>
      </c>
      <c r="V58" s="19" t="s">
        <v>409</v>
      </c>
      <c r="W58" s="19" t="s">
        <v>397</v>
      </c>
      <c r="X58" s="19"/>
      <c r="Y58" s="21">
        <v>2.7199999999999998</v>
      </c>
      <c r="Z58" s="92">
        <v>1.3</v>
      </c>
      <c r="AA58" s="92">
        <v>1</v>
      </c>
    </row>
    <row r="59" spans="1:27" x14ac:dyDescent="0.25">
      <c r="A59" s="33">
        <f t="shared" si="12"/>
        <v>56</v>
      </c>
      <c r="B59" s="19">
        <v>17018</v>
      </c>
      <c r="C59" s="19" t="s">
        <v>410</v>
      </c>
      <c r="D59" s="19" t="s">
        <v>393</v>
      </c>
      <c r="E59" s="19" t="s">
        <v>394</v>
      </c>
      <c r="F59" s="19" t="s">
        <v>161</v>
      </c>
      <c r="G59" s="19" t="s">
        <v>346</v>
      </c>
      <c r="H59" s="19">
        <v>24</v>
      </c>
      <c r="I59" s="19"/>
      <c r="J59" s="19"/>
      <c r="K59" s="19"/>
      <c r="L59" s="19"/>
      <c r="M59" s="19"/>
      <c r="N59" s="19"/>
      <c r="O59" s="19"/>
      <c r="P59" s="19"/>
      <c r="Q59" s="19" t="s">
        <v>395</v>
      </c>
      <c r="R59" s="19">
        <v>1</v>
      </c>
      <c r="S59" s="19"/>
      <c r="T59" s="19">
        <v>1</v>
      </c>
      <c r="U59" s="20">
        <f t="shared" si="14"/>
        <v>0.9900000000000001</v>
      </c>
      <c r="V59" s="19" t="s">
        <v>411</v>
      </c>
      <c r="W59" s="19" t="s">
        <v>397</v>
      </c>
      <c r="X59" s="19"/>
      <c r="Y59" s="21">
        <v>0.9</v>
      </c>
      <c r="Z59" s="92">
        <v>1.3</v>
      </c>
      <c r="AA59" s="92">
        <v>1</v>
      </c>
    </row>
    <row r="60" spans="1:27" x14ac:dyDescent="0.25">
      <c r="A60" s="33">
        <f t="shared" si="12"/>
        <v>57</v>
      </c>
      <c r="B60" s="19">
        <v>17018</v>
      </c>
      <c r="C60" s="19" t="s">
        <v>412</v>
      </c>
      <c r="D60" s="19" t="s">
        <v>393</v>
      </c>
      <c r="E60" s="19" t="s">
        <v>394</v>
      </c>
      <c r="F60" s="19" t="s">
        <v>161</v>
      </c>
      <c r="G60" s="19" t="s">
        <v>346</v>
      </c>
      <c r="H60" s="19">
        <v>30</v>
      </c>
      <c r="I60" s="19"/>
      <c r="J60" s="19"/>
      <c r="K60" s="19"/>
      <c r="L60" s="19"/>
      <c r="M60" s="19"/>
      <c r="N60" s="19"/>
      <c r="O60" s="19"/>
      <c r="P60" s="19"/>
      <c r="Q60" s="19" t="s">
        <v>395</v>
      </c>
      <c r="R60" s="19">
        <v>1</v>
      </c>
      <c r="S60" s="19"/>
      <c r="T60" s="19">
        <v>1</v>
      </c>
      <c r="U60" s="20">
        <f t="shared" si="14"/>
        <v>1.375</v>
      </c>
      <c r="V60" s="19" t="s">
        <v>413</v>
      </c>
      <c r="W60" s="19" t="s">
        <v>397</v>
      </c>
      <c r="X60" s="19"/>
      <c r="Y60" s="21">
        <v>1.25</v>
      </c>
      <c r="Z60" s="92">
        <v>1.3</v>
      </c>
      <c r="AA60" s="92">
        <v>1</v>
      </c>
    </row>
    <row r="61" spans="1:27" x14ac:dyDescent="0.25">
      <c r="A61" s="33">
        <f t="shared" si="12"/>
        <v>58</v>
      </c>
      <c r="B61" s="19">
        <v>17018</v>
      </c>
      <c r="C61" s="19" t="s">
        <v>414</v>
      </c>
      <c r="D61" s="19" t="s">
        <v>393</v>
      </c>
      <c r="E61" s="19" t="s">
        <v>394</v>
      </c>
      <c r="F61" s="19" t="s">
        <v>161</v>
      </c>
      <c r="G61" s="19" t="s">
        <v>346</v>
      </c>
      <c r="H61" s="19">
        <v>36</v>
      </c>
      <c r="I61" s="19"/>
      <c r="J61" s="19"/>
      <c r="K61" s="19"/>
      <c r="L61" s="19"/>
      <c r="M61" s="19"/>
      <c r="N61" s="19"/>
      <c r="O61" s="19"/>
      <c r="P61" s="19"/>
      <c r="Q61" s="19" t="s">
        <v>395</v>
      </c>
      <c r="R61" s="19">
        <v>1</v>
      </c>
      <c r="S61" s="19"/>
      <c r="T61" s="19">
        <v>1</v>
      </c>
      <c r="U61" s="20">
        <f t="shared" si="14"/>
        <v>1.6500000000000001</v>
      </c>
      <c r="V61" s="19" t="s">
        <v>415</v>
      </c>
      <c r="W61" s="19" t="s">
        <v>397</v>
      </c>
      <c r="X61" s="19"/>
      <c r="Y61" s="21">
        <v>1.5</v>
      </c>
      <c r="Z61" s="92">
        <v>1.3</v>
      </c>
      <c r="AA61" s="92">
        <v>1</v>
      </c>
    </row>
    <row r="62" spans="1:27" x14ac:dyDescent="0.25">
      <c r="A62" s="33">
        <f t="shared" si="12"/>
        <v>59</v>
      </c>
      <c r="B62" s="19">
        <v>17018</v>
      </c>
      <c r="C62" s="19" t="s">
        <v>416</v>
      </c>
      <c r="D62" s="19" t="s">
        <v>393</v>
      </c>
      <c r="E62" s="19" t="s">
        <v>394</v>
      </c>
      <c r="F62" s="19" t="s">
        <v>161</v>
      </c>
      <c r="G62" s="19" t="s">
        <v>346</v>
      </c>
      <c r="H62" s="19">
        <v>42</v>
      </c>
      <c r="I62" s="19"/>
      <c r="J62" s="19"/>
      <c r="K62" s="19"/>
      <c r="L62" s="19"/>
      <c r="M62" s="19"/>
      <c r="N62" s="19"/>
      <c r="O62" s="19"/>
      <c r="P62" s="19"/>
      <c r="Q62" s="19" t="s">
        <v>395</v>
      </c>
      <c r="R62" s="19">
        <v>1</v>
      </c>
      <c r="S62" s="19"/>
      <c r="T62" s="19">
        <v>1</v>
      </c>
      <c r="U62" s="20">
        <f t="shared" si="14"/>
        <v>2.0020000000000002</v>
      </c>
      <c r="V62" s="19" t="s">
        <v>417</v>
      </c>
      <c r="W62" s="19" t="s">
        <v>397</v>
      </c>
      <c r="X62" s="19"/>
      <c r="Y62" s="21">
        <v>1.82</v>
      </c>
      <c r="Z62" s="92">
        <v>1.3</v>
      </c>
      <c r="AA62" s="92">
        <v>1</v>
      </c>
    </row>
    <row r="63" spans="1:27" x14ac:dyDescent="0.25">
      <c r="A63" s="33">
        <f t="shared" si="12"/>
        <v>60</v>
      </c>
      <c r="B63" s="19">
        <v>17018</v>
      </c>
      <c r="C63" s="19" t="s">
        <v>418</v>
      </c>
      <c r="D63" s="19" t="s">
        <v>393</v>
      </c>
      <c r="E63" s="19" t="s">
        <v>394</v>
      </c>
      <c r="F63" s="19" t="s">
        <v>161</v>
      </c>
      <c r="G63" s="19" t="s">
        <v>346</v>
      </c>
      <c r="H63" s="19">
        <v>48</v>
      </c>
      <c r="I63" s="19"/>
      <c r="J63" s="19"/>
      <c r="K63" s="19"/>
      <c r="L63" s="19"/>
      <c r="M63" s="19"/>
      <c r="N63" s="19"/>
      <c r="O63" s="19"/>
      <c r="P63" s="19"/>
      <c r="Q63" s="19" t="s">
        <v>395</v>
      </c>
      <c r="R63" s="19">
        <v>1</v>
      </c>
      <c r="S63" s="19"/>
      <c r="T63" s="19">
        <v>1</v>
      </c>
      <c r="U63" s="20">
        <f t="shared" si="14"/>
        <v>2.3319999999999999</v>
      </c>
      <c r="V63" s="19" t="s">
        <v>419</v>
      </c>
      <c r="W63" s="19" t="s">
        <v>397</v>
      </c>
      <c r="X63" s="19"/>
      <c r="Y63" s="21">
        <v>2.1199999999999997</v>
      </c>
      <c r="Z63" s="92">
        <v>1.3</v>
      </c>
      <c r="AA63" s="92">
        <v>1</v>
      </c>
    </row>
    <row r="64" spans="1:27" x14ac:dyDescent="0.25">
      <c r="A64" s="33">
        <f t="shared" si="12"/>
        <v>61</v>
      </c>
      <c r="B64" s="19">
        <v>17018</v>
      </c>
      <c r="C64" s="19" t="s">
        <v>420</v>
      </c>
      <c r="D64" s="19" t="s">
        <v>393</v>
      </c>
      <c r="E64" s="19" t="s">
        <v>394</v>
      </c>
      <c r="F64" s="19" t="s">
        <v>161</v>
      </c>
      <c r="G64" s="19" t="s">
        <v>346</v>
      </c>
      <c r="H64" s="19">
        <v>54</v>
      </c>
      <c r="I64" s="19"/>
      <c r="J64" s="19"/>
      <c r="K64" s="19"/>
      <c r="L64" s="19"/>
      <c r="M64" s="19"/>
      <c r="N64" s="19"/>
      <c r="O64" s="19"/>
      <c r="P64" s="19"/>
      <c r="Q64" s="19" t="s">
        <v>395</v>
      </c>
      <c r="R64" s="19">
        <v>1</v>
      </c>
      <c r="S64" s="19"/>
      <c r="T64" s="19">
        <v>1</v>
      </c>
      <c r="U64" s="20">
        <f t="shared" si="14"/>
        <v>2.6619999999999999</v>
      </c>
      <c r="V64" s="19" t="s">
        <v>421</v>
      </c>
      <c r="W64" s="19" t="s">
        <v>397</v>
      </c>
      <c r="X64" s="19"/>
      <c r="Y64" s="21">
        <v>2.42</v>
      </c>
      <c r="Z64" s="92">
        <v>1.3</v>
      </c>
      <c r="AA64" s="92">
        <v>1</v>
      </c>
    </row>
    <row r="65" spans="1:27" x14ac:dyDescent="0.25">
      <c r="A65" s="33">
        <f t="shared" si="12"/>
        <v>62</v>
      </c>
      <c r="B65" s="19">
        <v>17018</v>
      </c>
      <c r="C65" s="19" t="s">
        <v>422</v>
      </c>
      <c r="D65" s="19" t="s">
        <v>393</v>
      </c>
      <c r="E65" s="19" t="s">
        <v>394</v>
      </c>
      <c r="F65" s="19" t="s">
        <v>161</v>
      </c>
      <c r="G65" s="19" t="s">
        <v>346</v>
      </c>
      <c r="H65" s="19">
        <v>60</v>
      </c>
      <c r="I65" s="19"/>
      <c r="J65" s="19"/>
      <c r="K65" s="19"/>
      <c r="L65" s="19"/>
      <c r="M65" s="19"/>
      <c r="N65" s="19"/>
      <c r="O65" s="19"/>
      <c r="P65" s="19"/>
      <c r="Q65" s="19" t="s">
        <v>395</v>
      </c>
      <c r="R65" s="19">
        <v>1</v>
      </c>
      <c r="S65" s="19"/>
      <c r="T65" s="19">
        <v>1</v>
      </c>
      <c r="U65" s="20">
        <f t="shared" si="14"/>
        <v>2.992</v>
      </c>
      <c r="V65" s="19" t="s">
        <v>423</v>
      </c>
      <c r="W65" s="19" t="s">
        <v>397</v>
      </c>
      <c r="X65" s="19"/>
      <c r="Y65" s="21">
        <v>2.7199999999999998</v>
      </c>
      <c r="Z65" s="92">
        <v>1.3</v>
      </c>
      <c r="AA65" s="92">
        <v>1</v>
      </c>
    </row>
    <row r="66" spans="1:27" x14ac:dyDescent="0.25">
      <c r="A66" s="33">
        <f t="shared" si="12"/>
        <v>63</v>
      </c>
      <c r="B66" s="19">
        <v>17018</v>
      </c>
      <c r="C66" s="19" t="s">
        <v>424</v>
      </c>
      <c r="D66" s="19" t="s">
        <v>393</v>
      </c>
      <c r="E66" s="19" t="s">
        <v>394</v>
      </c>
      <c r="F66" s="19" t="s">
        <v>161</v>
      </c>
      <c r="G66" s="19" t="s">
        <v>126</v>
      </c>
      <c r="H66" s="19">
        <v>24</v>
      </c>
      <c r="I66" s="19"/>
      <c r="J66" s="19"/>
      <c r="K66" s="19"/>
      <c r="L66" s="19"/>
      <c r="M66" s="19"/>
      <c r="N66" s="19"/>
      <c r="O66" s="19"/>
      <c r="P66" s="19"/>
      <c r="Q66" s="19" t="s">
        <v>395</v>
      </c>
      <c r="R66" s="19">
        <v>1</v>
      </c>
      <c r="S66" s="19"/>
      <c r="T66" s="19">
        <v>1</v>
      </c>
      <c r="U66" s="20">
        <f t="shared" si="14"/>
        <v>0.9900000000000001</v>
      </c>
      <c r="V66" s="19" t="s">
        <v>425</v>
      </c>
      <c r="W66" s="19" t="s">
        <v>397</v>
      </c>
      <c r="X66" s="19"/>
      <c r="Y66" s="21">
        <v>0.9</v>
      </c>
      <c r="Z66" s="92">
        <v>1.3</v>
      </c>
      <c r="AA66" s="92">
        <v>1</v>
      </c>
    </row>
    <row r="67" spans="1:27" x14ac:dyDescent="0.25">
      <c r="A67" s="33">
        <f t="shared" si="12"/>
        <v>64</v>
      </c>
      <c r="B67" s="19">
        <v>17018</v>
      </c>
      <c r="C67" s="19" t="s">
        <v>426</v>
      </c>
      <c r="D67" s="19" t="s">
        <v>393</v>
      </c>
      <c r="E67" s="19" t="s">
        <v>394</v>
      </c>
      <c r="F67" s="19" t="s">
        <v>161</v>
      </c>
      <c r="G67" s="19" t="s">
        <v>126</v>
      </c>
      <c r="H67" s="19">
        <v>30</v>
      </c>
      <c r="I67" s="19"/>
      <c r="J67" s="19"/>
      <c r="K67" s="19"/>
      <c r="L67" s="19"/>
      <c r="M67" s="19"/>
      <c r="N67" s="19"/>
      <c r="O67" s="19"/>
      <c r="P67" s="19"/>
      <c r="Q67" s="19" t="s">
        <v>395</v>
      </c>
      <c r="R67" s="19">
        <v>1</v>
      </c>
      <c r="S67" s="19"/>
      <c r="T67" s="19">
        <v>1</v>
      </c>
      <c r="U67" s="20">
        <f t="shared" si="14"/>
        <v>1.375</v>
      </c>
      <c r="V67" s="19" t="s">
        <v>427</v>
      </c>
      <c r="W67" s="19" t="s">
        <v>397</v>
      </c>
      <c r="X67" s="19"/>
      <c r="Y67" s="21">
        <v>1.25</v>
      </c>
      <c r="Z67" s="92">
        <v>1.3</v>
      </c>
      <c r="AA67" s="92">
        <v>1</v>
      </c>
    </row>
    <row r="68" spans="1:27" x14ac:dyDescent="0.25">
      <c r="A68" s="33">
        <f t="shared" si="12"/>
        <v>65</v>
      </c>
      <c r="B68" s="19">
        <v>17018</v>
      </c>
      <c r="C68" s="19" t="s">
        <v>428</v>
      </c>
      <c r="D68" s="19" t="s">
        <v>393</v>
      </c>
      <c r="E68" s="19" t="s">
        <v>394</v>
      </c>
      <c r="F68" s="19" t="s">
        <v>161</v>
      </c>
      <c r="G68" s="19" t="s">
        <v>126</v>
      </c>
      <c r="H68" s="19">
        <v>36</v>
      </c>
      <c r="I68" s="19"/>
      <c r="J68" s="19"/>
      <c r="K68" s="19"/>
      <c r="L68" s="19"/>
      <c r="M68" s="19"/>
      <c r="N68" s="19"/>
      <c r="O68" s="19"/>
      <c r="P68" s="19"/>
      <c r="Q68" s="19" t="s">
        <v>395</v>
      </c>
      <c r="R68" s="19">
        <v>1</v>
      </c>
      <c r="S68" s="19"/>
      <c r="T68" s="19">
        <v>1</v>
      </c>
      <c r="U68" s="20">
        <f t="shared" si="14"/>
        <v>1.6500000000000001</v>
      </c>
      <c r="V68" s="19" t="s">
        <v>429</v>
      </c>
      <c r="W68" s="19" t="s">
        <v>397</v>
      </c>
      <c r="X68" s="19"/>
      <c r="Y68" s="21">
        <v>1.5</v>
      </c>
      <c r="Z68" s="92">
        <v>1.3</v>
      </c>
      <c r="AA68" s="92">
        <v>1</v>
      </c>
    </row>
    <row r="69" spans="1:27" x14ac:dyDescent="0.25">
      <c r="A69" s="33">
        <f t="shared" si="12"/>
        <v>66</v>
      </c>
      <c r="B69" s="19">
        <v>17018</v>
      </c>
      <c r="C69" s="19" t="s">
        <v>430</v>
      </c>
      <c r="D69" s="19" t="s">
        <v>393</v>
      </c>
      <c r="E69" s="19" t="s">
        <v>394</v>
      </c>
      <c r="F69" s="19" t="s">
        <v>161</v>
      </c>
      <c r="G69" s="19" t="s">
        <v>126</v>
      </c>
      <c r="H69" s="19">
        <v>42</v>
      </c>
      <c r="I69" s="19"/>
      <c r="J69" s="19"/>
      <c r="K69" s="19"/>
      <c r="L69" s="19"/>
      <c r="M69" s="19"/>
      <c r="N69" s="19"/>
      <c r="O69" s="19"/>
      <c r="P69" s="19"/>
      <c r="Q69" s="19" t="s">
        <v>395</v>
      </c>
      <c r="R69" s="19">
        <v>1</v>
      </c>
      <c r="S69" s="19"/>
      <c r="T69" s="19">
        <v>1</v>
      </c>
      <c r="U69" s="20">
        <f t="shared" si="14"/>
        <v>2.0020000000000002</v>
      </c>
      <c r="V69" s="19" t="s">
        <v>431</v>
      </c>
      <c r="W69" s="19" t="s">
        <v>397</v>
      </c>
      <c r="X69" s="19"/>
      <c r="Y69" s="21">
        <v>1.82</v>
      </c>
      <c r="Z69" s="92">
        <v>1.3</v>
      </c>
      <c r="AA69" s="92">
        <v>1</v>
      </c>
    </row>
    <row r="70" spans="1:27" x14ac:dyDescent="0.25">
      <c r="A70" s="33">
        <f t="shared" si="12"/>
        <v>67</v>
      </c>
      <c r="B70" s="19">
        <v>17018</v>
      </c>
      <c r="C70" s="19" t="s">
        <v>432</v>
      </c>
      <c r="D70" s="19" t="s">
        <v>393</v>
      </c>
      <c r="E70" s="19" t="s">
        <v>394</v>
      </c>
      <c r="F70" s="19" t="s">
        <v>161</v>
      </c>
      <c r="G70" s="19" t="s">
        <v>126</v>
      </c>
      <c r="H70" s="19">
        <v>48</v>
      </c>
      <c r="I70" s="19"/>
      <c r="J70" s="19"/>
      <c r="K70" s="19"/>
      <c r="L70" s="19"/>
      <c r="M70" s="19"/>
      <c r="N70" s="19"/>
      <c r="O70" s="19"/>
      <c r="P70" s="19"/>
      <c r="Q70" s="19" t="s">
        <v>395</v>
      </c>
      <c r="R70" s="19">
        <v>1</v>
      </c>
      <c r="S70" s="19"/>
      <c r="T70" s="19">
        <v>1</v>
      </c>
      <c r="U70" s="20">
        <f t="shared" si="14"/>
        <v>2.3319999999999999</v>
      </c>
      <c r="V70" s="19" t="s">
        <v>433</v>
      </c>
      <c r="W70" s="19" t="s">
        <v>397</v>
      </c>
      <c r="X70" s="19"/>
      <c r="Y70" s="21">
        <v>2.1199999999999997</v>
      </c>
      <c r="Z70" s="92">
        <v>1.3</v>
      </c>
      <c r="AA70" s="92">
        <v>1</v>
      </c>
    </row>
    <row r="71" spans="1:27" x14ac:dyDescent="0.25">
      <c r="A71" s="33">
        <f t="shared" si="12"/>
        <v>68</v>
      </c>
      <c r="B71" s="19">
        <v>17018</v>
      </c>
      <c r="C71" s="19" t="s">
        <v>434</v>
      </c>
      <c r="D71" s="19" t="s">
        <v>393</v>
      </c>
      <c r="E71" s="19" t="s">
        <v>394</v>
      </c>
      <c r="F71" s="19" t="s">
        <v>161</v>
      </c>
      <c r="G71" s="19" t="s">
        <v>126</v>
      </c>
      <c r="H71" s="19">
        <v>54</v>
      </c>
      <c r="I71" s="19"/>
      <c r="J71" s="19"/>
      <c r="K71" s="19"/>
      <c r="L71" s="19"/>
      <c r="M71" s="19"/>
      <c r="N71" s="19"/>
      <c r="O71" s="19"/>
      <c r="P71" s="19"/>
      <c r="Q71" s="19" t="s">
        <v>395</v>
      </c>
      <c r="R71" s="19">
        <v>1</v>
      </c>
      <c r="S71" s="19"/>
      <c r="T71" s="19">
        <v>1</v>
      </c>
      <c r="U71" s="20">
        <f t="shared" si="14"/>
        <v>2.6619999999999999</v>
      </c>
      <c r="V71" s="19" t="s">
        <v>435</v>
      </c>
      <c r="W71" s="19" t="s">
        <v>397</v>
      </c>
      <c r="X71" s="19"/>
      <c r="Y71" s="21">
        <v>2.42</v>
      </c>
      <c r="Z71" s="92">
        <v>1.3</v>
      </c>
      <c r="AA71" s="92">
        <v>1</v>
      </c>
    </row>
    <row r="72" spans="1:27" x14ac:dyDescent="0.25">
      <c r="A72" s="33">
        <f t="shared" si="12"/>
        <v>69</v>
      </c>
      <c r="B72" s="19">
        <v>17018</v>
      </c>
      <c r="C72" s="19" t="s">
        <v>436</v>
      </c>
      <c r="D72" s="19" t="s">
        <v>393</v>
      </c>
      <c r="E72" s="19" t="s">
        <v>394</v>
      </c>
      <c r="F72" s="19" t="s">
        <v>161</v>
      </c>
      <c r="G72" s="19" t="s">
        <v>126</v>
      </c>
      <c r="H72" s="19">
        <v>60</v>
      </c>
      <c r="I72" s="19"/>
      <c r="J72" s="19"/>
      <c r="K72" s="19"/>
      <c r="L72" s="19"/>
      <c r="M72" s="19"/>
      <c r="N72" s="19"/>
      <c r="O72" s="19"/>
      <c r="P72" s="19"/>
      <c r="Q72" s="19" t="s">
        <v>395</v>
      </c>
      <c r="R72" s="19">
        <v>1</v>
      </c>
      <c r="S72" s="19"/>
      <c r="T72" s="19">
        <v>1</v>
      </c>
      <c r="U72" s="20">
        <f t="shared" si="14"/>
        <v>2.992</v>
      </c>
      <c r="V72" s="19" t="s">
        <v>437</v>
      </c>
      <c r="W72" s="19" t="s">
        <v>397</v>
      </c>
      <c r="X72" s="19"/>
      <c r="Y72" s="21">
        <v>2.7199999999999998</v>
      </c>
      <c r="Z72" s="92">
        <v>1.3</v>
      </c>
      <c r="AA72" s="92">
        <v>1</v>
      </c>
    </row>
    <row r="73" spans="1:27" x14ac:dyDescent="0.25">
      <c r="A73" s="33">
        <f t="shared" si="12"/>
        <v>70</v>
      </c>
      <c r="B73" s="19">
        <v>17019</v>
      </c>
      <c r="C73" s="19" t="s">
        <v>438</v>
      </c>
      <c r="D73" s="19" t="s">
        <v>393</v>
      </c>
      <c r="E73" s="19" t="s">
        <v>394</v>
      </c>
      <c r="F73" s="19" t="s">
        <v>110</v>
      </c>
      <c r="G73" s="19" t="s">
        <v>110</v>
      </c>
      <c r="H73" s="19">
        <v>12</v>
      </c>
      <c r="I73" s="19"/>
      <c r="J73" s="19"/>
      <c r="K73" s="19" t="s">
        <v>354</v>
      </c>
      <c r="L73" s="19"/>
      <c r="M73" s="19"/>
      <c r="N73" s="19"/>
      <c r="O73" s="19"/>
      <c r="P73" s="19"/>
      <c r="Q73" s="19" t="s">
        <v>395</v>
      </c>
      <c r="R73" s="19">
        <v>1</v>
      </c>
      <c r="S73" s="19"/>
      <c r="T73" s="19">
        <v>1</v>
      </c>
      <c r="U73" s="20">
        <f t="shared" si="14"/>
        <v>0.49500000000000005</v>
      </c>
      <c r="V73" s="19" t="s">
        <v>439</v>
      </c>
      <c r="W73" s="19" t="s">
        <v>397</v>
      </c>
      <c r="X73" s="19"/>
      <c r="Y73" s="21">
        <v>0.45</v>
      </c>
      <c r="Z73" s="92">
        <v>1.3</v>
      </c>
      <c r="AA73" s="92">
        <v>1</v>
      </c>
    </row>
    <row r="74" spans="1:27" x14ac:dyDescent="0.25">
      <c r="A74" s="33">
        <f t="shared" si="12"/>
        <v>71</v>
      </c>
      <c r="B74" s="19">
        <v>17019</v>
      </c>
      <c r="C74" s="19" t="s">
        <v>440</v>
      </c>
      <c r="D74" s="19" t="s">
        <v>393</v>
      </c>
      <c r="E74" s="19" t="s">
        <v>394</v>
      </c>
      <c r="F74" s="19" t="s">
        <v>110</v>
      </c>
      <c r="G74" s="19" t="s">
        <v>110</v>
      </c>
      <c r="H74" s="19">
        <v>18</v>
      </c>
      <c r="I74" s="19"/>
      <c r="J74" s="19"/>
      <c r="K74" s="19" t="s">
        <v>354</v>
      </c>
      <c r="L74" s="19"/>
      <c r="M74" s="19"/>
      <c r="N74" s="19"/>
      <c r="O74" s="19"/>
      <c r="P74" s="19"/>
      <c r="Q74" s="19" t="s">
        <v>395</v>
      </c>
      <c r="R74" s="19">
        <v>1</v>
      </c>
      <c r="S74" s="19"/>
      <c r="T74" s="19">
        <v>1</v>
      </c>
      <c r="U74" s="20">
        <f t="shared" si="14"/>
        <v>0.66</v>
      </c>
      <c r="V74" s="19" t="s">
        <v>441</v>
      </c>
      <c r="W74" s="19" t="s">
        <v>397</v>
      </c>
      <c r="X74" s="19"/>
      <c r="Y74" s="21">
        <v>0.6</v>
      </c>
      <c r="Z74" s="92">
        <v>1.3</v>
      </c>
      <c r="AA74" s="92">
        <v>1</v>
      </c>
    </row>
    <row r="75" spans="1:27" x14ac:dyDescent="0.25">
      <c r="A75" s="33">
        <f t="shared" si="12"/>
        <v>72</v>
      </c>
      <c r="B75" s="19">
        <v>17019</v>
      </c>
      <c r="C75" s="19" t="s">
        <v>442</v>
      </c>
      <c r="D75" s="19" t="s">
        <v>393</v>
      </c>
      <c r="E75" s="19" t="s">
        <v>394</v>
      </c>
      <c r="F75" s="19" t="s">
        <v>110</v>
      </c>
      <c r="G75" s="19" t="s">
        <v>110</v>
      </c>
      <c r="H75" s="19">
        <v>24</v>
      </c>
      <c r="I75" s="19"/>
      <c r="J75" s="19"/>
      <c r="L75" s="19"/>
      <c r="M75" s="19"/>
      <c r="N75" s="19"/>
      <c r="O75" s="19"/>
      <c r="P75" s="19"/>
      <c r="Q75" s="19" t="s">
        <v>395</v>
      </c>
      <c r="R75" s="19">
        <v>1</v>
      </c>
      <c r="S75" s="19"/>
      <c r="T75" s="19">
        <v>1</v>
      </c>
      <c r="U75" s="20">
        <f t="shared" si="14"/>
        <v>0.9900000000000001</v>
      </c>
      <c r="V75" s="19" t="s">
        <v>443</v>
      </c>
      <c r="W75" s="19" t="s">
        <v>397</v>
      </c>
      <c r="X75" s="19"/>
      <c r="Y75" s="21">
        <v>0.9</v>
      </c>
      <c r="Z75" s="92">
        <v>1.3</v>
      </c>
      <c r="AA75" s="92">
        <v>1</v>
      </c>
    </row>
    <row r="76" spans="1:27" x14ac:dyDescent="0.25">
      <c r="A76" s="33">
        <f t="shared" si="12"/>
        <v>73</v>
      </c>
      <c r="B76" s="19">
        <v>17019</v>
      </c>
      <c r="C76" s="19" t="s">
        <v>444</v>
      </c>
      <c r="D76" s="19" t="s">
        <v>393</v>
      </c>
      <c r="E76" s="19" t="s">
        <v>394</v>
      </c>
      <c r="F76" s="19" t="s">
        <v>110</v>
      </c>
      <c r="G76" s="19" t="s">
        <v>110</v>
      </c>
      <c r="H76" s="19">
        <v>30</v>
      </c>
      <c r="I76" s="19"/>
      <c r="J76" s="19"/>
      <c r="K76" s="19"/>
      <c r="L76" s="19"/>
      <c r="M76" s="19"/>
      <c r="N76" s="19"/>
      <c r="O76" s="19"/>
      <c r="P76" s="19"/>
      <c r="Q76" s="19" t="s">
        <v>395</v>
      </c>
      <c r="R76" s="19">
        <v>1</v>
      </c>
      <c r="S76" s="19"/>
      <c r="T76" s="19">
        <v>1</v>
      </c>
      <c r="U76" s="20">
        <f t="shared" si="14"/>
        <v>1.375</v>
      </c>
      <c r="V76" s="19" t="s">
        <v>445</v>
      </c>
      <c r="W76" s="19" t="s">
        <v>397</v>
      </c>
      <c r="X76" s="19"/>
      <c r="Y76" s="21">
        <v>1.25</v>
      </c>
      <c r="Z76" s="92">
        <v>1.3</v>
      </c>
      <c r="AA76" s="92">
        <v>1</v>
      </c>
    </row>
    <row r="77" spans="1:27" x14ac:dyDescent="0.25">
      <c r="A77" s="33">
        <f t="shared" si="12"/>
        <v>74</v>
      </c>
      <c r="B77" s="19">
        <v>17019</v>
      </c>
      <c r="C77" s="19" t="s">
        <v>446</v>
      </c>
      <c r="D77" s="19" t="s">
        <v>393</v>
      </c>
      <c r="E77" s="19" t="s">
        <v>394</v>
      </c>
      <c r="F77" s="19" t="s">
        <v>110</v>
      </c>
      <c r="G77" s="19" t="s">
        <v>110</v>
      </c>
      <c r="H77" s="19">
        <v>36</v>
      </c>
      <c r="I77" s="19"/>
      <c r="J77" s="19"/>
      <c r="K77" s="19"/>
      <c r="L77" s="19"/>
      <c r="M77" s="19"/>
      <c r="N77" s="19"/>
      <c r="O77" s="19"/>
      <c r="P77" s="19"/>
      <c r="Q77" s="19" t="s">
        <v>395</v>
      </c>
      <c r="R77" s="19">
        <v>1</v>
      </c>
      <c r="S77" s="19"/>
      <c r="T77" s="19">
        <v>1</v>
      </c>
      <c r="U77" s="20">
        <f t="shared" si="14"/>
        <v>1.6500000000000001</v>
      </c>
      <c r="V77" s="19" t="s">
        <v>447</v>
      </c>
      <c r="W77" s="19" t="s">
        <v>397</v>
      </c>
      <c r="X77" s="19"/>
      <c r="Y77" s="21">
        <v>1.5</v>
      </c>
      <c r="Z77" s="92">
        <v>1.3</v>
      </c>
      <c r="AA77" s="92">
        <v>1</v>
      </c>
    </row>
    <row r="78" spans="1:27" x14ac:dyDescent="0.25">
      <c r="A78" s="33">
        <f t="shared" si="12"/>
        <v>75</v>
      </c>
      <c r="B78" s="19">
        <v>17019</v>
      </c>
      <c r="C78" s="19" t="s">
        <v>448</v>
      </c>
      <c r="D78" s="19" t="s">
        <v>393</v>
      </c>
      <c r="E78" s="19" t="s">
        <v>394</v>
      </c>
      <c r="F78" s="19" t="s">
        <v>110</v>
      </c>
      <c r="G78" s="19" t="s">
        <v>110</v>
      </c>
      <c r="H78" s="19">
        <v>42</v>
      </c>
      <c r="I78" s="19"/>
      <c r="J78" s="19"/>
      <c r="K78" s="19"/>
      <c r="L78" s="19"/>
      <c r="M78" s="19"/>
      <c r="N78" s="19"/>
      <c r="O78" s="19"/>
      <c r="P78" s="19"/>
      <c r="Q78" s="19" t="s">
        <v>395</v>
      </c>
      <c r="R78" s="19">
        <v>1</v>
      </c>
      <c r="S78" s="19"/>
      <c r="T78" s="19">
        <v>1</v>
      </c>
      <c r="U78" s="20">
        <f t="shared" si="14"/>
        <v>2.0020000000000002</v>
      </c>
      <c r="V78" s="19" t="s">
        <v>449</v>
      </c>
      <c r="W78" s="19" t="s">
        <v>397</v>
      </c>
      <c r="X78" s="19"/>
      <c r="Y78" s="21">
        <v>1.82</v>
      </c>
      <c r="Z78" s="92">
        <v>1.3</v>
      </c>
      <c r="AA78" s="92">
        <v>1</v>
      </c>
    </row>
    <row r="79" spans="1:27" x14ac:dyDescent="0.25">
      <c r="A79" s="33">
        <f t="shared" si="12"/>
        <v>76</v>
      </c>
      <c r="B79" s="19">
        <v>17019</v>
      </c>
      <c r="C79" s="19" t="s">
        <v>450</v>
      </c>
      <c r="D79" s="19" t="s">
        <v>393</v>
      </c>
      <c r="E79" s="19" t="s">
        <v>394</v>
      </c>
      <c r="F79" s="19" t="s">
        <v>110</v>
      </c>
      <c r="G79" s="19" t="s">
        <v>110</v>
      </c>
      <c r="H79" s="19">
        <v>48</v>
      </c>
      <c r="I79" s="19"/>
      <c r="J79" s="19"/>
      <c r="K79" s="19"/>
      <c r="L79" s="19"/>
      <c r="M79" s="19"/>
      <c r="N79" s="19"/>
      <c r="O79" s="19"/>
      <c r="P79" s="19"/>
      <c r="Q79" s="19" t="s">
        <v>395</v>
      </c>
      <c r="R79" s="19">
        <v>1</v>
      </c>
      <c r="S79" s="19"/>
      <c r="T79" s="19">
        <v>1</v>
      </c>
      <c r="U79" s="20">
        <f t="shared" si="14"/>
        <v>2.3319999999999999</v>
      </c>
      <c r="V79" s="19" t="s">
        <v>451</v>
      </c>
      <c r="W79" s="19" t="s">
        <v>397</v>
      </c>
      <c r="X79" s="19"/>
      <c r="Y79" s="21">
        <v>2.1199999999999997</v>
      </c>
      <c r="Z79" s="92">
        <v>1.3</v>
      </c>
      <c r="AA79" s="92">
        <v>1</v>
      </c>
    </row>
    <row r="80" spans="1:27" x14ac:dyDescent="0.25">
      <c r="A80" s="33">
        <f t="shared" si="12"/>
        <v>77</v>
      </c>
      <c r="B80" s="19">
        <v>17019</v>
      </c>
      <c r="C80" s="19" t="s">
        <v>452</v>
      </c>
      <c r="D80" s="19" t="s">
        <v>393</v>
      </c>
      <c r="E80" s="19" t="s">
        <v>394</v>
      </c>
      <c r="F80" s="19" t="s">
        <v>110</v>
      </c>
      <c r="G80" s="19" t="s">
        <v>110</v>
      </c>
      <c r="H80" s="19">
        <v>54</v>
      </c>
      <c r="I80" s="19"/>
      <c r="J80" s="19"/>
      <c r="K80" s="19"/>
      <c r="L80" s="19"/>
      <c r="M80" s="19"/>
      <c r="N80" s="19"/>
      <c r="O80" s="19"/>
      <c r="P80" s="19"/>
      <c r="Q80" s="19" t="s">
        <v>395</v>
      </c>
      <c r="R80" s="19">
        <v>1</v>
      </c>
      <c r="S80" s="19"/>
      <c r="T80" s="19">
        <v>1</v>
      </c>
      <c r="U80" s="20">
        <f t="shared" si="14"/>
        <v>2.6619999999999999</v>
      </c>
      <c r="V80" s="19" t="s">
        <v>453</v>
      </c>
      <c r="W80" s="19" t="s">
        <v>397</v>
      </c>
      <c r="X80" s="19"/>
      <c r="Y80" s="21">
        <v>2.42</v>
      </c>
      <c r="Z80" s="92">
        <v>1.3</v>
      </c>
      <c r="AA80" s="92">
        <v>1</v>
      </c>
    </row>
    <row r="81" spans="1:27" x14ac:dyDescent="0.25">
      <c r="A81" s="33">
        <f t="shared" si="12"/>
        <v>78</v>
      </c>
      <c r="B81" s="19">
        <v>17019</v>
      </c>
      <c r="C81" s="19" t="s">
        <v>454</v>
      </c>
      <c r="D81" s="19" t="s">
        <v>393</v>
      </c>
      <c r="E81" s="19" t="s">
        <v>394</v>
      </c>
      <c r="F81" s="19" t="s">
        <v>110</v>
      </c>
      <c r="G81" s="19" t="s">
        <v>110</v>
      </c>
      <c r="H81" s="19">
        <v>60</v>
      </c>
      <c r="I81" s="19"/>
      <c r="J81" s="19"/>
      <c r="K81" s="19"/>
      <c r="L81" s="19"/>
      <c r="M81" s="19"/>
      <c r="N81" s="19"/>
      <c r="O81" s="19"/>
      <c r="P81" s="19"/>
      <c r="Q81" s="19" t="s">
        <v>395</v>
      </c>
      <c r="R81" s="19">
        <v>1</v>
      </c>
      <c r="S81" s="19"/>
      <c r="T81" s="19">
        <v>1</v>
      </c>
      <c r="U81" s="20">
        <f t="shared" si="14"/>
        <v>2.992</v>
      </c>
      <c r="V81" s="19" t="s">
        <v>455</v>
      </c>
      <c r="W81" s="19" t="s">
        <v>397</v>
      </c>
      <c r="X81" s="19"/>
      <c r="Y81" s="21">
        <v>2.7199999999999998</v>
      </c>
      <c r="Z81" s="92">
        <v>1.3</v>
      </c>
      <c r="AA81" s="92">
        <v>1</v>
      </c>
    </row>
    <row r="82" spans="1:27" x14ac:dyDescent="0.25">
      <c r="A82" s="33">
        <f t="shared" si="12"/>
        <v>79</v>
      </c>
      <c r="B82" s="19">
        <v>17019</v>
      </c>
      <c r="C82" s="19" t="s">
        <v>456</v>
      </c>
      <c r="D82" s="19" t="s">
        <v>393</v>
      </c>
      <c r="E82" s="19" t="s">
        <v>394</v>
      </c>
      <c r="F82" s="19" t="s">
        <v>110</v>
      </c>
      <c r="G82" s="19" t="s">
        <v>346</v>
      </c>
      <c r="H82" s="19">
        <v>24</v>
      </c>
      <c r="I82" s="19"/>
      <c r="J82" s="19"/>
      <c r="K82" s="19"/>
      <c r="L82" s="19"/>
      <c r="M82" s="19"/>
      <c r="N82" s="19"/>
      <c r="O82" s="19"/>
      <c r="P82" s="19"/>
      <c r="Q82" s="19" t="s">
        <v>395</v>
      </c>
      <c r="R82" s="19">
        <v>1</v>
      </c>
      <c r="S82" s="19"/>
      <c r="T82" s="19">
        <v>1</v>
      </c>
      <c r="U82" s="20">
        <f t="shared" si="14"/>
        <v>0.9900000000000001</v>
      </c>
      <c r="V82" s="19" t="s">
        <v>457</v>
      </c>
      <c r="W82" s="19"/>
      <c r="X82" s="19"/>
      <c r="Y82" s="21">
        <v>0.9</v>
      </c>
      <c r="Z82" s="92">
        <v>1.3</v>
      </c>
      <c r="AA82" s="92">
        <v>1</v>
      </c>
    </row>
    <row r="83" spans="1:27" x14ac:dyDescent="0.25">
      <c r="A83" s="33">
        <f t="shared" si="12"/>
        <v>80</v>
      </c>
      <c r="B83" s="19">
        <v>17019</v>
      </c>
      <c r="C83" s="19" t="s">
        <v>458</v>
      </c>
      <c r="D83" s="19" t="s">
        <v>393</v>
      </c>
      <c r="E83" s="19" t="s">
        <v>394</v>
      </c>
      <c r="F83" s="19" t="s">
        <v>110</v>
      </c>
      <c r="G83" s="19" t="s">
        <v>346</v>
      </c>
      <c r="H83" s="19">
        <v>30</v>
      </c>
      <c r="I83" s="19"/>
      <c r="J83" s="19"/>
      <c r="K83" s="19"/>
      <c r="L83" s="19"/>
      <c r="M83" s="19"/>
      <c r="N83" s="19"/>
      <c r="O83" s="19"/>
      <c r="P83" s="19"/>
      <c r="Q83" s="19" t="s">
        <v>395</v>
      </c>
      <c r="R83" s="19">
        <v>1</v>
      </c>
      <c r="S83" s="19"/>
      <c r="T83" s="19">
        <v>1</v>
      </c>
      <c r="U83" s="20">
        <f t="shared" si="14"/>
        <v>1.375</v>
      </c>
      <c r="V83" s="19" t="s">
        <v>459</v>
      </c>
      <c r="W83" s="19"/>
      <c r="X83" s="19"/>
      <c r="Y83" s="21">
        <v>1.25</v>
      </c>
      <c r="Z83" s="92">
        <v>1.3</v>
      </c>
      <c r="AA83" s="92">
        <v>1</v>
      </c>
    </row>
    <row r="84" spans="1:27" x14ac:dyDescent="0.25">
      <c r="A84" s="33">
        <f t="shared" si="12"/>
        <v>81</v>
      </c>
      <c r="B84" s="19">
        <v>17019</v>
      </c>
      <c r="C84" s="19" t="s">
        <v>460</v>
      </c>
      <c r="D84" s="19" t="s">
        <v>393</v>
      </c>
      <c r="E84" s="19" t="s">
        <v>394</v>
      </c>
      <c r="F84" s="19" t="s">
        <v>110</v>
      </c>
      <c r="G84" s="19" t="s">
        <v>346</v>
      </c>
      <c r="H84" s="19">
        <v>36</v>
      </c>
      <c r="I84" s="19"/>
      <c r="J84" s="19"/>
      <c r="K84" s="19"/>
      <c r="L84" s="19"/>
      <c r="M84" s="19"/>
      <c r="N84" s="19"/>
      <c r="O84" s="19"/>
      <c r="P84" s="19"/>
      <c r="Q84" s="19" t="s">
        <v>395</v>
      </c>
      <c r="R84" s="19">
        <v>1</v>
      </c>
      <c r="S84" s="19"/>
      <c r="T84" s="19">
        <v>1</v>
      </c>
      <c r="U84" s="20">
        <f t="shared" si="14"/>
        <v>1.6500000000000001</v>
      </c>
      <c r="V84" s="19" t="s">
        <v>461</v>
      </c>
      <c r="W84" s="19"/>
      <c r="X84" s="19"/>
      <c r="Y84" s="21">
        <v>1.5</v>
      </c>
      <c r="Z84" s="92">
        <v>1.3</v>
      </c>
      <c r="AA84" s="92">
        <v>1</v>
      </c>
    </row>
    <row r="85" spans="1:27" x14ac:dyDescent="0.25">
      <c r="A85" s="33">
        <f t="shared" si="12"/>
        <v>82</v>
      </c>
      <c r="B85" s="19">
        <v>17019</v>
      </c>
      <c r="C85" s="19" t="s">
        <v>462</v>
      </c>
      <c r="D85" s="19" t="s">
        <v>393</v>
      </c>
      <c r="E85" s="19" t="s">
        <v>394</v>
      </c>
      <c r="F85" s="19" t="s">
        <v>110</v>
      </c>
      <c r="G85" s="19" t="s">
        <v>346</v>
      </c>
      <c r="H85" s="19">
        <v>42</v>
      </c>
      <c r="I85" s="19"/>
      <c r="J85" s="19"/>
      <c r="K85" s="19"/>
      <c r="L85" s="19"/>
      <c r="M85" s="19"/>
      <c r="N85" s="19"/>
      <c r="O85" s="19"/>
      <c r="P85" s="19"/>
      <c r="Q85" s="19" t="s">
        <v>395</v>
      </c>
      <c r="R85" s="19">
        <v>1</v>
      </c>
      <c r="S85" s="19"/>
      <c r="T85" s="19">
        <v>1</v>
      </c>
      <c r="U85" s="20">
        <f t="shared" si="14"/>
        <v>2.0020000000000002</v>
      </c>
      <c r="V85" s="19" t="s">
        <v>463</v>
      </c>
      <c r="W85" s="19"/>
      <c r="X85" s="19"/>
      <c r="Y85" s="21">
        <v>1.82</v>
      </c>
      <c r="Z85" s="92">
        <v>1.3</v>
      </c>
      <c r="AA85" s="92">
        <v>1</v>
      </c>
    </row>
    <row r="86" spans="1:27" x14ac:dyDescent="0.25">
      <c r="A86" s="33">
        <f t="shared" si="12"/>
        <v>83</v>
      </c>
      <c r="B86" s="19">
        <v>17019</v>
      </c>
      <c r="C86" s="19" t="s">
        <v>464</v>
      </c>
      <c r="D86" s="19" t="s">
        <v>393</v>
      </c>
      <c r="E86" s="19" t="s">
        <v>394</v>
      </c>
      <c r="F86" s="19" t="s">
        <v>110</v>
      </c>
      <c r="G86" s="19" t="s">
        <v>346</v>
      </c>
      <c r="H86" s="19">
        <v>48</v>
      </c>
      <c r="I86" s="19"/>
      <c r="J86" s="19"/>
      <c r="K86" s="19"/>
      <c r="L86" s="19"/>
      <c r="M86" s="19"/>
      <c r="N86" s="19"/>
      <c r="O86" s="19"/>
      <c r="P86" s="19"/>
      <c r="Q86" s="19" t="s">
        <v>395</v>
      </c>
      <c r="R86" s="19">
        <v>1</v>
      </c>
      <c r="S86" s="19"/>
      <c r="T86" s="19">
        <v>1</v>
      </c>
      <c r="U86" s="20">
        <f t="shared" si="14"/>
        <v>2.3319999999999999</v>
      </c>
      <c r="V86" s="19" t="s">
        <v>465</v>
      </c>
      <c r="W86" s="19"/>
      <c r="X86" s="19"/>
      <c r="Y86" s="21">
        <v>2.1199999999999997</v>
      </c>
      <c r="Z86" s="92">
        <v>1.3</v>
      </c>
      <c r="AA86" s="92">
        <v>1</v>
      </c>
    </row>
    <row r="87" spans="1:27" x14ac:dyDescent="0.25">
      <c r="A87" s="33">
        <f t="shared" si="12"/>
        <v>84</v>
      </c>
      <c r="B87" s="19">
        <v>17019</v>
      </c>
      <c r="C87" s="19" t="s">
        <v>466</v>
      </c>
      <c r="D87" s="19" t="s">
        <v>393</v>
      </c>
      <c r="E87" s="19" t="s">
        <v>394</v>
      </c>
      <c r="F87" s="19" t="s">
        <v>110</v>
      </c>
      <c r="G87" s="19" t="s">
        <v>346</v>
      </c>
      <c r="H87" s="19">
        <v>54</v>
      </c>
      <c r="I87" s="19"/>
      <c r="J87" s="19"/>
      <c r="K87" s="19"/>
      <c r="L87" s="19"/>
      <c r="M87" s="19"/>
      <c r="N87" s="19"/>
      <c r="O87" s="19"/>
      <c r="P87" s="19"/>
      <c r="Q87" s="19" t="s">
        <v>395</v>
      </c>
      <c r="R87" s="19">
        <v>1</v>
      </c>
      <c r="S87" s="19"/>
      <c r="T87" s="19">
        <v>1</v>
      </c>
      <c r="U87" s="20">
        <f t="shared" si="14"/>
        <v>2.6619999999999999</v>
      </c>
      <c r="V87" s="19" t="s">
        <v>467</v>
      </c>
      <c r="W87" s="19"/>
      <c r="X87" s="19"/>
      <c r="Y87" s="21">
        <v>2.42</v>
      </c>
      <c r="Z87" s="92">
        <v>1.3</v>
      </c>
      <c r="AA87" s="92">
        <v>1</v>
      </c>
    </row>
    <row r="88" spans="1:27" x14ac:dyDescent="0.25">
      <c r="A88" s="33">
        <f t="shared" si="12"/>
        <v>85</v>
      </c>
      <c r="B88" s="19">
        <v>17019</v>
      </c>
      <c r="C88" s="19" t="s">
        <v>468</v>
      </c>
      <c r="D88" s="19" t="s">
        <v>393</v>
      </c>
      <c r="E88" s="19" t="s">
        <v>394</v>
      </c>
      <c r="F88" s="19" t="s">
        <v>110</v>
      </c>
      <c r="G88" s="19" t="s">
        <v>346</v>
      </c>
      <c r="H88" s="19">
        <v>60</v>
      </c>
      <c r="I88" s="19"/>
      <c r="J88" s="19"/>
      <c r="K88" s="19"/>
      <c r="L88" s="19"/>
      <c r="M88" s="19"/>
      <c r="N88" s="19"/>
      <c r="O88" s="19"/>
      <c r="P88" s="19"/>
      <c r="Q88" s="19" t="s">
        <v>395</v>
      </c>
      <c r="R88" s="19">
        <v>1</v>
      </c>
      <c r="S88" s="19"/>
      <c r="T88" s="19">
        <v>1</v>
      </c>
      <c r="U88" s="20">
        <f t="shared" si="14"/>
        <v>2.992</v>
      </c>
      <c r="V88" s="19" t="s">
        <v>469</v>
      </c>
      <c r="W88" s="19"/>
      <c r="X88" s="19"/>
      <c r="Y88" s="21">
        <v>2.7199999999999998</v>
      </c>
      <c r="Z88" s="92">
        <v>1.3</v>
      </c>
      <c r="AA88" s="92">
        <v>1</v>
      </c>
    </row>
    <row r="89" spans="1:27" x14ac:dyDescent="0.25">
      <c r="A89" s="33">
        <f t="shared" si="12"/>
        <v>86</v>
      </c>
      <c r="B89" s="19">
        <v>17019</v>
      </c>
      <c r="C89" s="19" t="s">
        <v>470</v>
      </c>
      <c r="D89" s="19" t="s">
        <v>393</v>
      </c>
      <c r="E89" s="19" t="s">
        <v>394</v>
      </c>
      <c r="F89" s="19" t="s">
        <v>110</v>
      </c>
      <c r="G89" s="19" t="s">
        <v>126</v>
      </c>
      <c r="H89" s="19">
        <v>24</v>
      </c>
      <c r="I89" s="19"/>
      <c r="J89" s="19"/>
      <c r="K89" s="19"/>
      <c r="L89" s="19"/>
      <c r="M89" s="19"/>
      <c r="N89" s="19"/>
      <c r="O89" s="19"/>
      <c r="P89" s="19"/>
      <c r="Q89" s="19" t="s">
        <v>395</v>
      </c>
      <c r="R89" s="19">
        <v>1</v>
      </c>
      <c r="S89" s="19"/>
      <c r="T89" s="19">
        <v>1</v>
      </c>
      <c r="U89" s="20">
        <f t="shared" si="14"/>
        <v>0.9900000000000001</v>
      </c>
      <c r="V89" s="19" t="s">
        <v>471</v>
      </c>
      <c r="W89" s="19"/>
      <c r="X89" s="19"/>
      <c r="Y89" s="21">
        <v>0.9</v>
      </c>
      <c r="Z89" s="92">
        <v>1.3</v>
      </c>
      <c r="AA89" s="92">
        <v>1</v>
      </c>
    </row>
    <row r="90" spans="1:27" x14ac:dyDescent="0.25">
      <c r="A90" s="33">
        <f t="shared" si="12"/>
        <v>87</v>
      </c>
      <c r="B90" s="19">
        <v>17019</v>
      </c>
      <c r="C90" s="19" t="s">
        <v>472</v>
      </c>
      <c r="D90" s="19" t="s">
        <v>393</v>
      </c>
      <c r="E90" s="19" t="s">
        <v>394</v>
      </c>
      <c r="F90" s="19" t="s">
        <v>110</v>
      </c>
      <c r="G90" s="19" t="s">
        <v>126</v>
      </c>
      <c r="H90" s="19">
        <v>30</v>
      </c>
      <c r="I90" s="19"/>
      <c r="J90" s="19"/>
      <c r="K90" s="19"/>
      <c r="L90" s="19"/>
      <c r="M90" s="19"/>
      <c r="N90" s="19"/>
      <c r="O90" s="19"/>
      <c r="P90" s="19"/>
      <c r="Q90" s="19" t="s">
        <v>395</v>
      </c>
      <c r="R90" s="19">
        <v>1</v>
      </c>
      <c r="S90" s="19"/>
      <c r="T90" s="19">
        <v>1</v>
      </c>
      <c r="U90" s="20">
        <f t="shared" si="14"/>
        <v>1.375</v>
      </c>
      <c r="V90" s="19" t="s">
        <v>473</v>
      </c>
      <c r="W90" s="19"/>
      <c r="X90" s="19"/>
      <c r="Y90" s="21">
        <v>1.25</v>
      </c>
      <c r="Z90" s="92">
        <v>1.3</v>
      </c>
      <c r="AA90" s="92">
        <v>1</v>
      </c>
    </row>
    <row r="91" spans="1:27" x14ac:dyDescent="0.25">
      <c r="A91" s="33">
        <f t="shared" si="12"/>
        <v>88</v>
      </c>
      <c r="B91" s="19">
        <v>17019</v>
      </c>
      <c r="C91" s="19" t="s">
        <v>474</v>
      </c>
      <c r="D91" s="19" t="s">
        <v>393</v>
      </c>
      <c r="E91" s="19" t="s">
        <v>394</v>
      </c>
      <c r="F91" s="19" t="s">
        <v>110</v>
      </c>
      <c r="G91" s="19" t="s">
        <v>126</v>
      </c>
      <c r="H91" s="19">
        <v>36</v>
      </c>
      <c r="I91" s="19"/>
      <c r="J91" s="19"/>
      <c r="K91" s="19"/>
      <c r="L91" s="19"/>
      <c r="M91" s="19"/>
      <c r="N91" s="19"/>
      <c r="O91" s="19"/>
      <c r="P91" s="19"/>
      <c r="Q91" s="19" t="s">
        <v>395</v>
      </c>
      <c r="R91" s="19">
        <v>1</v>
      </c>
      <c r="S91" s="19"/>
      <c r="T91" s="19">
        <v>1</v>
      </c>
      <c r="U91" s="20">
        <f t="shared" si="14"/>
        <v>1.6500000000000001</v>
      </c>
      <c r="V91" s="19" t="s">
        <v>475</v>
      </c>
      <c r="W91" s="19"/>
      <c r="X91" s="19"/>
      <c r="Y91" s="21">
        <v>1.5</v>
      </c>
      <c r="Z91" s="92">
        <v>1.3</v>
      </c>
      <c r="AA91" s="92">
        <v>1</v>
      </c>
    </row>
    <row r="92" spans="1:27" x14ac:dyDescent="0.25">
      <c r="A92" s="33">
        <f t="shared" si="12"/>
        <v>89</v>
      </c>
      <c r="B92" s="19">
        <v>17019</v>
      </c>
      <c r="C92" s="19" t="s">
        <v>476</v>
      </c>
      <c r="D92" s="19" t="s">
        <v>393</v>
      </c>
      <c r="E92" s="19" t="s">
        <v>394</v>
      </c>
      <c r="F92" s="19" t="s">
        <v>110</v>
      </c>
      <c r="G92" s="19" t="s">
        <v>126</v>
      </c>
      <c r="H92" s="19">
        <v>42</v>
      </c>
      <c r="I92" s="19"/>
      <c r="J92" s="19"/>
      <c r="K92" s="19"/>
      <c r="L92" s="19"/>
      <c r="M92" s="19"/>
      <c r="N92" s="19"/>
      <c r="O92" s="19"/>
      <c r="P92" s="19"/>
      <c r="Q92" s="19" t="s">
        <v>395</v>
      </c>
      <c r="R92" s="19">
        <v>1</v>
      </c>
      <c r="S92" s="19"/>
      <c r="T92" s="19">
        <v>1</v>
      </c>
      <c r="U92" s="20">
        <f t="shared" si="14"/>
        <v>2.0020000000000002</v>
      </c>
      <c r="V92" s="19" t="s">
        <v>477</v>
      </c>
      <c r="W92" s="19"/>
      <c r="X92" s="19"/>
      <c r="Y92" s="21">
        <v>1.82</v>
      </c>
      <c r="Z92" s="92">
        <v>1.3</v>
      </c>
      <c r="AA92" s="92">
        <v>1</v>
      </c>
    </row>
    <row r="93" spans="1:27" x14ac:dyDescent="0.25">
      <c r="A93" s="33">
        <f t="shared" si="12"/>
        <v>90</v>
      </c>
      <c r="B93" s="19">
        <v>17019</v>
      </c>
      <c r="C93" s="19" t="s">
        <v>478</v>
      </c>
      <c r="D93" s="19" t="s">
        <v>393</v>
      </c>
      <c r="E93" s="19" t="s">
        <v>394</v>
      </c>
      <c r="F93" s="19" t="s">
        <v>110</v>
      </c>
      <c r="G93" s="19" t="s">
        <v>126</v>
      </c>
      <c r="H93" s="19">
        <v>48</v>
      </c>
      <c r="I93" s="19"/>
      <c r="J93" s="19"/>
      <c r="K93" s="19"/>
      <c r="L93" s="19"/>
      <c r="M93" s="19"/>
      <c r="N93" s="19"/>
      <c r="O93" s="19"/>
      <c r="P93" s="19"/>
      <c r="Q93" s="19" t="s">
        <v>395</v>
      </c>
      <c r="R93" s="19">
        <v>1</v>
      </c>
      <c r="S93" s="19"/>
      <c r="T93" s="19">
        <v>1</v>
      </c>
      <c r="U93" s="20">
        <f t="shared" si="14"/>
        <v>2.3319999999999999</v>
      </c>
      <c r="V93" s="19" t="s">
        <v>479</v>
      </c>
      <c r="W93" s="19"/>
      <c r="X93" s="19"/>
      <c r="Y93" s="21">
        <v>2.1199999999999997</v>
      </c>
      <c r="Z93" s="92">
        <v>1.3</v>
      </c>
      <c r="AA93" s="92">
        <v>1</v>
      </c>
    </row>
    <row r="94" spans="1:27" x14ac:dyDescent="0.25">
      <c r="A94" s="33">
        <f t="shared" si="12"/>
        <v>91</v>
      </c>
      <c r="B94" s="19">
        <v>17019</v>
      </c>
      <c r="C94" s="19" t="s">
        <v>480</v>
      </c>
      <c r="D94" s="19" t="s">
        <v>393</v>
      </c>
      <c r="E94" s="19" t="s">
        <v>394</v>
      </c>
      <c r="F94" s="19" t="s">
        <v>110</v>
      </c>
      <c r="G94" s="19" t="s">
        <v>126</v>
      </c>
      <c r="H94" s="19">
        <v>54</v>
      </c>
      <c r="I94" s="19"/>
      <c r="J94" s="19"/>
      <c r="K94" s="19"/>
      <c r="L94" s="19"/>
      <c r="M94" s="19"/>
      <c r="N94" s="19"/>
      <c r="O94" s="19"/>
      <c r="P94" s="19"/>
      <c r="Q94" s="19" t="s">
        <v>395</v>
      </c>
      <c r="R94" s="19">
        <v>1</v>
      </c>
      <c r="S94" s="19"/>
      <c r="T94" s="19">
        <v>1</v>
      </c>
      <c r="U94" s="20">
        <f t="shared" si="14"/>
        <v>2.6619999999999999</v>
      </c>
      <c r="V94" s="19" t="s">
        <v>481</v>
      </c>
      <c r="W94" s="19"/>
      <c r="X94" s="19"/>
      <c r="Y94" s="21">
        <v>2.42</v>
      </c>
      <c r="Z94" s="92">
        <v>1.3</v>
      </c>
      <c r="AA94" s="92">
        <v>1</v>
      </c>
    </row>
    <row r="95" spans="1:27" x14ac:dyDescent="0.25">
      <c r="A95" s="33">
        <f t="shared" si="12"/>
        <v>92</v>
      </c>
      <c r="B95" s="19">
        <v>17019</v>
      </c>
      <c r="C95" s="19" t="s">
        <v>482</v>
      </c>
      <c r="D95" s="19" t="s">
        <v>393</v>
      </c>
      <c r="E95" s="19" t="s">
        <v>394</v>
      </c>
      <c r="F95" s="19" t="s">
        <v>110</v>
      </c>
      <c r="G95" s="19" t="s">
        <v>126</v>
      </c>
      <c r="H95" s="19">
        <v>60</v>
      </c>
      <c r="I95" s="19"/>
      <c r="J95" s="19"/>
      <c r="K95" s="19"/>
      <c r="L95" s="19"/>
      <c r="M95" s="19"/>
      <c r="N95" s="19"/>
      <c r="O95" s="19"/>
      <c r="P95" s="19"/>
      <c r="Q95" s="19" t="s">
        <v>395</v>
      </c>
      <c r="R95" s="19">
        <v>1</v>
      </c>
      <c r="S95" s="19"/>
      <c r="T95" s="19">
        <v>1</v>
      </c>
      <c r="U95" s="20">
        <f t="shared" si="14"/>
        <v>2.992</v>
      </c>
      <c r="V95" s="19" t="s">
        <v>483</v>
      </c>
      <c r="W95" s="19"/>
      <c r="X95" s="19"/>
      <c r="Y95" s="21">
        <v>2.7199999999999998</v>
      </c>
      <c r="Z95" s="92">
        <v>1.3</v>
      </c>
      <c r="AA95" s="92">
        <v>1</v>
      </c>
    </row>
    <row r="96" spans="1:27" x14ac:dyDescent="0.25">
      <c r="A96" s="33">
        <f t="shared" si="12"/>
        <v>93</v>
      </c>
      <c r="B96" s="19">
        <v>17054</v>
      </c>
      <c r="C96" s="19" t="s">
        <v>484</v>
      </c>
      <c r="D96" s="19" t="s">
        <v>393</v>
      </c>
      <c r="E96" s="19" t="s">
        <v>394</v>
      </c>
      <c r="F96" s="19" t="s">
        <v>22</v>
      </c>
      <c r="G96" s="19" t="s">
        <v>110</v>
      </c>
      <c r="H96" s="19">
        <v>24</v>
      </c>
      <c r="I96" s="19"/>
      <c r="J96" s="19"/>
      <c r="K96" s="19"/>
      <c r="L96" s="19"/>
      <c r="M96" s="19"/>
      <c r="N96" s="19"/>
      <c r="O96" s="19"/>
      <c r="P96" s="19"/>
      <c r="Q96" s="19" t="s">
        <v>395</v>
      </c>
      <c r="R96" s="19">
        <v>1</v>
      </c>
      <c r="S96" s="19"/>
      <c r="T96" s="19">
        <v>1</v>
      </c>
      <c r="U96" s="20">
        <f t="shared" si="14"/>
        <v>0.9900000000000001</v>
      </c>
      <c r="V96" s="19" t="s">
        <v>485</v>
      </c>
      <c r="W96" s="19" t="s">
        <v>397</v>
      </c>
      <c r="X96" s="19"/>
      <c r="Y96" s="21">
        <v>0.9</v>
      </c>
      <c r="Z96" s="92">
        <v>1.3</v>
      </c>
      <c r="AA96" s="92">
        <v>1</v>
      </c>
    </row>
    <row r="97" spans="1:27" x14ac:dyDescent="0.25">
      <c r="A97" s="33">
        <f t="shared" si="12"/>
        <v>94</v>
      </c>
      <c r="B97" s="19">
        <v>17054</v>
      </c>
      <c r="C97" s="19" t="s">
        <v>486</v>
      </c>
      <c r="D97" s="19" t="s">
        <v>393</v>
      </c>
      <c r="E97" s="19" t="s">
        <v>394</v>
      </c>
      <c r="F97" s="19" t="s">
        <v>22</v>
      </c>
      <c r="G97" s="19" t="s">
        <v>110</v>
      </c>
      <c r="H97" s="19">
        <v>30</v>
      </c>
      <c r="I97" s="19"/>
      <c r="J97" s="19"/>
      <c r="K97" s="19"/>
      <c r="L97" s="19"/>
      <c r="M97" s="19"/>
      <c r="N97" s="19"/>
      <c r="O97" s="19"/>
      <c r="P97" s="19"/>
      <c r="Q97" s="19" t="s">
        <v>395</v>
      </c>
      <c r="R97" s="19">
        <v>1</v>
      </c>
      <c r="S97" s="19"/>
      <c r="T97" s="19">
        <v>1</v>
      </c>
      <c r="U97" s="20">
        <f t="shared" si="14"/>
        <v>1.375</v>
      </c>
      <c r="V97" s="19" t="s">
        <v>487</v>
      </c>
      <c r="W97" s="19" t="s">
        <v>397</v>
      </c>
      <c r="X97" s="19"/>
      <c r="Y97" s="21">
        <v>1.25</v>
      </c>
      <c r="Z97" s="92">
        <v>1.3</v>
      </c>
      <c r="AA97" s="92">
        <v>1</v>
      </c>
    </row>
    <row r="98" spans="1:27" x14ac:dyDescent="0.25">
      <c r="A98" s="33">
        <f t="shared" si="12"/>
        <v>95</v>
      </c>
      <c r="B98" s="19">
        <v>17054</v>
      </c>
      <c r="C98" s="19" t="s">
        <v>488</v>
      </c>
      <c r="D98" s="19" t="s">
        <v>393</v>
      </c>
      <c r="E98" s="19" t="s">
        <v>394</v>
      </c>
      <c r="F98" s="19" t="s">
        <v>22</v>
      </c>
      <c r="G98" s="19" t="s">
        <v>110</v>
      </c>
      <c r="H98" s="19">
        <v>36</v>
      </c>
      <c r="I98" s="19"/>
      <c r="J98" s="19"/>
      <c r="K98" s="19"/>
      <c r="L98" s="19"/>
      <c r="M98" s="19"/>
      <c r="N98" s="19"/>
      <c r="O98" s="19"/>
      <c r="P98" s="19"/>
      <c r="Q98" s="19" t="s">
        <v>395</v>
      </c>
      <c r="R98" s="19">
        <v>1</v>
      </c>
      <c r="S98" s="19"/>
      <c r="T98" s="19">
        <v>1</v>
      </c>
      <c r="U98" s="20">
        <f t="shared" si="14"/>
        <v>1.6500000000000001</v>
      </c>
      <c r="V98" s="19" t="s">
        <v>489</v>
      </c>
      <c r="W98" s="19" t="s">
        <v>397</v>
      </c>
      <c r="X98" s="19"/>
      <c r="Y98" s="21">
        <v>1.5</v>
      </c>
      <c r="Z98" s="92">
        <v>1.3</v>
      </c>
      <c r="AA98" s="92">
        <v>1</v>
      </c>
    </row>
    <row r="99" spans="1:27" x14ac:dyDescent="0.25">
      <c r="A99" s="33">
        <f t="shared" si="12"/>
        <v>96</v>
      </c>
      <c r="B99" s="19">
        <v>17054</v>
      </c>
      <c r="C99" s="19" t="s">
        <v>490</v>
      </c>
      <c r="D99" s="19" t="s">
        <v>393</v>
      </c>
      <c r="E99" s="19" t="s">
        <v>394</v>
      </c>
      <c r="F99" s="19" t="s">
        <v>22</v>
      </c>
      <c r="G99" s="19" t="s">
        <v>110</v>
      </c>
      <c r="H99" s="19">
        <v>42</v>
      </c>
      <c r="I99" s="19"/>
      <c r="J99" s="19"/>
      <c r="K99" s="19"/>
      <c r="L99" s="19"/>
      <c r="M99" s="19"/>
      <c r="N99" s="19"/>
      <c r="O99" s="19"/>
      <c r="P99" s="19"/>
      <c r="Q99" s="19" t="s">
        <v>395</v>
      </c>
      <c r="R99" s="19">
        <v>1</v>
      </c>
      <c r="S99" s="19"/>
      <c r="T99" s="19">
        <v>1</v>
      </c>
      <c r="U99" s="20">
        <f t="shared" si="14"/>
        <v>2.0020000000000002</v>
      </c>
      <c r="V99" s="19" t="s">
        <v>491</v>
      </c>
      <c r="W99" s="19" t="s">
        <v>397</v>
      </c>
      <c r="X99" s="19"/>
      <c r="Y99" s="21">
        <v>1.82</v>
      </c>
      <c r="Z99" s="92">
        <v>1.3</v>
      </c>
      <c r="AA99" s="92">
        <v>1</v>
      </c>
    </row>
    <row r="100" spans="1:27" x14ac:dyDescent="0.25">
      <c r="A100" s="33">
        <f t="shared" si="12"/>
        <v>97</v>
      </c>
      <c r="B100" s="19">
        <v>17054</v>
      </c>
      <c r="C100" s="19" t="s">
        <v>492</v>
      </c>
      <c r="D100" s="19" t="s">
        <v>393</v>
      </c>
      <c r="E100" s="19" t="s">
        <v>394</v>
      </c>
      <c r="F100" s="19" t="s">
        <v>22</v>
      </c>
      <c r="G100" s="19" t="s">
        <v>110</v>
      </c>
      <c r="H100" s="19">
        <v>48</v>
      </c>
      <c r="I100" s="19"/>
      <c r="J100" s="19"/>
      <c r="K100" s="19"/>
      <c r="L100" s="19"/>
      <c r="M100" s="19"/>
      <c r="N100" s="19"/>
      <c r="O100" s="19"/>
      <c r="P100" s="19"/>
      <c r="Q100" s="19" t="s">
        <v>395</v>
      </c>
      <c r="R100" s="19">
        <v>1</v>
      </c>
      <c r="S100" s="19"/>
      <c r="T100" s="19">
        <v>1</v>
      </c>
      <c r="U100" s="20">
        <f t="shared" si="14"/>
        <v>2.3319999999999999</v>
      </c>
      <c r="V100" s="19" t="s">
        <v>493</v>
      </c>
      <c r="W100" s="19" t="s">
        <v>397</v>
      </c>
      <c r="X100" s="19"/>
      <c r="Y100" s="21">
        <v>2.1199999999999997</v>
      </c>
      <c r="Z100" s="92">
        <v>1.3</v>
      </c>
      <c r="AA100" s="92">
        <v>1</v>
      </c>
    </row>
    <row r="101" spans="1:27" x14ac:dyDescent="0.25">
      <c r="A101" s="33">
        <f t="shared" si="12"/>
        <v>98</v>
      </c>
      <c r="B101" s="19">
        <v>17054</v>
      </c>
      <c r="C101" s="19" t="s">
        <v>494</v>
      </c>
      <c r="D101" s="19" t="s">
        <v>393</v>
      </c>
      <c r="E101" s="19" t="s">
        <v>394</v>
      </c>
      <c r="F101" s="19" t="s">
        <v>22</v>
      </c>
      <c r="G101" s="19" t="s">
        <v>110</v>
      </c>
      <c r="H101" s="19">
        <v>54</v>
      </c>
      <c r="I101" s="19"/>
      <c r="J101" s="19"/>
      <c r="K101" s="19"/>
      <c r="L101" s="19"/>
      <c r="M101" s="19"/>
      <c r="N101" s="19"/>
      <c r="O101" s="19"/>
      <c r="P101" s="19"/>
      <c r="Q101" s="19" t="s">
        <v>395</v>
      </c>
      <c r="R101" s="19">
        <v>1</v>
      </c>
      <c r="S101" s="19"/>
      <c r="T101" s="19">
        <v>1</v>
      </c>
      <c r="U101" s="20">
        <f t="shared" si="14"/>
        <v>2.6619999999999999</v>
      </c>
      <c r="V101" s="19" t="s">
        <v>495</v>
      </c>
      <c r="W101" s="19" t="s">
        <v>397</v>
      </c>
      <c r="X101" s="19"/>
      <c r="Y101" s="21">
        <v>2.42</v>
      </c>
      <c r="Z101" s="92">
        <v>1.3</v>
      </c>
      <c r="AA101" s="92">
        <v>1</v>
      </c>
    </row>
    <row r="102" spans="1:27" x14ac:dyDescent="0.25">
      <c r="A102" s="33">
        <f t="shared" si="12"/>
        <v>99</v>
      </c>
      <c r="B102" s="19">
        <v>17054</v>
      </c>
      <c r="C102" s="19" t="s">
        <v>496</v>
      </c>
      <c r="D102" s="19" t="s">
        <v>393</v>
      </c>
      <c r="E102" s="19" t="s">
        <v>394</v>
      </c>
      <c r="F102" s="19" t="s">
        <v>22</v>
      </c>
      <c r="G102" s="19" t="s">
        <v>110</v>
      </c>
      <c r="H102" s="19">
        <v>60</v>
      </c>
      <c r="I102" s="19"/>
      <c r="J102" s="19"/>
      <c r="K102" s="19"/>
      <c r="L102" s="19"/>
      <c r="M102" s="19"/>
      <c r="N102" s="19"/>
      <c r="O102" s="19"/>
      <c r="P102" s="19"/>
      <c r="Q102" s="19" t="s">
        <v>395</v>
      </c>
      <c r="R102" s="19">
        <v>1</v>
      </c>
      <c r="S102" s="19"/>
      <c r="T102" s="19">
        <v>1</v>
      </c>
      <c r="U102" s="20">
        <f t="shared" si="14"/>
        <v>2.992</v>
      </c>
      <c r="V102" s="19" t="s">
        <v>497</v>
      </c>
      <c r="W102" s="19" t="s">
        <v>397</v>
      </c>
      <c r="X102" s="19"/>
      <c r="Y102" s="21">
        <v>2.7199999999999998</v>
      </c>
      <c r="Z102" s="92">
        <v>1.3</v>
      </c>
      <c r="AA102" s="92">
        <v>1</v>
      </c>
    </row>
    <row r="103" spans="1:27" x14ac:dyDescent="0.25">
      <c r="A103" s="33">
        <f t="shared" si="12"/>
        <v>100</v>
      </c>
      <c r="B103" s="19">
        <v>17054</v>
      </c>
      <c r="C103" s="19" t="s">
        <v>498</v>
      </c>
      <c r="D103" s="19" t="s">
        <v>393</v>
      </c>
      <c r="E103" s="19" t="s">
        <v>394</v>
      </c>
      <c r="F103" s="19" t="s">
        <v>22</v>
      </c>
      <c r="G103" s="19" t="s">
        <v>118</v>
      </c>
      <c r="H103" s="19">
        <v>24</v>
      </c>
      <c r="I103" s="19"/>
      <c r="J103" s="19"/>
      <c r="K103" s="19"/>
      <c r="L103" s="19"/>
      <c r="M103" s="19"/>
      <c r="N103" s="19"/>
      <c r="O103" s="19"/>
      <c r="P103" s="19"/>
      <c r="Q103" s="19" t="s">
        <v>395</v>
      </c>
      <c r="R103" s="19">
        <v>1</v>
      </c>
      <c r="S103" s="19"/>
      <c r="T103" s="19">
        <v>1</v>
      </c>
      <c r="U103" s="20">
        <f t="shared" si="14"/>
        <v>0.9900000000000001</v>
      </c>
      <c r="V103" s="19" t="s">
        <v>499</v>
      </c>
      <c r="W103" s="19"/>
      <c r="X103" s="19"/>
      <c r="Y103" s="21">
        <v>0.9</v>
      </c>
      <c r="Z103" s="92">
        <v>1.3</v>
      </c>
      <c r="AA103" s="92">
        <v>1</v>
      </c>
    </row>
    <row r="104" spans="1:27" x14ac:dyDescent="0.25">
      <c r="A104" s="33">
        <f t="shared" si="12"/>
        <v>101</v>
      </c>
      <c r="B104" s="19">
        <v>17054</v>
      </c>
      <c r="C104" s="19" t="s">
        <v>500</v>
      </c>
      <c r="D104" s="19" t="s">
        <v>393</v>
      </c>
      <c r="E104" s="19" t="s">
        <v>394</v>
      </c>
      <c r="F104" s="19" t="s">
        <v>22</v>
      </c>
      <c r="G104" s="19" t="s">
        <v>118</v>
      </c>
      <c r="H104" s="19">
        <v>30</v>
      </c>
      <c r="I104" s="19"/>
      <c r="J104" s="19"/>
      <c r="K104" s="19"/>
      <c r="L104" s="19"/>
      <c r="M104" s="19"/>
      <c r="N104" s="19"/>
      <c r="O104" s="19"/>
      <c r="P104" s="19"/>
      <c r="Q104" s="19" t="s">
        <v>395</v>
      </c>
      <c r="R104" s="19">
        <v>1</v>
      </c>
      <c r="S104" s="19"/>
      <c r="T104" s="19">
        <v>1</v>
      </c>
      <c r="U104" s="20">
        <f t="shared" si="14"/>
        <v>1.375</v>
      </c>
      <c r="V104" s="19" t="s">
        <v>501</v>
      </c>
      <c r="W104" s="19"/>
      <c r="X104" s="19"/>
      <c r="Y104" s="21">
        <v>1.25</v>
      </c>
      <c r="Z104" s="92">
        <v>1.3</v>
      </c>
      <c r="AA104" s="92">
        <v>1</v>
      </c>
    </row>
    <row r="105" spans="1:27" x14ac:dyDescent="0.25">
      <c r="A105" s="33">
        <f t="shared" si="12"/>
        <v>102</v>
      </c>
      <c r="B105" s="19">
        <v>17054</v>
      </c>
      <c r="C105" s="19" t="s">
        <v>502</v>
      </c>
      <c r="D105" s="19" t="s">
        <v>393</v>
      </c>
      <c r="E105" s="19" t="s">
        <v>394</v>
      </c>
      <c r="F105" s="19" t="s">
        <v>22</v>
      </c>
      <c r="G105" s="19" t="s">
        <v>118</v>
      </c>
      <c r="H105" s="19">
        <v>36</v>
      </c>
      <c r="I105" s="19"/>
      <c r="J105" s="19"/>
      <c r="K105" s="19"/>
      <c r="L105" s="19"/>
      <c r="M105" s="19"/>
      <c r="N105" s="19"/>
      <c r="O105" s="19"/>
      <c r="P105" s="19"/>
      <c r="Q105" s="19" t="s">
        <v>395</v>
      </c>
      <c r="R105" s="19">
        <v>1</v>
      </c>
      <c r="S105" s="19"/>
      <c r="T105" s="19">
        <v>1</v>
      </c>
      <c r="U105" s="20">
        <f t="shared" si="14"/>
        <v>1.6500000000000001</v>
      </c>
      <c r="V105" s="19" t="s">
        <v>503</v>
      </c>
      <c r="W105" s="19"/>
      <c r="X105" s="19"/>
      <c r="Y105" s="21">
        <v>1.5</v>
      </c>
      <c r="Z105" s="92">
        <v>1.3</v>
      </c>
      <c r="AA105" s="92">
        <v>1</v>
      </c>
    </row>
    <row r="106" spans="1:27" x14ac:dyDescent="0.25">
      <c r="A106" s="33">
        <f t="shared" si="12"/>
        <v>103</v>
      </c>
      <c r="B106" s="19">
        <v>17054</v>
      </c>
      <c r="C106" s="19" t="s">
        <v>504</v>
      </c>
      <c r="D106" s="19" t="s">
        <v>393</v>
      </c>
      <c r="E106" s="19" t="s">
        <v>394</v>
      </c>
      <c r="F106" s="19" t="s">
        <v>22</v>
      </c>
      <c r="G106" s="19" t="s">
        <v>118</v>
      </c>
      <c r="H106" s="19">
        <v>42</v>
      </c>
      <c r="I106" s="19"/>
      <c r="J106" s="19"/>
      <c r="K106" s="19"/>
      <c r="L106" s="19"/>
      <c r="M106" s="19"/>
      <c r="N106" s="19"/>
      <c r="O106" s="19"/>
      <c r="P106" s="19"/>
      <c r="Q106" s="19" t="s">
        <v>395</v>
      </c>
      <c r="R106" s="19">
        <v>1</v>
      </c>
      <c r="S106" s="19"/>
      <c r="T106" s="19">
        <v>1</v>
      </c>
      <c r="U106" s="20">
        <f t="shared" si="14"/>
        <v>2.0020000000000002</v>
      </c>
      <c r="V106" s="19" t="s">
        <v>505</v>
      </c>
      <c r="W106" s="19"/>
      <c r="X106" s="19"/>
      <c r="Y106" s="21">
        <v>1.82</v>
      </c>
      <c r="Z106" s="92">
        <v>1.3</v>
      </c>
      <c r="AA106" s="92">
        <v>1</v>
      </c>
    </row>
    <row r="107" spans="1:27" x14ac:dyDescent="0.25">
      <c r="A107" s="33">
        <f t="shared" si="12"/>
        <v>104</v>
      </c>
      <c r="B107" s="19">
        <v>17054</v>
      </c>
      <c r="C107" s="19" t="s">
        <v>506</v>
      </c>
      <c r="D107" s="19" t="s">
        <v>393</v>
      </c>
      <c r="E107" s="19" t="s">
        <v>394</v>
      </c>
      <c r="F107" s="19" t="s">
        <v>22</v>
      </c>
      <c r="G107" s="19" t="s">
        <v>118</v>
      </c>
      <c r="H107" s="19">
        <v>48</v>
      </c>
      <c r="I107" s="19"/>
      <c r="J107" s="19"/>
      <c r="K107" s="19"/>
      <c r="L107" s="19"/>
      <c r="M107" s="19"/>
      <c r="N107" s="19"/>
      <c r="O107" s="19"/>
      <c r="P107" s="19"/>
      <c r="Q107" s="19" t="s">
        <v>395</v>
      </c>
      <c r="R107" s="19">
        <v>1</v>
      </c>
      <c r="S107" s="19"/>
      <c r="T107" s="19">
        <v>1</v>
      </c>
      <c r="U107" s="20">
        <f t="shared" si="14"/>
        <v>2.3319999999999999</v>
      </c>
      <c r="V107" s="19" t="s">
        <v>507</v>
      </c>
      <c r="W107" s="19"/>
      <c r="X107" s="19"/>
      <c r="Y107" s="21">
        <v>2.1199999999999997</v>
      </c>
      <c r="Z107" s="92">
        <v>1.3</v>
      </c>
      <c r="AA107" s="92">
        <v>1</v>
      </c>
    </row>
    <row r="108" spans="1:27" x14ac:dyDescent="0.25">
      <c r="A108" s="33">
        <f t="shared" si="12"/>
        <v>105</v>
      </c>
      <c r="B108" s="19">
        <v>17054</v>
      </c>
      <c r="C108" s="19" t="s">
        <v>508</v>
      </c>
      <c r="D108" s="19" t="s">
        <v>393</v>
      </c>
      <c r="E108" s="19" t="s">
        <v>394</v>
      </c>
      <c r="F108" s="19" t="s">
        <v>22</v>
      </c>
      <c r="G108" s="19" t="s">
        <v>118</v>
      </c>
      <c r="H108" s="19">
        <v>54</v>
      </c>
      <c r="I108" s="19"/>
      <c r="J108" s="19"/>
      <c r="K108" s="19"/>
      <c r="L108" s="19"/>
      <c r="M108" s="19"/>
      <c r="N108" s="19"/>
      <c r="O108" s="19"/>
      <c r="P108" s="19"/>
      <c r="Q108" s="19" t="s">
        <v>395</v>
      </c>
      <c r="R108" s="19">
        <v>1</v>
      </c>
      <c r="S108" s="19"/>
      <c r="T108" s="19">
        <v>1</v>
      </c>
      <c r="U108" s="20">
        <f t="shared" si="14"/>
        <v>2.6619999999999999</v>
      </c>
      <c r="V108" s="19" t="s">
        <v>509</v>
      </c>
      <c r="W108" s="19"/>
      <c r="X108" s="19"/>
      <c r="Y108" s="21">
        <v>2.42</v>
      </c>
      <c r="Z108" s="92">
        <v>1.3</v>
      </c>
      <c r="AA108" s="92">
        <v>1</v>
      </c>
    </row>
    <row r="109" spans="1:27" x14ac:dyDescent="0.25">
      <c r="A109" s="33">
        <f t="shared" ref="A109:A172" si="15">ROW()-3</f>
        <v>106</v>
      </c>
      <c r="B109" s="19">
        <v>17054</v>
      </c>
      <c r="C109" s="19" t="s">
        <v>510</v>
      </c>
      <c r="D109" s="19" t="s">
        <v>393</v>
      </c>
      <c r="E109" s="19" t="s">
        <v>394</v>
      </c>
      <c r="F109" s="19" t="s">
        <v>22</v>
      </c>
      <c r="G109" s="19" t="s">
        <v>118</v>
      </c>
      <c r="H109" s="19">
        <v>60</v>
      </c>
      <c r="I109" s="19"/>
      <c r="J109" s="19"/>
      <c r="K109" s="19"/>
      <c r="L109" s="19"/>
      <c r="M109" s="19"/>
      <c r="N109" s="19"/>
      <c r="O109" s="19"/>
      <c r="P109" s="19"/>
      <c r="Q109" s="19" t="s">
        <v>395</v>
      </c>
      <c r="R109" s="19">
        <v>1</v>
      </c>
      <c r="S109" s="19"/>
      <c r="T109" s="19">
        <v>1</v>
      </c>
      <c r="U109" s="20">
        <f t="shared" si="14"/>
        <v>2.992</v>
      </c>
      <c r="V109" s="19" t="s">
        <v>511</v>
      </c>
      <c r="W109" s="19"/>
      <c r="X109" s="19"/>
      <c r="Y109" s="21">
        <v>2.7199999999999998</v>
      </c>
      <c r="Z109" s="92">
        <v>1.3</v>
      </c>
      <c r="AA109" s="92">
        <v>1</v>
      </c>
    </row>
    <row r="110" spans="1:27" x14ac:dyDescent="0.25">
      <c r="A110" s="33">
        <f t="shared" si="15"/>
        <v>107</v>
      </c>
      <c r="B110" s="19">
        <v>17054</v>
      </c>
      <c r="C110" s="19" t="s">
        <v>512</v>
      </c>
      <c r="D110" s="19" t="s">
        <v>393</v>
      </c>
      <c r="E110" s="19" t="s">
        <v>394</v>
      </c>
      <c r="F110" s="19" t="s">
        <v>22</v>
      </c>
      <c r="G110" s="19" t="s">
        <v>157</v>
      </c>
      <c r="H110" s="19">
        <v>24</v>
      </c>
      <c r="I110" s="19"/>
      <c r="J110" s="19"/>
      <c r="K110" s="19"/>
      <c r="L110" s="19"/>
      <c r="M110" s="19"/>
      <c r="N110" s="19"/>
      <c r="O110" s="19"/>
      <c r="P110" s="19"/>
      <c r="Q110" s="19" t="s">
        <v>395</v>
      </c>
      <c r="R110" s="19">
        <v>1</v>
      </c>
      <c r="S110" s="19"/>
      <c r="T110" s="19">
        <v>1</v>
      </c>
      <c r="U110" s="20">
        <f t="shared" si="14"/>
        <v>0.9900000000000001</v>
      </c>
      <c r="V110" s="19" t="s">
        <v>513</v>
      </c>
      <c r="W110" s="19"/>
      <c r="X110" s="19"/>
      <c r="Y110" s="21">
        <v>0.9</v>
      </c>
      <c r="Z110" s="92">
        <v>1.3</v>
      </c>
      <c r="AA110" s="92">
        <v>1</v>
      </c>
    </row>
    <row r="111" spans="1:27" x14ac:dyDescent="0.25">
      <c r="A111" s="33">
        <f t="shared" si="15"/>
        <v>108</v>
      </c>
      <c r="B111" s="19">
        <v>17054</v>
      </c>
      <c r="C111" s="19" t="s">
        <v>514</v>
      </c>
      <c r="D111" s="19" t="s">
        <v>393</v>
      </c>
      <c r="E111" s="19" t="s">
        <v>394</v>
      </c>
      <c r="F111" s="19" t="s">
        <v>22</v>
      </c>
      <c r="G111" s="19" t="s">
        <v>157</v>
      </c>
      <c r="H111" s="19">
        <v>30</v>
      </c>
      <c r="I111" s="19"/>
      <c r="J111" s="19"/>
      <c r="K111" s="19"/>
      <c r="L111" s="19"/>
      <c r="M111" s="19"/>
      <c r="N111" s="19"/>
      <c r="O111" s="19"/>
      <c r="P111" s="19"/>
      <c r="Q111" s="19" t="s">
        <v>395</v>
      </c>
      <c r="R111" s="19">
        <v>1</v>
      </c>
      <c r="S111" s="19"/>
      <c r="T111" s="19">
        <v>1</v>
      </c>
      <c r="U111" s="20">
        <f t="shared" si="14"/>
        <v>1.375</v>
      </c>
      <c r="V111" s="19" t="s">
        <v>515</v>
      </c>
      <c r="W111" s="19"/>
      <c r="X111" s="19"/>
      <c r="Y111" s="21">
        <v>1.25</v>
      </c>
      <c r="Z111" s="92">
        <v>1.3</v>
      </c>
      <c r="AA111" s="92">
        <v>1</v>
      </c>
    </row>
    <row r="112" spans="1:27" x14ac:dyDescent="0.25">
      <c r="A112" s="33">
        <f t="shared" si="15"/>
        <v>109</v>
      </c>
      <c r="B112" s="19">
        <v>17054</v>
      </c>
      <c r="C112" s="19" t="s">
        <v>516</v>
      </c>
      <c r="D112" s="19" t="s">
        <v>393</v>
      </c>
      <c r="E112" s="19" t="s">
        <v>394</v>
      </c>
      <c r="F112" s="19" t="s">
        <v>22</v>
      </c>
      <c r="G112" s="19" t="s">
        <v>157</v>
      </c>
      <c r="H112" s="19">
        <v>36</v>
      </c>
      <c r="I112" s="19"/>
      <c r="J112" s="19"/>
      <c r="K112" s="19"/>
      <c r="L112" s="19"/>
      <c r="M112" s="19"/>
      <c r="N112" s="19"/>
      <c r="O112" s="19"/>
      <c r="P112" s="19"/>
      <c r="Q112" s="19" t="s">
        <v>395</v>
      </c>
      <c r="R112" s="19">
        <v>1</v>
      </c>
      <c r="S112" s="19"/>
      <c r="T112" s="19">
        <v>1</v>
      </c>
      <c r="U112" s="20">
        <f t="shared" si="14"/>
        <v>1.6500000000000001</v>
      </c>
      <c r="V112" s="19" t="s">
        <v>517</v>
      </c>
      <c r="W112" s="19"/>
      <c r="X112" s="19"/>
      <c r="Y112" s="21">
        <v>1.5</v>
      </c>
      <c r="Z112" s="92">
        <v>1.3</v>
      </c>
      <c r="AA112" s="92">
        <v>1</v>
      </c>
    </row>
    <row r="113" spans="1:28" x14ac:dyDescent="0.25">
      <c r="A113" s="33">
        <f t="shared" si="15"/>
        <v>110</v>
      </c>
      <c r="B113" s="19">
        <v>17054</v>
      </c>
      <c r="C113" s="19" t="s">
        <v>518</v>
      </c>
      <c r="D113" s="19" t="s">
        <v>393</v>
      </c>
      <c r="E113" s="19" t="s">
        <v>394</v>
      </c>
      <c r="F113" s="19" t="s">
        <v>22</v>
      </c>
      <c r="G113" s="19" t="s">
        <v>157</v>
      </c>
      <c r="H113" s="19">
        <v>42</v>
      </c>
      <c r="I113" s="19"/>
      <c r="J113" s="19"/>
      <c r="K113" s="19"/>
      <c r="L113" s="19"/>
      <c r="M113" s="19"/>
      <c r="N113" s="19"/>
      <c r="O113" s="19"/>
      <c r="P113" s="19"/>
      <c r="Q113" s="19" t="s">
        <v>395</v>
      </c>
      <c r="R113" s="19">
        <v>1</v>
      </c>
      <c r="S113" s="19"/>
      <c r="T113" s="19">
        <v>1</v>
      </c>
      <c r="U113" s="20">
        <f t="shared" si="14"/>
        <v>2.0020000000000002</v>
      </c>
      <c r="V113" s="19" t="s">
        <v>519</v>
      </c>
      <c r="W113" s="19"/>
      <c r="X113" s="19"/>
      <c r="Y113" s="21">
        <v>1.82</v>
      </c>
      <c r="Z113" s="92">
        <v>1.3</v>
      </c>
      <c r="AA113" s="92">
        <v>1</v>
      </c>
    </row>
    <row r="114" spans="1:28" x14ac:dyDescent="0.25">
      <c r="A114" s="33">
        <f t="shared" si="15"/>
        <v>111</v>
      </c>
      <c r="B114" s="19">
        <v>17054</v>
      </c>
      <c r="C114" s="19" t="s">
        <v>520</v>
      </c>
      <c r="D114" s="19" t="s">
        <v>393</v>
      </c>
      <c r="E114" s="19" t="s">
        <v>394</v>
      </c>
      <c r="F114" s="19" t="s">
        <v>22</v>
      </c>
      <c r="G114" s="19" t="s">
        <v>157</v>
      </c>
      <c r="H114" s="19">
        <v>48</v>
      </c>
      <c r="I114" s="19"/>
      <c r="J114" s="19"/>
      <c r="K114" s="19"/>
      <c r="L114" s="19"/>
      <c r="M114" s="19"/>
      <c r="N114" s="19"/>
      <c r="O114" s="19"/>
      <c r="P114" s="19"/>
      <c r="Q114" s="19" t="s">
        <v>395</v>
      </c>
      <c r="R114" s="19">
        <v>1</v>
      </c>
      <c r="S114" s="19"/>
      <c r="T114" s="19">
        <v>1</v>
      </c>
      <c r="U114" s="20">
        <f t="shared" si="14"/>
        <v>2.3319999999999999</v>
      </c>
      <c r="V114" s="19" t="s">
        <v>521</v>
      </c>
      <c r="W114" s="19"/>
      <c r="X114" s="19"/>
      <c r="Y114" s="21">
        <v>2.1199999999999997</v>
      </c>
      <c r="Z114" s="92">
        <v>1.3</v>
      </c>
      <c r="AA114" s="92">
        <v>1</v>
      </c>
    </row>
    <row r="115" spans="1:28" x14ac:dyDescent="0.25">
      <c r="A115" s="33">
        <f t="shared" si="15"/>
        <v>112</v>
      </c>
      <c r="B115" s="19">
        <v>17054</v>
      </c>
      <c r="C115" s="19" t="s">
        <v>522</v>
      </c>
      <c r="D115" s="19" t="s">
        <v>393</v>
      </c>
      <c r="E115" s="19" t="s">
        <v>394</v>
      </c>
      <c r="F115" s="19" t="s">
        <v>22</v>
      </c>
      <c r="G115" s="19" t="s">
        <v>157</v>
      </c>
      <c r="H115" s="19">
        <v>54</v>
      </c>
      <c r="I115" s="19"/>
      <c r="J115" s="19"/>
      <c r="K115" s="19"/>
      <c r="L115" s="19"/>
      <c r="M115" s="19"/>
      <c r="N115" s="19"/>
      <c r="O115" s="19"/>
      <c r="P115" s="19"/>
      <c r="Q115" s="19" t="s">
        <v>395</v>
      </c>
      <c r="R115" s="19">
        <v>1</v>
      </c>
      <c r="S115" s="19"/>
      <c r="T115" s="19">
        <v>1</v>
      </c>
      <c r="U115" s="20">
        <f t="shared" si="14"/>
        <v>2.6619999999999999</v>
      </c>
      <c r="V115" s="19" t="s">
        <v>523</v>
      </c>
      <c r="W115" s="19"/>
      <c r="X115" s="19"/>
      <c r="Y115" s="21">
        <v>2.42</v>
      </c>
      <c r="Z115" s="92">
        <v>1.3</v>
      </c>
      <c r="AA115" s="92">
        <v>1</v>
      </c>
    </row>
    <row r="116" spans="1:28" x14ac:dyDescent="0.25">
      <c r="A116" s="33">
        <f t="shared" si="15"/>
        <v>113</v>
      </c>
      <c r="B116" s="19">
        <v>17054</v>
      </c>
      <c r="C116" s="19" t="s">
        <v>524</v>
      </c>
      <c r="D116" s="19" t="s">
        <v>393</v>
      </c>
      <c r="E116" s="19" t="s">
        <v>394</v>
      </c>
      <c r="F116" s="19" t="s">
        <v>22</v>
      </c>
      <c r="G116" s="19" t="s">
        <v>157</v>
      </c>
      <c r="H116" s="19">
        <v>60</v>
      </c>
      <c r="I116" s="19"/>
      <c r="J116" s="19"/>
      <c r="K116" s="19"/>
      <c r="L116" s="19"/>
      <c r="M116" s="19"/>
      <c r="N116" s="19"/>
      <c r="O116" s="19"/>
      <c r="P116" s="19"/>
      <c r="Q116" s="19" t="s">
        <v>395</v>
      </c>
      <c r="R116" s="19">
        <v>1</v>
      </c>
      <c r="S116" s="19"/>
      <c r="T116" s="19">
        <v>1</v>
      </c>
      <c r="U116" s="20">
        <f t="shared" si="14"/>
        <v>2.992</v>
      </c>
      <c r="V116" s="19" t="s">
        <v>525</v>
      </c>
      <c r="W116" s="19"/>
      <c r="X116" s="19"/>
      <c r="Y116" s="21">
        <v>2.7199999999999998</v>
      </c>
      <c r="Z116" s="92">
        <v>1.3</v>
      </c>
      <c r="AA116" s="92">
        <v>1</v>
      </c>
    </row>
    <row r="117" spans="1:28" x14ac:dyDescent="0.25">
      <c r="A117" s="33">
        <f t="shared" si="15"/>
        <v>114</v>
      </c>
      <c r="B117" s="19">
        <v>17054</v>
      </c>
      <c r="C117" s="19" t="s">
        <v>526</v>
      </c>
      <c r="D117" s="19" t="s">
        <v>393</v>
      </c>
      <c r="E117" s="19" t="s">
        <v>394</v>
      </c>
      <c r="F117" s="19" t="s">
        <v>22</v>
      </c>
      <c r="G117" s="19" t="s">
        <v>126</v>
      </c>
      <c r="H117" s="19">
        <v>24</v>
      </c>
      <c r="I117" s="19"/>
      <c r="J117" s="19"/>
      <c r="K117" s="19"/>
      <c r="L117" s="19"/>
      <c r="M117" s="19"/>
      <c r="N117" s="19"/>
      <c r="O117" s="19"/>
      <c r="P117" s="19"/>
      <c r="Q117" s="19" t="s">
        <v>395</v>
      </c>
      <c r="R117" s="19">
        <v>1</v>
      </c>
      <c r="S117" s="19"/>
      <c r="T117" s="19">
        <v>1</v>
      </c>
      <c r="U117" s="20">
        <f t="shared" ref="U117:U152" si="16">Y117*1.1</f>
        <v>0.9900000000000001</v>
      </c>
      <c r="V117" s="19" t="s">
        <v>527</v>
      </c>
      <c r="W117" s="19"/>
      <c r="X117" s="19"/>
      <c r="Y117" s="21">
        <v>0.9</v>
      </c>
      <c r="Z117" s="92">
        <v>1.3</v>
      </c>
      <c r="AA117" s="92">
        <v>1</v>
      </c>
    </row>
    <row r="118" spans="1:28" x14ac:dyDescent="0.25">
      <c r="A118" s="33">
        <f t="shared" si="15"/>
        <v>115</v>
      </c>
      <c r="B118" s="19">
        <v>17054</v>
      </c>
      <c r="C118" s="19" t="s">
        <v>528</v>
      </c>
      <c r="D118" s="19" t="s">
        <v>393</v>
      </c>
      <c r="E118" s="19" t="s">
        <v>394</v>
      </c>
      <c r="F118" s="19" t="s">
        <v>22</v>
      </c>
      <c r="G118" s="19" t="s">
        <v>126</v>
      </c>
      <c r="H118" s="19">
        <v>30</v>
      </c>
      <c r="I118" s="19"/>
      <c r="J118" s="19"/>
      <c r="K118" s="19"/>
      <c r="L118" s="19"/>
      <c r="M118" s="19"/>
      <c r="N118" s="19"/>
      <c r="O118" s="19"/>
      <c r="P118" s="19"/>
      <c r="Q118" s="19" t="s">
        <v>395</v>
      </c>
      <c r="R118" s="19">
        <v>1</v>
      </c>
      <c r="S118" s="19"/>
      <c r="T118" s="19">
        <v>1</v>
      </c>
      <c r="U118" s="20">
        <f t="shared" si="16"/>
        <v>1.375</v>
      </c>
      <c r="V118" s="19" t="s">
        <v>529</v>
      </c>
      <c r="W118" s="19"/>
      <c r="X118" s="19"/>
      <c r="Y118" s="21">
        <v>1.25</v>
      </c>
      <c r="Z118" s="92">
        <v>1.3</v>
      </c>
      <c r="AA118" s="92">
        <v>1</v>
      </c>
    </row>
    <row r="119" spans="1:28" x14ac:dyDescent="0.25">
      <c r="A119" s="33">
        <f t="shared" si="15"/>
        <v>116</v>
      </c>
      <c r="B119" s="19">
        <v>17054</v>
      </c>
      <c r="C119" s="19" t="s">
        <v>530</v>
      </c>
      <c r="D119" s="19" t="s">
        <v>393</v>
      </c>
      <c r="E119" s="19" t="s">
        <v>394</v>
      </c>
      <c r="F119" s="19" t="s">
        <v>22</v>
      </c>
      <c r="G119" s="19" t="s">
        <v>126</v>
      </c>
      <c r="H119" s="19">
        <v>36</v>
      </c>
      <c r="I119" s="19"/>
      <c r="J119" s="19"/>
      <c r="K119" s="19"/>
      <c r="L119" s="19"/>
      <c r="M119" s="19"/>
      <c r="N119" s="19"/>
      <c r="O119" s="19"/>
      <c r="P119" s="19"/>
      <c r="Q119" s="19" t="s">
        <v>395</v>
      </c>
      <c r="R119" s="19">
        <v>1</v>
      </c>
      <c r="S119" s="19"/>
      <c r="T119" s="19">
        <v>1</v>
      </c>
      <c r="U119" s="20">
        <f t="shared" si="16"/>
        <v>1.6500000000000001</v>
      </c>
      <c r="V119" s="19" t="s">
        <v>531</v>
      </c>
      <c r="W119" s="19"/>
      <c r="X119" s="19"/>
      <c r="Y119" s="21">
        <v>1.5</v>
      </c>
      <c r="Z119" s="92">
        <v>1.3</v>
      </c>
      <c r="AA119" s="92">
        <v>1</v>
      </c>
    </row>
    <row r="120" spans="1:28" x14ac:dyDescent="0.25">
      <c r="A120" s="33">
        <f t="shared" si="15"/>
        <v>117</v>
      </c>
      <c r="B120" s="19">
        <v>17054</v>
      </c>
      <c r="C120" s="19" t="s">
        <v>532</v>
      </c>
      <c r="D120" s="19" t="s">
        <v>393</v>
      </c>
      <c r="E120" s="19" t="s">
        <v>394</v>
      </c>
      <c r="F120" s="19" t="s">
        <v>22</v>
      </c>
      <c r="G120" s="19" t="s">
        <v>126</v>
      </c>
      <c r="H120" s="19">
        <v>42</v>
      </c>
      <c r="I120" s="19"/>
      <c r="J120" s="19"/>
      <c r="K120" s="19"/>
      <c r="L120" s="19"/>
      <c r="M120" s="19"/>
      <c r="N120" s="19"/>
      <c r="O120" s="19"/>
      <c r="P120" s="19"/>
      <c r="Q120" s="19" t="s">
        <v>395</v>
      </c>
      <c r="R120" s="19">
        <v>1</v>
      </c>
      <c r="S120" s="19"/>
      <c r="T120" s="19">
        <v>1</v>
      </c>
      <c r="U120" s="20">
        <f t="shared" si="16"/>
        <v>2.0020000000000002</v>
      </c>
      <c r="V120" s="19" t="s">
        <v>533</v>
      </c>
      <c r="W120" s="19"/>
      <c r="X120" s="19"/>
      <c r="Y120" s="21">
        <v>1.82</v>
      </c>
      <c r="Z120" s="92">
        <v>1.3</v>
      </c>
      <c r="AA120" s="92">
        <v>1</v>
      </c>
    </row>
    <row r="121" spans="1:28" x14ac:dyDescent="0.25">
      <c r="A121" s="33">
        <f t="shared" si="15"/>
        <v>118</v>
      </c>
      <c r="B121" s="19">
        <v>17054</v>
      </c>
      <c r="C121" s="19" t="s">
        <v>534</v>
      </c>
      <c r="D121" s="19" t="s">
        <v>393</v>
      </c>
      <c r="E121" s="19" t="s">
        <v>394</v>
      </c>
      <c r="F121" s="19" t="s">
        <v>22</v>
      </c>
      <c r="G121" s="19" t="s">
        <v>126</v>
      </c>
      <c r="H121" s="19">
        <v>48</v>
      </c>
      <c r="I121" s="19"/>
      <c r="J121" s="19"/>
      <c r="K121" s="19"/>
      <c r="L121" s="19"/>
      <c r="M121" s="19"/>
      <c r="N121" s="19"/>
      <c r="O121" s="19"/>
      <c r="P121" s="19"/>
      <c r="Q121" s="19" t="s">
        <v>395</v>
      </c>
      <c r="R121" s="19">
        <v>1</v>
      </c>
      <c r="S121" s="19"/>
      <c r="T121" s="19">
        <v>1</v>
      </c>
      <c r="U121" s="20">
        <f t="shared" si="16"/>
        <v>2.3319999999999999</v>
      </c>
      <c r="V121" s="19" t="s">
        <v>535</v>
      </c>
      <c r="W121" s="19"/>
      <c r="X121" s="19"/>
      <c r="Y121" s="21">
        <v>2.1199999999999997</v>
      </c>
      <c r="Z121" s="92">
        <v>1.3</v>
      </c>
      <c r="AA121" s="92">
        <v>1</v>
      </c>
    </row>
    <row r="122" spans="1:28" x14ac:dyDescent="0.25">
      <c r="A122" s="33">
        <f t="shared" si="15"/>
        <v>119</v>
      </c>
      <c r="B122" s="19">
        <v>17054</v>
      </c>
      <c r="C122" s="19" t="s">
        <v>536</v>
      </c>
      <c r="D122" s="19" t="s">
        <v>393</v>
      </c>
      <c r="E122" s="19" t="s">
        <v>394</v>
      </c>
      <c r="F122" s="19" t="s">
        <v>22</v>
      </c>
      <c r="G122" s="19" t="s">
        <v>126</v>
      </c>
      <c r="H122" s="19">
        <v>54</v>
      </c>
      <c r="I122" s="19"/>
      <c r="J122" s="19"/>
      <c r="K122" s="19"/>
      <c r="L122" s="19"/>
      <c r="M122" s="19"/>
      <c r="N122" s="19"/>
      <c r="O122" s="19"/>
      <c r="P122" s="19"/>
      <c r="Q122" s="19" t="s">
        <v>395</v>
      </c>
      <c r="R122" s="19">
        <v>1</v>
      </c>
      <c r="S122" s="19"/>
      <c r="T122" s="19">
        <v>1</v>
      </c>
      <c r="U122" s="20">
        <f t="shared" si="16"/>
        <v>2.6619999999999999</v>
      </c>
      <c r="V122" s="19" t="s">
        <v>537</v>
      </c>
      <c r="W122" s="19"/>
      <c r="X122" s="19"/>
      <c r="Y122" s="21">
        <v>2.42</v>
      </c>
      <c r="Z122" s="92">
        <v>1.3</v>
      </c>
      <c r="AA122" s="92">
        <v>1</v>
      </c>
    </row>
    <row r="123" spans="1:28" x14ac:dyDescent="0.25">
      <c r="A123" s="33">
        <f t="shared" si="15"/>
        <v>120</v>
      </c>
      <c r="B123" s="19">
        <v>17054</v>
      </c>
      <c r="C123" s="19" t="s">
        <v>538</v>
      </c>
      <c r="D123" s="19" t="s">
        <v>393</v>
      </c>
      <c r="E123" s="19" t="s">
        <v>394</v>
      </c>
      <c r="F123" s="19" t="s">
        <v>22</v>
      </c>
      <c r="G123" s="19" t="s">
        <v>126</v>
      </c>
      <c r="H123" s="19">
        <v>60</v>
      </c>
      <c r="I123" s="19"/>
      <c r="J123" s="19"/>
      <c r="K123" s="19"/>
      <c r="L123" s="19"/>
      <c r="M123" s="19"/>
      <c r="N123" s="19"/>
      <c r="O123" s="19"/>
      <c r="P123" s="19"/>
      <c r="Q123" s="19" t="s">
        <v>395</v>
      </c>
      <c r="R123" s="19">
        <v>1</v>
      </c>
      <c r="S123" s="19"/>
      <c r="T123" s="19">
        <v>1</v>
      </c>
      <c r="U123" s="20">
        <f t="shared" si="16"/>
        <v>2.992</v>
      </c>
      <c r="V123" s="19" t="s">
        <v>539</v>
      </c>
      <c r="W123" s="19"/>
      <c r="X123" s="19"/>
      <c r="Y123" s="21">
        <v>2.7199999999999998</v>
      </c>
      <c r="Z123" s="92">
        <v>1.3</v>
      </c>
      <c r="AA123" s="92">
        <v>1</v>
      </c>
    </row>
    <row r="124" spans="1:28" x14ac:dyDescent="0.25">
      <c r="A124" s="33">
        <f t="shared" si="15"/>
        <v>121</v>
      </c>
      <c r="B124" s="19">
        <v>17801</v>
      </c>
      <c r="C124" s="19" t="s">
        <v>540</v>
      </c>
      <c r="D124" s="19" t="s">
        <v>541</v>
      </c>
      <c r="E124" s="19" t="s">
        <v>240</v>
      </c>
      <c r="F124" s="19" t="s">
        <v>542</v>
      </c>
      <c r="G124" s="19" t="s">
        <v>110</v>
      </c>
      <c r="H124" s="22"/>
      <c r="I124" s="19"/>
      <c r="J124" s="19"/>
      <c r="K124" s="19"/>
      <c r="L124" s="19"/>
      <c r="M124" s="19"/>
      <c r="N124" s="19"/>
      <c r="O124" s="19"/>
      <c r="P124" s="19"/>
      <c r="Q124" s="19" t="s">
        <v>395</v>
      </c>
      <c r="R124" s="19">
        <v>1</v>
      </c>
      <c r="S124" s="19"/>
      <c r="T124" s="19">
        <v>1</v>
      </c>
      <c r="U124" s="20">
        <f t="shared" si="16"/>
        <v>0.27500000000000002</v>
      </c>
      <c r="V124" s="19" t="s">
        <v>543</v>
      </c>
      <c r="W124" s="19" t="s">
        <v>397</v>
      </c>
      <c r="X124" s="19"/>
      <c r="Y124" s="21">
        <v>0.25</v>
      </c>
      <c r="Z124" s="92">
        <v>1.3</v>
      </c>
      <c r="AA124" s="92">
        <v>1</v>
      </c>
    </row>
    <row r="125" spans="1:28" s="117" customFormat="1" x14ac:dyDescent="0.25">
      <c r="A125" s="112">
        <f t="shared" si="15"/>
        <v>122</v>
      </c>
      <c r="B125" s="25" t="s">
        <v>544</v>
      </c>
      <c r="C125" s="25" t="s">
        <v>545</v>
      </c>
      <c r="D125" s="25" t="s">
        <v>541</v>
      </c>
      <c r="E125" s="25" t="s">
        <v>240</v>
      </c>
      <c r="F125" s="25" t="s">
        <v>157</v>
      </c>
      <c r="G125" s="25" t="s">
        <v>110</v>
      </c>
      <c r="H125" s="113" t="s">
        <v>546</v>
      </c>
      <c r="I125" s="25"/>
      <c r="J125" s="25"/>
      <c r="K125" s="25"/>
      <c r="L125" s="25"/>
      <c r="M125" s="25"/>
      <c r="N125" s="25"/>
      <c r="O125" s="25"/>
      <c r="P125" s="25"/>
      <c r="Q125" s="25" t="s">
        <v>395</v>
      </c>
      <c r="R125" s="25">
        <v>1</v>
      </c>
      <c r="S125" s="25"/>
      <c r="T125" s="25">
        <v>1</v>
      </c>
      <c r="U125" s="114">
        <f t="shared" si="16"/>
        <v>0.27500000000000002</v>
      </c>
      <c r="V125" s="25" t="s">
        <v>547</v>
      </c>
      <c r="W125" s="25" t="s">
        <v>397</v>
      </c>
      <c r="X125" s="25"/>
      <c r="Y125" s="115">
        <v>0.25</v>
      </c>
      <c r="Z125" s="92">
        <v>0</v>
      </c>
      <c r="AA125" s="116">
        <v>1</v>
      </c>
      <c r="AB125" s="1"/>
    </row>
    <row r="126" spans="1:28" x14ac:dyDescent="0.25">
      <c r="A126" s="33">
        <f t="shared" si="15"/>
        <v>123</v>
      </c>
      <c r="B126" s="19">
        <v>17801</v>
      </c>
      <c r="C126" s="19" t="s">
        <v>548</v>
      </c>
      <c r="D126" s="19" t="s">
        <v>549</v>
      </c>
      <c r="E126" s="19" t="s">
        <v>394</v>
      </c>
      <c r="F126" s="19" t="s">
        <v>550</v>
      </c>
      <c r="G126" s="19" t="s">
        <v>110</v>
      </c>
      <c r="H126" s="19">
        <v>12</v>
      </c>
      <c r="I126" s="19"/>
      <c r="J126" s="19"/>
      <c r="K126" s="19"/>
      <c r="L126" s="19"/>
      <c r="M126" s="19"/>
      <c r="N126" s="19"/>
      <c r="O126" s="19"/>
      <c r="P126" s="19"/>
      <c r="Q126" s="19" t="s">
        <v>395</v>
      </c>
      <c r="R126" s="19">
        <v>1</v>
      </c>
      <c r="S126" s="19"/>
      <c r="T126" s="19">
        <v>1</v>
      </c>
      <c r="U126" s="20">
        <f t="shared" si="16"/>
        <v>0.49500000000000005</v>
      </c>
      <c r="V126" s="19" t="s">
        <v>551</v>
      </c>
      <c r="W126" s="19" t="s">
        <v>397</v>
      </c>
      <c r="X126" s="19"/>
      <c r="Y126" s="21">
        <v>0.45</v>
      </c>
      <c r="Z126" s="92">
        <v>1.3</v>
      </c>
      <c r="AA126" s="92">
        <v>1</v>
      </c>
    </row>
    <row r="127" spans="1:28" x14ac:dyDescent="0.25">
      <c r="A127" s="33">
        <f t="shared" si="15"/>
        <v>124</v>
      </c>
      <c r="B127" s="19">
        <v>17801</v>
      </c>
      <c r="C127" s="19" t="s">
        <v>552</v>
      </c>
      <c r="D127" s="19" t="s">
        <v>549</v>
      </c>
      <c r="E127" s="19" t="s">
        <v>394</v>
      </c>
      <c r="F127" s="19" t="s">
        <v>550</v>
      </c>
      <c r="G127" s="19" t="s">
        <v>110</v>
      </c>
      <c r="H127" s="19">
        <v>18</v>
      </c>
      <c r="I127" s="19"/>
      <c r="J127" s="19"/>
      <c r="K127" s="19"/>
      <c r="L127" s="19"/>
      <c r="M127" s="19"/>
      <c r="N127" s="19"/>
      <c r="O127" s="19"/>
      <c r="P127" s="19"/>
      <c r="Q127" s="19" t="s">
        <v>395</v>
      </c>
      <c r="R127" s="19">
        <v>1</v>
      </c>
      <c r="S127" s="19"/>
      <c r="T127" s="19">
        <v>1</v>
      </c>
      <c r="U127" s="20">
        <f t="shared" si="16"/>
        <v>0.71500000000000008</v>
      </c>
      <c r="V127" s="19" t="s">
        <v>553</v>
      </c>
      <c r="W127" s="19" t="s">
        <v>397</v>
      </c>
      <c r="X127" s="19"/>
      <c r="Y127" s="21">
        <v>0.65</v>
      </c>
      <c r="Z127" s="92">
        <v>1.3</v>
      </c>
      <c r="AA127" s="92">
        <v>1</v>
      </c>
    </row>
    <row r="128" spans="1:28" x14ac:dyDescent="0.25">
      <c r="A128" s="33">
        <f t="shared" si="15"/>
        <v>125</v>
      </c>
      <c r="B128" s="19">
        <v>17801</v>
      </c>
      <c r="C128" s="19" t="s">
        <v>554</v>
      </c>
      <c r="D128" s="19" t="s">
        <v>549</v>
      </c>
      <c r="E128" s="19" t="s">
        <v>394</v>
      </c>
      <c r="F128" s="19" t="s">
        <v>550</v>
      </c>
      <c r="G128" s="19" t="s">
        <v>110</v>
      </c>
      <c r="H128" s="19">
        <v>24</v>
      </c>
      <c r="I128" s="19"/>
      <c r="J128" s="19"/>
      <c r="K128" s="19"/>
      <c r="L128" s="19"/>
      <c r="M128" s="19"/>
      <c r="N128" s="19"/>
      <c r="O128" s="19"/>
      <c r="P128" s="19"/>
      <c r="Q128" s="19" t="s">
        <v>395</v>
      </c>
      <c r="R128" s="19">
        <v>1</v>
      </c>
      <c r="S128" s="19"/>
      <c r="T128" s="19">
        <v>1</v>
      </c>
      <c r="U128" s="20">
        <f t="shared" si="16"/>
        <v>0.93500000000000005</v>
      </c>
      <c r="V128" s="19" t="s">
        <v>555</v>
      </c>
      <c r="W128" s="19" t="s">
        <v>397</v>
      </c>
      <c r="X128" s="19"/>
      <c r="Y128" s="21">
        <v>0.85</v>
      </c>
      <c r="Z128" s="92">
        <v>1.3</v>
      </c>
      <c r="AA128" s="92">
        <v>1</v>
      </c>
    </row>
    <row r="129" spans="1:27" x14ac:dyDescent="0.25">
      <c r="A129" s="33">
        <f t="shared" si="15"/>
        <v>126</v>
      </c>
      <c r="B129" s="19">
        <v>17801</v>
      </c>
      <c r="C129" s="19" t="s">
        <v>556</v>
      </c>
      <c r="D129" s="19" t="s">
        <v>549</v>
      </c>
      <c r="E129" s="19" t="s">
        <v>394</v>
      </c>
      <c r="F129" s="19" t="s">
        <v>550</v>
      </c>
      <c r="G129" s="19" t="s">
        <v>110</v>
      </c>
      <c r="H129" s="19">
        <v>30</v>
      </c>
      <c r="I129" s="19"/>
      <c r="J129" s="19"/>
      <c r="K129" s="19"/>
      <c r="L129" s="19"/>
      <c r="M129" s="19"/>
      <c r="N129" s="19"/>
      <c r="O129" s="19"/>
      <c r="P129" s="19"/>
      <c r="Q129" s="19" t="s">
        <v>395</v>
      </c>
      <c r="R129" s="19">
        <v>1</v>
      </c>
      <c r="S129" s="19"/>
      <c r="T129" s="19">
        <v>1</v>
      </c>
      <c r="U129" s="20">
        <f t="shared" si="16"/>
        <v>1.1550000000000002</v>
      </c>
      <c r="V129" s="19" t="s">
        <v>557</v>
      </c>
      <c r="W129" s="19" t="s">
        <v>397</v>
      </c>
      <c r="X129" s="19"/>
      <c r="Y129" s="21">
        <v>1.05</v>
      </c>
      <c r="Z129" s="92">
        <v>1.3</v>
      </c>
      <c r="AA129" s="92">
        <v>1</v>
      </c>
    </row>
    <row r="130" spans="1:27" x14ac:dyDescent="0.25">
      <c r="A130" s="33">
        <f t="shared" si="15"/>
        <v>127</v>
      </c>
      <c r="B130" s="19">
        <v>17801</v>
      </c>
      <c r="C130" s="19" t="s">
        <v>558</v>
      </c>
      <c r="D130" s="19" t="s">
        <v>549</v>
      </c>
      <c r="E130" s="19" t="s">
        <v>394</v>
      </c>
      <c r="F130" s="19" t="s">
        <v>550</v>
      </c>
      <c r="G130" s="19" t="s">
        <v>110</v>
      </c>
      <c r="H130" s="19">
        <v>36</v>
      </c>
      <c r="I130" s="19"/>
      <c r="J130" s="19"/>
      <c r="K130" s="19"/>
      <c r="L130" s="19"/>
      <c r="M130" s="19"/>
      <c r="N130" s="19"/>
      <c r="O130" s="19"/>
      <c r="P130" s="19"/>
      <c r="Q130" s="19" t="s">
        <v>395</v>
      </c>
      <c r="R130" s="19">
        <v>1</v>
      </c>
      <c r="S130" s="19"/>
      <c r="T130" s="19">
        <v>1</v>
      </c>
      <c r="U130" s="20">
        <f t="shared" si="16"/>
        <v>1.375</v>
      </c>
      <c r="V130" s="19" t="s">
        <v>559</v>
      </c>
      <c r="W130" s="19" t="s">
        <v>397</v>
      </c>
      <c r="X130" s="19"/>
      <c r="Y130" s="21">
        <v>1.25</v>
      </c>
      <c r="Z130" s="92">
        <v>1.3</v>
      </c>
      <c r="AA130" s="92">
        <v>1</v>
      </c>
    </row>
    <row r="131" spans="1:27" x14ac:dyDescent="0.25">
      <c r="A131" s="33">
        <f t="shared" si="15"/>
        <v>128</v>
      </c>
      <c r="B131" s="19">
        <v>17801</v>
      </c>
      <c r="C131" s="19" t="s">
        <v>560</v>
      </c>
      <c r="D131" s="19" t="s">
        <v>549</v>
      </c>
      <c r="E131" s="19" t="s">
        <v>394</v>
      </c>
      <c r="F131" s="19" t="s">
        <v>550</v>
      </c>
      <c r="G131" s="19" t="s">
        <v>110</v>
      </c>
      <c r="H131" s="19">
        <v>42</v>
      </c>
      <c r="I131" s="19"/>
      <c r="J131" s="19"/>
      <c r="K131" s="19"/>
      <c r="L131" s="19"/>
      <c r="M131" s="19"/>
      <c r="N131" s="19"/>
      <c r="O131" s="19"/>
      <c r="P131" s="19"/>
      <c r="Q131" s="19" t="s">
        <v>395</v>
      </c>
      <c r="R131" s="19">
        <v>1</v>
      </c>
      <c r="S131" s="19"/>
      <c r="T131" s="19">
        <v>1</v>
      </c>
      <c r="U131" s="20">
        <f t="shared" si="16"/>
        <v>1.595</v>
      </c>
      <c r="V131" s="19" t="s">
        <v>561</v>
      </c>
      <c r="W131" s="19" t="s">
        <v>397</v>
      </c>
      <c r="X131" s="19"/>
      <c r="Y131" s="21">
        <v>1.45</v>
      </c>
      <c r="Z131" s="92">
        <v>1.3</v>
      </c>
      <c r="AA131" s="92">
        <v>1</v>
      </c>
    </row>
    <row r="132" spans="1:27" x14ac:dyDescent="0.25">
      <c r="A132" s="33">
        <f t="shared" si="15"/>
        <v>129</v>
      </c>
      <c r="B132" s="19">
        <v>17801</v>
      </c>
      <c r="C132" s="19" t="s">
        <v>562</v>
      </c>
      <c r="D132" s="19" t="s">
        <v>549</v>
      </c>
      <c r="E132" s="19" t="s">
        <v>394</v>
      </c>
      <c r="F132" s="19" t="s">
        <v>550</v>
      </c>
      <c r="G132" s="19" t="s">
        <v>110</v>
      </c>
      <c r="H132" s="19">
        <v>48</v>
      </c>
      <c r="I132" s="19"/>
      <c r="J132" s="19"/>
      <c r="K132" s="19"/>
      <c r="L132" s="19"/>
      <c r="M132" s="19"/>
      <c r="N132" s="19"/>
      <c r="O132" s="19"/>
      <c r="P132" s="19"/>
      <c r="Q132" s="19" t="s">
        <v>395</v>
      </c>
      <c r="R132" s="19">
        <v>1</v>
      </c>
      <c r="S132" s="19"/>
      <c r="T132" s="19">
        <v>1</v>
      </c>
      <c r="U132" s="20">
        <f t="shared" si="16"/>
        <v>1.8149999999999999</v>
      </c>
      <c r="V132" s="19" t="s">
        <v>563</v>
      </c>
      <c r="W132" s="19" t="s">
        <v>397</v>
      </c>
      <c r="X132" s="19"/>
      <c r="Y132" s="21">
        <v>1.65</v>
      </c>
      <c r="Z132" s="92">
        <v>1.3</v>
      </c>
      <c r="AA132" s="92">
        <v>1</v>
      </c>
    </row>
    <row r="133" spans="1:27" x14ac:dyDescent="0.25">
      <c r="A133" s="33">
        <f t="shared" si="15"/>
        <v>130</v>
      </c>
      <c r="B133" s="19">
        <v>17801</v>
      </c>
      <c r="C133" s="19" t="s">
        <v>564</v>
      </c>
      <c r="D133" s="19" t="s">
        <v>549</v>
      </c>
      <c r="E133" s="19" t="s">
        <v>394</v>
      </c>
      <c r="F133" s="19" t="s">
        <v>550</v>
      </c>
      <c r="G133" s="19" t="s">
        <v>110</v>
      </c>
      <c r="H133" s="19">
        <v>54</v>
      </c>
      <c r="I133" s="19"/>
      <c r="J133" s="19"/>
      <c r="K133" s="19"/>
      <c r="L133" s="19"/>
      <c r="M133" s="19"/>
      <c r="N133" s="19"/>
      <c r="O133" s="19"/>
      <c r="P133" s="19"/>
      <c r="Q133" s="19" t="s">
        <v>395</v>
      </c>
      <c r="R133" s="19">
        <v>1</v>
      </c>
      <c r="S133" s="19"/>
      <c r="T133" s="19">
        <v>1</v>
      </c>
      <c r="U133" s="20">
        <f t="shared" si="16"/>
        <v>2.0350000000000001</v>
      </c>
      <c r="V133" s="19" t="s">
        <v>565</v>
      </c>
      <c r="W133" s="19" t="s">
        <v>397</v>
      </c>
      <c r="X133" s="19"/>
      <c r="Y133" s="21">
        <v>1.85</v>
      </c>
      <c r="Z133" s="92">
        <v>1.3</v>
      </c>
      <c r="AA133" s="92">
        <v>1</v>
      </c>
    </row>
    <row r="134" spans="1:27" x14ac:dyDescent="0.25">
      <c r="A134" s="33">
        <f t="shared" si="15"/>
        <v>131</v>
      </c>
      <c r="B134" s="19">
        <v>17801</v>
      </c>
      <c r="C134" s="19" t="s">
        <v>566</v>
      </c>
      <c r="D134" s="19" t="s">
        <v>549</v>
      </c>
      <c r="E134" s="19" t="s">
        <v>394</v>
      </c>
      <c r="F134" s="19" t="s">
        <v>550</v>
      </c>
      <c r="G134" s="19" t="s">
        <v>110</v>
      </c>
      <c r="H134" s="19">
        <v>60</v>
      </c>
      <c r="I134" s="19"/>
      <c r="J134" s="19"/>
      <c r="K134" s="19"/>
      <c r="L134" s="19"/>
      <c r="M134" s="19"/>
      <c r="N134" s="19"/>
      <c r="O134" s="19"/>
      <c r="P134" s="19"/>
      <c r="Q134" s="19" t="s">
        <v>395</v>
      </c>
      <c r="R134" s="19">
        <v>1</v>
      </c>
      <c r="S134" s="19"/>
      <c r="T134" s="19">
        <v>1</v>
      </c>
      <c r="U134" s="20">
        <f t="shared" si="16"/>
        <v>2.2549999999999999</v>
      </c>
      <c r="V134" s="19" t="s">
        <v>567</v>
      </c>
      <c r="W134" s="19" t="s">
        <v>397</v>
      </c>
      <c r="X134" s="19"/>
      <c r="Y134" s="21">
        <v>2.0499999999999998</v>
      </c>
      <c r="Z134" s="92">
        <v>1.3</v>
      </c>
      <c r="AA134" s="92">
        <v>1</v>
      </c>
    </row>
    <row r="135" spans="1:27" x14ac:dyDescent="0.25">
      <c r="A135" s="33">
        <f t="shared" si="15"/>
        <v>132</v>
      </c>
      <c r="B135" s="19">
        <v>17801</v>
      </c>
      <c r="C135" s="19" t="s">
        <v>568</v>
      </c>
      <c r="D135" s="19" t="s">
        <v>549</v>
      </c>
      <c r="E135" s="19" t="s">
        <v>394</v>
      </c>
      <c r="F135" s="19" t="s">
        <v>550</v>
      </c>
      <c r="G135" s="19" t="s">
        <v>126</v>
      </c>
      <c r="H135" s="19">
        <v>12</v>
      </c>
      <c r="I135" s="19"/>
      <c r="J135" s="19"/>
      <c r="K135" s="19"/>
      <c r="L135" s="19"/>
      <c r="M135" s="19"/>
      <c r="N135" s="19"/>
      <c r="O135" s="19"/>
      <c r="P135" s="19"/>
      <c r="Q135" s="19" t="s">
        <v>395</v>
      </c>
      <c r="R135" s="19">
        <v>1</v>
      </c>
      <c r="S135" s="19"/>
      <c r="T135" s="19">
        <v>1</v>
      </c>
      <c r="U135" s="20">
        <f t="shared" si="16"/>
        <v>0.49500000000000005</v>
      </c>
      <c r="V135" s="19" t="s">
        <v>569</v>
      </c>
      <c r="W135" s="19" t="s">
        <v>397</v>
      </c>
      <c r="X135" s="19"/>
      <c r="Y135" s="21">
        <v>0.45</v>
      </c>
      <c r="Z135" s="92">
        <v>1.3</v>
      </c>
      <c r="AA135" s="92">
        <v>1</v>
      </c>
    </row>
    <row r="136" spans="1:27" x14ac:dyDescent="0.25">
      <c r="A136" s="33">
        <f t="shared" si="15"/>
        <v>133</v>
      </c>
      <c r="B136" s="19">
        <v>17801</v>
      </c>
      <c r="C136" s="19" t="s">
        <v>570</v>
      </c>
      <c r="D136" s="19" t="s">
        <v>549</v>
      </c>
      <c r="E136" s="19" t="s">
        <v>394</v>
      </c>
      <c r="F136" s="19" t="s">
        <v>550</v>
      </c>
      <c r="G136" s="19" t="s">
        <v>126</v>
      </c>
      <c r="H136" s="19">
        <v>18</v>
      </c>
      <c r="I136" s="19"/>
      <c r="J136" s="19"/>
      <c r="K136" s="19"/>
      <c r="L136" s="19"/>
      <c r="M136" s="19"/>
      <c r="N136" s="19"/>
      <c r="O136" s="19"/>
      <c r="P136" s="19"/>
      <c r="Q136" s="19" t="s">
        <v>395</v>
      </c>
      <c r="R136" s="19">
        <v>1</v>
      </c>
      <c r="S136" s="19"/>
      <c r="T136" s="19">
        <v>1</v>
      </c>
      <c r="U136" s="20">
        <f t="shared" si="16"/>
        <v>0.71500000000000008</v>
      </c>
      <c r="V136" s="19" t="s">
        <v>571</v>
      </c>
      <c r="W136" s="19" t="s">
        <v>397</v>
      </c>
      <c r="X136" s="19"/>
      <c r="Y136" s="21">
        <v>0.65</v>
      </c>
      <c r="Z136" s="92">
        <v>1.3</v>
      </c>
      <c r="AA136" s="92">
        <v>1</v>
      </c>
    </row>
    <row r="137" spans="1:27" x14ac:dyDescent="0.25">
      <c r="A137" s="33">
        <f t="shared" si="15"/>
        <v>134</v>
      </c>
      <c r="B137" s="19">
        <v>17801</v>
      </c>
      <c r="C137" s="19" t="s">
        <v>572</v>
      </c>
      <c r="D137" s="19" t="s">
        <v>549</v>
      </c>
      <c r="E137" s="19" t="s">
        <v>394</v>
      </c>
      <c r="F137" s="19" t="s">
        <v>550</v>
      </c>
      <c r="G137" s="19" t="s">
        <v>126</v>
      </c>
      <c r="H137" s="19">
        <v>24</v>
      </c>
      <c r="I137" s="19"/>
      <c r="J137" s="19"/>
      <c r="K137" s="19"/>
      <c r="L137" s="19"/>
      <c r="M137" s="19"/>
      <c r="N137" s="19"/>
      <c r="O137" s="19"/>
      <c r="P137" s="19"/>
      <c r="Q137" s="19" t="s">
        <v>395</v>
      </c>
      <c r="R137" s="19">
        <v>1</v>
      </c>
      <c r="S137" s="19"/>
      <c r="T137" s="19">
        <v>1</v>
      </c>
      <c r="U137" s="20">
        <f t="shared" si="16"/>
        <v>0.93500000000000005</v>
      </c>
      <c r="V137" s="19" t="s">
        <v>573</v>
      </c>
      <c r="W137" s="19" t="s">
        <v>397</v>
      </c>
      <c r="X137" s="19"/>
      <c r="Y137" s="21">
        <v>0.85</v>
      </c>
      <c r="Z137" s="92">
        <v>1.3</v>
      </c>
      <c r="AA137" s="92">
        <v>1</v>
      </c>
    </row>
    <row r="138" spans="1:27" x14ac:dyDescent="0.25">
      <c r="A138" s="33">
        <f t="shared" si="15"/>
        <v>135</v>
      </c>
      <c r="B138" s="19">
        <v>17801</v>
      </c>
      <c r="C138" s="19" t="s">
        <v>574</v>
      </c>
      <c r="D138" s="19" t="s">
        <v>549</v>
      </c>
      <c r="E138" s="19" t="s">
        <v>394</v>
      </c>
      <c r="F138" s="19" t="s">
        <v>550</v>
      </c>
      <c r="G138" s="19" t="s">
        <v>126</v>
      </c>
      <c r="H138" s="19">
        <v>30</v>
      </c>
      <c r="I138" s="19"/>
      <c r="J138" s="19"/>
      <c r="K138" s="19"/>
      <c r="L138" s="19"/>
      <c r="M138" s="19"/>
      <c r="N138" s="19"/>
      <c r="O138" s="19"/>
      <c r="P138" s="19"/>
      <c r="Q138" s="19" t="s">
        <v>395</v>
      </c>
      <c r="R138" s="19">
        <v>1</v>
      </c>
      <c r="S138" s="19"/>
      <c r="T138" s="19">
        <v>1</v>
      </c>
      <c r="U138" s="20">
        <f t="shared" si="16"/>
        <v>1.1550000000000002</v>
      </c>
      <c r="V138" s="19" t="s">
        <v>575</v>
      </c>
      <c r="W138" s="19" t="s">
        <v>397</v>
      </c>
      <c r="X138" s="19"/>
      <c r="Y138" s="21">
        <v>1.05</v>
      </c>
      <c r="Z138" s="92">
        <v>1.3</v>
      </c>
      <c r="AA138" s="92">
        <v>1</v>
      </c>
    </row>
    <row r="139" spans="1:27" x14ac:dyDescent="0.25">
      <c r="A139" s="33">
        <f t="shared" si="15"/>
        <v>136</v>
      </c>
      <c r="B139" s="19">
        <v>17801</v>
      </c>
      <c r="C139" s="19" t="s">
        <v>576</v>
      </c>
      <c r="D139" s="19" t="s">
        <v>549</v>
      </c>
      <c r="E139" s="19" t="s">
        <v>394</v>
      </c>
      <c r="F139" s="19" t="s">
        <v>550</v>
      </c>
      <c r="G139" s="19" t="s">
        <v>126</v>
      </c>
      <c r="H139" s="19">
        <v>36</v>
      </c>
      <c r="I139" s="19"/>
      <c r="J139" s="19"/>
      <c r="K139" s="19"/>
      <c r="L139" s="19"/>
      <c r="M139" s="19"/>
      <c r="N139" s="19"/>
      <c r="O139" s="19"/>
      <c r="P139" s="19"/>
      <c r="Q139" s="19" t="s">
        <v>395</v>
      </c>
      <c r="R139" s="19">
        <v>1</v>
      </c>
      <c r="S139" s="19"/>
      <c r="T139" s="19">
        <v>1</v>
      </c>
      <c r="U139" s="20">
        <f t="shared" si="16"/>
        <v>1.375</v>
      </c>
      <c r="V139" s="19" t="s">
        <v>577</v>
      </c>
      <c r="W139" s="19" t="s">
        <v>397</v>
      </c>
      <c r="X139" s="19"/>
      <c r="Y139" s="21">
        <v>1.25</v>
      </c>
      <c r="Z139" s="92">
        <v>1.3</v>
      </c>
      <c r="AA139" s="92">
        <v>1</v>
      </c>
    </row>
    <row r="140" spans="1:27" x14ac:dyDescent="0.25">
      <c r="A140" s="33">
        <f t="shared" si="15"/>
        <v>137</v>
      </c>
      <c r="B140" s="19">
        <v>17801</v>
      </c>
      <c r="C140" s="19" t="s">
        <v>578</v>
      </c>
      <c r="D140" s="19" t="s">
        <v>549</v>
      </c>
      <c r="E140" s="19" t="s">
        <v>394</v>
      </c>
      <c r="F140" s="19" t="s">
        <v>550</v>
      </c>
      <c r="G140" s="19" t="s">
        <v>126</v>
      </c>
      <c r="H140" s="19">
        <v>42</v>
      </c>
      <c r="I140" s="19"/>
      <c r="J140" s="19"/>
      <c r="K140" s="19"/>
      <c r="L140" s="19"/>
      <c r="M140" s="19"/>
      <c r="N140" s="19"/>
      <c r="O140" s="19"/>
      <c r="P140" s="19"/>
      <c r="Q140" s="19" t="s">
        <v>395</v>
      </c>
      <c r="R140" s="19">
        <v>1</v>
      </c>
      <c r="S140" s="19"/>
      <c r="T140" s="19">
        <v>1</v>
      </c>
      <c r="U140" s="20">
        <f t="shared" si="16"/>
        <v>1.595</v>
      </c>
      <c r="V140" s="19" t="s">
        <v>579</v>
      </c>
      <c r="W140" s="19" t="s">
        <v>397</v>
      </c>
      <c r="X140" s="19"/>
      <c r="Y140" s="21">
        <v>1.45</v>
      </c>
      <c r="Z140" s="92">
        <v>1.3</v>
      </c>
      <c r="AA140" s="92">
        <v>1</v>
      </c>
    </row>
    <row r="141" spans="1:27" x14ac:dyDescent="0.25">
      <c r="A141" s="33">
        <f t="shared" si="15"/>
        <v>138</v>
      </c>
      <c r="B141" s="19">
        <v>17801</v>
      </c>
      <c r="C141" s="19" t="s">
        <v>580</v>
      </c>
      <c r="D141" s="19" t="s">
        <v>549</v>
      </c>
      <c r="E141" s="19" t="s">
        <v>394</v>
      </c>
      <c r="F141" s="19" t="s">
        <v>550</v>
      </c>
      <c r="G141" s="19" t="s">
        <v>126</v>
      </c>
      <c r="H141" s="19">
        <v>48</v>
      </c>
      <c r="I141" s="19"/>
      <c r="J141" s="19"/>
      <c r="K141" s="19"/>
      <c r="L141" s="19"/>
      <c r="M141" s="19"/>
      <c r="N141" s="19"/>
      <c r="O141" s="19"/>
      <c r="P141" s="19"/>
      <c r="Q141" s="19" t="s">
        <v>395</v>
      </c>
      <c r="R141" s="19">
        <v>1</v>
      </c>
      <c r="S141" s="19"/>
      <c r="T141" s="19">
        <v>1</v>
      </c>
      <c r="U141" s="20">
        <f t="shared" si="16"/>
        <v>1.8149999999999999</v>
      </c>
      <c r="V141" s="19" t="s">
        <v>581</v>
      </c>
      <c r="W141" s="19" t="s">
        <v>397</v>
      </c>
      <c r="X141" s="19"/>
      <c r="Y141" s="21">
        <v>1.65</v>
      </c>
      <c r="Z141" s="92">
        <v>1.3</v>
      </c>
      <c r="AA141" s="92">
        <v>1</v>
      </c>
    </row>
    <row r="142" spans="1:27" x14ac:dyDescent="0.25">
      <c r="A142" s="33">
        <f t="shared" si="15"/>
        <v>139</v>
      </c>
      <c r="B142" s="19">
        <v>17801</v>
      </c>
      <c r="C142" s="19" t="s">
        <v>582</v>
      </c>
      <c r="D142" s="19" t="s">
        <v>549</v>
      </c>
      <c r="E142" s="19" t="s">
        <v>394</v>
      </c>
      <c r="F142" s="19" t="s">
        <v>550</v>
      </c>
      <c r="G142" s="19" t="s">
        <v>126</v>
      </c>
      <c r="H142" s="19">
        <v>54</v>
      </c>
      <c r="I142" s="19"/>
      <c r="J142" s="19"/>
      <c r="K142" s="19"/>
      <c r="L142" s="19"/>
      <c r="M142" s="19"/>
      <c r="N142" s="19"/>
      <c r="O142" s="19"/>
      <c r="P142" s="19"/>
      <c r="Q142" s="19" t="s">
        <v>395</v>
      </c>
      <c r="R142" s="19">
        <v>1</v>
      </c>
      <c r="S142" s="19"/>
      <c r="T142" s="19">
        <v>1</v>
      </c>
      <c r="U142" s="20">
        <f t="shared" si="16"/>
        <v>2.0350000000000001</v>
      </c>
      <c r="V142" s="19" t="s">
        <v>583</v>
      </c>
      <c r="W142" s="19" t="s">
        <v>397</v>
      </c>
      <c r="X142" s="19"/>
      <c r="Y142" s="21">
        <v>1.85</v>
      </c>
      <c r="Z142" s="92">
        <v>1.3</v>
      </c>
      <c r="AA142" s="92">
        <v>1</v>
      </c>
    </row>
    <row r="143" spans="1:27" x14ac:dyDescent="0.25">
      <c r="A143" s="33">
        <f t="shared" si="15"/>
        <v>140</v>
      </c>
      <c r="B143" s="19">
        <v>17801</v>
      </c>
      <c r="C143" s="19" t="s">
        <v>584</v>
      </c>
      <c r="D143" s="19" t="s">
        <v>549</v>
      </c>
      <c r="E143" s="19" t="s">
        <v>394</v>
      </c>
      <c r="F143" s="19" t="s">
        <v>550</v>
      </c>
      <c r="G143" s="19" t="s">
        <v>126</v>
      </c>
      <c r="H143" s="19">
        <v>60</v>
      </c>
      <c r="I143" s="19"/>
      <c r="J143" s="19"/>
      <c r="K143" s="19"/>
      <c r="L143" s="19"/>
      <c r="M143" s="19"/>
      <c r="N143" s="19"/>
      <c r="O143" s="19"/>
      <c r="P143" s="19"/>
      <c r="Q143" s="19" t="s">
        <v>395</v>
      </c>
      <c r="R143" s="19">
        <v>1</v>
      </c>
      <c r="S143" s="19"/>
      <c r="T143" s="19">
        <v>1</v>
      </c>
      <c r="U143" s="20">
        <f t="shared" si="16"/>
        <v>2.2549999999999999</v>
      </c>
      <c r="V143" s="19" t="s">
        <v>585</v>
      </c>
      <c r="W143" s="19" t="s">
        <v>397</v>
      </c>
      <c r="X143" s="19"/>
      <c r="Y143" s="21">
        <v>2.0499999999999998</v>
      </c>
      <c r="Z143" s="92">
        <v>1.3</v>
      </c>
      <c r="AA143" s="92">
        <v>1</v>
      </c>
    </row>
    <row r="144" spans="1:27" x14ac:dyDescent="0.25">
      <c r="A144" s="33">
        <f t="shared" si="15"/>
        <v>141</v>
      </c>
      <c r="B144" s="19">
        <v>17801</v>
      </c>
      <c r="C144" s="19" t="s">
        <v>586</v>
      </c>
      <c r="D144" s="19" t="s">
        <v>549</v>
      </c>
      <c r="E144" s="19" t="s">
        <v>394</v>
      </c>
      <c r="F144" s="19" t="s">
        <v>550</v>
      </c>
      <c r="G144" s="19" t="s">
        <v>346</v>
      </c>
      <c r="H144" s="19">
        <v>12</v>
      </c>
      <c r="I144" s="19"/>
      <c r="J144" s="19"/>
      <c r="K144" s="19"/>
      <c r="L144" s="19"/>
      <c r="M144" s="19"/>
      <c r="N144" s="19"/>
      <c r="O144" s="19"/>
      <c r="P144" s="19"/>
      <c r="Q144" s="19" t="s">
        <v>395</v>
      </c>
      <c r="R144" s="19">
        <v>1</v>
      </c>
      <c r="S144" s="19"/>
      <c r="T144" s="19">
        <v>1</v>
      </c>
      <c r="U144" s="20">
        <f t="shared" si="16"/>
        <v>0.49500000000000005</v>
      </c>
      <c r="V144" s="19" t="s">
        <v>587</v>
      </c>
      <c r="W144" s="19" t="s">
        <v>397</v>
      </c>
      <c r="X144" s="19"/>
      <c r="Y144" s="21">
        <v>0.45</v>
      </c>
      <c r="Z144" s="92">
        <v>1.3</v>
      </c>
      <c r="AA144" s="92">
        <v>1</v>
      </c>
    </row>
    <row r="145" spans="1:27" x14ac:dyDescent="0.25">
      <c r="A145" s="33">
        <f t="shared" si="15"/>
        <v>142</v>
      </c>
      <c r="B145" s="19">
        <v>17801</v>
      </c>
      <c r="C145" s="19" t="s">
        <v>588</v>
      </c>
      <c r="D145" s="19" t="s">
        <v>549</v>
      </c>
      <c r="E145" s="19" t="s">
        <v>394</v>
      </c>
      <c r="F145" s="19" t="s">
        <v>550</v>
      </c>
      <c r="G145" s="19" t="s">
        <v>346</v>
      </c>
      <c r="H145" s="19">
        <v>18</v>
      </c>
      <c r="I145" s="19"/>
      <c r="J145" s="19"/>
      <c r="K145" s="19"/>
      <c r="L145" s="19"/>
      <c r="M145" s="19"/>
      <c r="N145" s="19"/>
      <c r="O145" s="19"/>
      <c r="P145" s="19"/>
      <c r="Q145" s="19" t="s">
        <v>395</v>
      </c>
      <c r="R145" s="19">
        <v>1</v>
      </c>
      <c r="S145" s="19"/>
      <c r="T145" s="19">
        <v>1</v>
      </c>
      <c r="U145" s="20">
        <f t="shared" si="16"/>
        <v>0.71500000000000008</v>
      </c>
      <c r="V145" s="19" t="s">
        <v>589</v>
      </c>
      <c r="W145" s="19" t="s">
        <v>397</v>
      </c>
      <c r="X145" s="19"/>
      <c r="Y145" s="21">
        <v>0.65</v>
      </c>
      <c r="Z145" s="92">
        <v>1.3</v>
      </c>
      <c r="AA145" s="92">
        <v>1</v>
      </c>
    </row>
    <row r="146" spans="1:27" x14ac:dyDescent="0.25">
      <c r="A146" s="33">
        <f t="shared" si="15"/>
        <v>143</v>
      </c>
      <c r="B146" s="19">
        <v>17801</v>
      </c>
      <c r="C146" s="19" t="s">
        <v>590</v>
      </c>
      <c r="D146" s="19" t="s">
        <v>549</v>
      </c>
      <c r="E146" s="19" t="s">
        <v>394</v>
      </c>
      <c r="F146" s="19" t="s">
        <v>550</v>
      </c>
      <c r="G146" s="19" t="s">
        <v>346</v>
      </c>
      <c r="H146" s="19">
        <v>24</v>
      </c>
      <c r="I146" s="19"/>
      <c r="J146" s="19"/>
      <c r="K146" s="19"/>
      <c r="L146" s="19"/>
      <c r="M146" s="19"/>
      <c r="N146" s="19"/>
      <c r="O146" s="19"/>
      <c r="P146" s="19"/>
      <c r="Q146" s="19" t="s">
        <v>395</v>
      </c>
      <c r="R146" s="19">
        <v>1</v>
      </c>
      <c r="S146" s="19"/>
      <c r="T146" s="19">
        <v>1</v>
      </c>
      <c r="U146" s="20">
        <f t="shared" si="16"/>
        <v>0.93500000000000005</v>
      </c>
      <c r="V146" s="19" t="s">
        <v>591</v>
      </c>
      <c r="W146" s="19" t="s">
        <v>397</v>
      </c>
      <c r="X146" s="19"/>
      <c r="Y146" s="21">
        <v>0.85</v>
      </c>
      <c r="Z146" s="92">
        <v>1.3</v>
      </c>
      <c r="AA146" s="92">
        <v>1</v>
      </c>
    </row>
    <row r="147" spans="1:27" x14ac:dyDescent="0.25">
      <c r="A147" s="33">
        <f t="shared" si="15"/>
        <v>144</v>
      </c>
      <c r="B147" s="19">
        <v>17801</v>
      </c>
      <c r="C147" s="19" t="s">
        <v>592</v>
      </c>
      <c r="D147" s="19" t="s">
        <v>549</v>
      </c>
      <c r="E147" s="19" t="s">
        <v>394</v>
      </c>
      <c r="F147" s="19" t="s">
        <v>550</v>
      </c>
      <c r="G147" s="19" t="s">
        <v>346</v>
      </c>
      <c r="H147" s="19">
        <v>30</v>
      </c>
      <c r="I147" s="19"/>
      <c r="J147" s="19"/>
      <c r="K147" s="19"/>
      <c r="L147" s="19"/>
      <c r="M147" s="19"/>
      <c r="N147" s="19"/>
      <c r="O147" s="19"/>
      <c r="P147" s="19"/>
      <c r="Q147" s="19" t="s">
        <v>395</v>
      </c>
      <c r="R147" s="19">
        <v>1</v>
      </c>
      <c r="S147" s="19"/>
      <c r="T147" s="19">
        <v>1</v>
      </c>
      <c r="U147" s="20">
        <f t="shared" si="16"/>
        <v>1.1550000000000002</v>
      </c>
      <c r="V147" s="19" t="s">
        <v>593</v>
      </c>
      <c r="W147" s="19" t="s">
        <v>397</v>
      </c>
      <c r="X147" s="19"/>
      <c r="Y147" s="21">
        <v>1.05</v>
      </c>
      <c r="Z147" s="92">
        <v>1.3</v>
      </c>
      <c r="AA147" s="92">
        <v>1</v>
      </c>
    </row>
    <row r="148" spans="1:27" x14ac:dyDescent="0.25">
      <c r="A148" s="33">
        <f t="shared" si="15"/>
        <v>145</v>
      </c>
      <c r="B148" s="19">
        <v>17801</v>
      </c>
      <c r="C148" s="19" t="s">
        <v>594</v>
      </c>
      <c r="D148" s="19" t="s">
        <v>549</v>
      </c>
      <c r="E148" s="19" t="s">
        <v>394</v>
      </c>
      <c r="F148" s="19" t="s">
        <v>550</v>
      </c>
      <c r="G148" s="19" t="s">
        <v>346</v>
      </c>
      <c r="H148" s="19">
        <v>36</v>
      </c>
      <c r="I148" s="19"/>
      <c r="J148" s="19"/>
      <c r="K148" s="19"/>
      <c r="L148" s="19"/>
      <c r="M148" s="19"/>
      <c r="N148" s="19"/>
      <c r="O148" s="19"/>
      <c r="P148" s="19"/>
      <c r="Q148" s="19" t="s">
        <v>395</v>
      </c>
      <c r="R148" s="19">
        <v>1</v>
      </c>
      <c r="S148" s="19"/>
      <c r="T148" s="19">
        <v>1</v>
      </c>
      <c r="U148" s="20">
        <f t="shared" si="16"/>
        <v>1.375</v>
      </c>
      <c r="V148" s="19" t="s">
        <v>595</v>
      </c>
      <c r="W148" s="19" t="s">
        <v>397</v>
      </c>
      <c r="X148" s="19"/>
      <c r="Y148" s="21">
        <v>1.25</v>
      </c>
      <c r="Z148" s="92">
        <v>1.3</v>
      </c>
      <c r="AA148" s="92">
        <v>1</v>
      </c>
    </row>
    <row r="149" spans="1:27" x14ac:dyDescent="0.25">
      <c r="A149" s="33">
        <f t="shared" si="15"/>
        <v>146</v>
      </c>
      <c r="B149" s="19">
        <v>17801</v>
      </c>
      <c r="C149" s="19" t="s">
        <v>596</v>
      </c>
      <c r="D149" s="19" t="s">
        <v>549</v>
      </c>
      <c r="E149" s="19" t="s">
        <v>394</v>
      </c>
      <c r="F149" s="19" t="s">
        <v>550</v>
      </c>
      <c r="G149" s="19" t="s">
        <v>346</v>
      </c>
      <c r="H149" s="19">
        <v>42</v>
      </c>
      <c r="I149" s="19"/>
      <c r="J149" s="19"/>
      <c r="K149" s="19"/>
      <c r="L149" s="19"/>
      <c r="M149" s="19"/>
      <c r="N149" s="19"/>
      <c r="O149" s="19"/>
      <c r="P149" s="19"/>
      <c r="Q149" s="19" t="s">
        <v>395</v>
      </c>
      <c r="R149" s="19">
        <v>1</v>
      </c>
      <c r="S149" s="19"/>
      <c r="T149" s="19">
        <v>1</v>
      </c>
      <c r="U149" s="20">
        <f t="shared" si="16"/>
        <v>1.595</v>
      </c>
      <c r="V149" s="19" t="s">
        <v>597</v>
      </c>
      <c r="W149" s="19" t="s">
        <v>397</v>
      </c>
      <c r="X149" s="19"/>
      <c r="Y149" s="21">
        <v>1.45</v>
      </c>
      <c r="Z149" s="92">
        <v>1.3</v>
      </c>
      <c r="AA149" s="92">
        <v>1</v>
      </c>
    </row>
    <row r="150" spans="1:27" x14ac:dyDescent="0.25">
      <c r="A150" s="33">
        <f t="shared" si="15"/>
        <v>147</v>
      </c>
      <c r="B150" s="19">
        <v>17801</v>
      </c>
      <c r="C150" s="19" t="s">
        <v>598</v>
      </c>
      <c r="D150" s="19" t="s">
        <v>549</v>
      </c>
      <c r="E150" s="19" t="s">
        <v>394</v>
      </c>
      <c r="F150" s="19" t="s">
        <v>550</v>
      </c>
      <c r="G150" s="19" t="s">
        <v>346</v>
      </c>
      <c r="H150" s="19">
        <v>48</v>
      </c>
      <c r="I150" s="19"/>
      <c r="J150" s="19"/>
      <c r="K150" s="19"/>
      <c r="L150" s="19"/>
      <c r="M150" s="19"/>
      <c r="N150" s="19"/>
      <c r="O150" s="19"/>
      <c r="P150" s="19"/>
      <c r="Q150" s="19" t="s">
        <v>395</v>
      </c>
      <c r="R150" s="19">
        <v>1</v>
      </c>
      <c r="S150" s="19"/>
      <c r="T150" s="19">
        <v>1</v>
      </c>
      <c r="U150" s="20">
        <f t="shared" si="16"/>
        <v>1.8149999999999999</v>
      </c>
      <c r="V150" s="19" t="s">
        <v>599</v>
      </c>
      <c r="W150" s="19" t="s">
        <v>397</v>
      </c>
      <c r="X150" s="19"/>
      <c r="Y150" s="21">
        <v>1.65</v>
      </c>
      <c r="Z150" s="92">
        <v>1.3</v>
      </c>
      <c r="AA150" s="92">
        <v>1</v>
      </c>
    </row>
    <row r="151" spans="1:27" x14ac:dyDescent="0.25">
      <c r="A151" s="33">
        <f t="shared" si="15"/>
        <v>148</v>
      </c>
      <c r="B151" s="19">
        <v>17801</v>
      </c>
      <c r="C151" s="19" t="s">
        <v>600</v>
      </c>
      <c r="D151" s="19" t="s">
        <v>549</v>
      </c>
      <c r="E151" s="19" t="s">
        <v>394</v>
      </c>
      <c r="F151" s="19" t="s">
        <v>550</v>
      </c>
      <c r="G151" s="19" t="s">
        <v>346</v>
      </c>
      <c r="H151" s="19">
        <v>54</v>
      </c>
      <c r="I151" s="19"/>
      <c r="J151" s="19"/>
      <c r="K151" s="19"/>
      <c r="L151" s="19"/>
      <c r="M151" s="19"/>
      <c r="N151" s="19"/>
      <c r="O151" s="19"/>
      <c r="P151" s="19"/>
      <c r="Q151" s="19" t="s">
        <v>395</v>
      </c>
      <c r="R151" s="19">
        <v>1</v>
      </c>
      <c r="S151" s="19"/>
      <c r="T151" s="19">
        <v>1</v>
      </c>
      <c r="U151" s="20">
        <f t="shared" si="16"/>
        <v>2.0350000000000001</v>
      </c>
      <c r="V151" s="19" t="s">
        <v>601</v>
      </c>
      <c r="W151" s="19" t="s">
        <v>397</v>
      </c>
      <c r="X151" s="19"/>
      <c r="Y151" s="21">
        <v>1.85</v>
      </c>
      <c r="Z151" s="92">
        <v>1.3</v>
      </c>
      <c r="AA151" s="92">
        <v>1</v>
      </c>
    </row>
    <row r="152" spans="1:27" x14ac:dyDescent="0.25">
      <c r="A152" s="33">
        <f t="shared" si="15"/>
        <v>149</v>
      </c>
      <c r="B152" s="19">
        <v>17801</v>
      </c>
      <c r="C152" s="19" t="s">
        <v>602</v>
      </c>
      <c r="D152" s="19" t="s">
        <v>549</v>
      </c>
      <c r="E152" s="19" t="s">
        <v>394</v>
      </c>
      <c r="F152" s="19" t="s">
        <v>550</v>
      </c>
      <c r="G152" s="19" t="s">
        <v>346</v>
      </c>
      <c r="H152" s="19">
        <v>60</v>
      </c>
      <c r="I152" s="19"/>
      <c r="J152" s="19"/>
      <c r="K152" s="19"/>
      <c r="L152" s="19"/>
      <c r="M152" s="19"/>
      <c r="N152" s="19"/>
      <c r="O152" s="19"/>
      <c r="P152" s="19"/>
      <c r="Q152" s="19" t="s">
        <v>395</v>
      </c>
      <c r="R152" s="19">
        <v>1</v>
      </c>
      <c r="S152" s="19"/>
      <c r="T152" s="19">
        <v>1</v>
      </c>
      <c r="U152" s="20">
        <f t="shared" si="16"/>
        <v>2.2549999999999999</v>
      </c>
      <c r="V152" s="19" t="s">
        <v>603</v>
      </c>
      <c r="W152" s="19" t="s">
        <v>397</v>
      </c>
      <c r="X152" s="19"/>
      <c r="Y152" s="21">
        <v>2.0499999999999998</v>
      </c>
      <c r="Z152" s="92">
        <v>1.3</v>
      </c>
      <c r="AA152" s="92">
        <v>1</v>
      </c>
    </row>
    <row r="153" spans="1:27" x14ac:dyDescent="0.25">
      <c r="A153" s="33">
        <f t="shared" si="15"/>
        <v>150</v>
      </c>
      <c r="B153" s="210" t="s">
        <v>604</v>
      </c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1"/>
      <c r="X153" s="19"/>
      <c r="Y153" s="74"/>
      <c r="Z153" s="76"/>
      <c r="AA153" s="76"/>
    </row>
    <row r="154" spans="1:27" x14ac:dyDescent="0.25">
      <c r="A154" s="33">
        <f t="shared" si="15"/>
        <v>151</v>
      </c>
      <c r="B154" s="19">
        <v>17014</v>
      </c>
      <c r="C154" s="19" t="s">
        <v>605</v>
      </c>
      <c r="D154" s="19" t="s">
        <v>606</v>
      </c>
      <c r="E154" s="19" t="s">
        <v>240</v>
      </c>
      <c r="F154" s="19"/>
      <c r="G154" s="19"/>
      <c r="H154" s="22" t="s">
        <v>248</v>
      </c>
      <c r="I154" s="19"/>
      <c r="J154" s="19"/>
      <c r="K154" s="19"/>
      <c r="L154" s="19"/>
      <c r="M154" s="19"/>
      <c r="N154" s="19"/>
      <c r="O154" s="19"/>
      <c r="P154" s="19"/>
      <c r="Q154" s="19" t="s">
        <v>395</v>
      </c>
      <c r="R154" s="19">
        <v>1</v>
      </c>
      <c r="S154" s="19"/>
      <c r="T154" s="19">
        <v>1</v>
      </c>
      <c r="U154" s="20">
        <f>Y154*1.1</f>
        <v>1.32</v>
      </c>
      <c r="V154" s="19" t="s">
        <v>607</v>
      </c>
      <c r="W154" s="19" t="s">
        <v>608</v>
      </c>
      <c r="X154" s="19"/>
      <c r="Y154" s="21">
        <v>1.2</v>
      </c>
      <c r="Z154" s="92">
        <v>1.83</v>
      </c>
      <c r="AA154" s="92">
        <v>1.6266666666666665</v>
      </c>
    </row>
    <row r="155" spans="1:27" x14ac:dyDescent="0.25">
      <c r="A155" s="33">
        <f t="shared" si="15"/>
        <v>152</v>
      </c>
      <c r="B155" s="19">
        <v>17014</v>
      </c>
      <c r="C155" s="19" t="s">
        <v>609</v>
      </c>
      <c r="D155" s="19" t="s">
        <v>606</v>
      </c>
      <c r="E155" s="19" t="s">
        <v>394</v>
      </c>
      <c r="F155" s="19"/>
      <c r="G155" s="19"/>
      <c r="H155" s="19">
        <v>12</v>
      </c>
      <c r="I155" s="19"/>
      <c r="J155" s="19"/>
      <c r="K155" s="19"/>
      <c r="L155" s="19"/>
      <c r="M155" s="19"/>
      <c r="N155" s="19"/>
      <c r="O155" s="19"/>
      <c r="P155" s="19"/>
      <c r="Q155" s="19" t="s">
        <v>395</v>
      </c>
      <c r="R155" s="19">
        <v>1</v>
      </c>
      <c r="S155" s="19"/>
      <c r="T155" s="19">
        <v>1</v>
      </c>
      <c r="U155" s="20">
        <f t="shared" ref="U155:U218" si="17">Y155*1.1</f>
        <v>0.93500000000000005</v>
      </c>
      <c r="V155" s="19" t="s">
        <v>610</v>
      </c>
      <c r="W155" s="19" t="s">
        <v>608</v>
      </c>
      <c r="X155" s="19"/>
      <c r="Y155" s="21">
        <v>0.85</v>
      </c>
      <c r="Z155" s="92">
        <v>1.83</v>
      </c>
      <c r="AA155" s="92">
        <v>1.6266666666666665</v>
      </c>
    </row>
    <row r="156" spans="1:27" x14ac:dyDescent="0.25">
      <c r="A156" s="33">
        <f t="shared" si="15"/>
        <v>153</v>
      </c>
      <c r="B156" s="19">
        <v>17014</v>
      </c>
      <c r="C156" s="19" t="s">
        <v>611</v>
      </c>
      <c r="D156" s="19" t="s">
        <v>606</v>
      </c>
      <c r="E156" s="19" t="s">
        <v>394</v>
      </c>
      <c r="F156" s="19"/>
      <c r="G156" s="19"/>
      <c r="H156" s="19">
        <v>18</v>
      </c>
      <c r="I156" s="19"/>
      <c r="J156" s="19"/>
      <c r="K156" s="19"/>
      <c r="L156" s="19"/>
      <c r="M156" s="19"/>
      <c r="N156" s="19"/>
      <c r="O156" s="19"/>
      <c r="P156" s="19"/>
      <c r="Q156" s="19" t="s">
        <v>395</v>
      </c>
      <c r="R156" s="19">
        <v>1</v>
      </c>
      <c r="S156" s="19"/>
      <c r="T156" s="19">
        <v>1</v>
      </c>
      <c r="U156" s="20">
        <f t="shared" si="17"/>
        <v>1.54</v>
      </c>
      <c r="V156" s="19" t="s">
        <v>612</v>
      </c>
      <c r="W156" s="19" t="s">
        <v>608</v>
      </c>
      <c r="X156" s="19"/>
      <c r="Y156" s="21">
        <v>1.4</v>
      </c>
      <c r="Z156" s="92">
        <v>1.83</v>
      </c>
      <c r="AA156" s="92">
        <v>1.6266666666666665</v>
      </c>
    </row>
    <row r="157" spans="1:27" x14ac:dyDescent="0.25">
      <c r="A157" s="33">
        <f t="shared" si="15"/>
        <v>154</v>
      </c>
      <c r="B157" s="19">
        <v>17014</v>
      </c>
      <c r="C157" s="19" t="s">
        <v>613</v>
      </c>
      <c r="D157" s="19" t="s">
        <v>606</v>
      </c>
      <c r="E157" s="19" t="s">
        <v>394</v>
      </c>
      <c r="F157" s="19"/>
      <c r="G157" s="19"/>
      <c r="H157" s="19">
        <v>24</v>
      </c>
      <c r="I157" s="19"/>
      <c r="J157" s="19"/>
      <c r="K157" s="19"/>
      <c r="L157" s="19"/>
      <c r="M157" s="19"/>
      <c r="N157" s="19"/>
      <c r="O157" s="19"/>
      <c r="P157" s="19"/>
      <c r="Q157" s="19" t="s">
        <v>395</v>
      </c>
      <c r="R157" s="19">
        <v>1</v>
      </c>
      <c r="S157" s="19"/>
      <c r="T157" s="19">
        <v>1</v>
      </c>
      <c r="U157" s="20">
        <f t="shared" si="17"/>
        <v>1.54</v>
      </c>
      <c r="V157" s="19" t="s">
        <v>614</v>
      </c>
      <c r="W157" s="19" t="s">
        <v>608</v>
      </c>
      <c r="X157" s="19"/>
      <c r="Y157" s="21">
        <v>1.4</v>
      </c>
      <c r="Z157" s="92">
        <v>1.83</v>
      </c>
      <c r="AA157" s="92">
        <v>1.6266666666666665</v>
      </c>
    </row>
    <row r="158" spans="1:27" x14ac:dyDescent="0.25">
      <c r="A158" s="33">
        <f t="shared" si="15"/>
        <v>155</v>
      </c>
      <c r="B158" s="19">
        <v>17014</v>
      </c>
      <c r="C158" s="19" t="s">
        <v>615</v>
      </c>
      <c r="D158" s="19" t="s">
        <v>606</v>
      </c>
      <c r="E158" s="19" t="s">
        <v>394</v>
      </c>
      <c r="F158" s="19"/>
      <c r="G158" s="19"/>
      <c r="H158" s="19">
        <v>30</v>
      </c>
      <c r="I158" s="19"/>
      <c r="J158" s="19"/>
      <c r="K158" s="19"/>
      <c r="L158" s="19"/>
      <c r="M158" s="19"/>
      <c r="N158" s="19"/>
      <c r="O158" s="19"/>
      <c r="P158" s="19"/>
      <c r="Q158" s="19" t="s">
        <v>395</v>
      </c>
      <c r="R158" s="19">
        <v>1</v>
      </c>
      <c r="S158" s="19"/>
      <c r="T158" s="19">
        <v>1</v>
      </c>
      <c r="U158" s="20">
        <f t="shared" si="17"/>
        <v>2.2000000000000002</v>
      </c>
      <c r="V158" s="19" t="s">
        <v>616</v>
      </c>
      <c r="W158" s="19" t="s">
        <v>608</v>
      </c>
      <c r="X158" s="19"/>
      <c r="Y158" s="21">
        <v>2</v>
      </c>
      <c r="Z158" s="92">
        <v>1.83</v>
      </c>
      <c r="AA158" s="92">
        <v>1.6266666666666665</v>
      </c>
    </row>
    <row r="159" spans="1:27" x14ac:dyDescent="0.25">
      <c r="A159" s="33">
        <f t="shared" si="15"/>
        <v>156</v>
      </c>
      <c r="B159" s="19">
        <v>17014</v>
      </c>
      <c r="C159" s="19" t="s">
        <v>617</v>
      </c>
      <c r="D159" s="19" t="s">
        <v>606</v>
      </c>
      <c r="E159" s="19" t="s">
        <v>394</v>
      </c>
      <c r="F159" s="19"/>
      <c r="G159" s="19"/>
      <c r="H159" s="19">
        <v>36</v>
      </c>
      <c r="I159" s="19"/>
      <c r="J159" s="19"/>
      <c r="K159" s="19"/>
      <c r="L159" s="19"/>
      <c r="M159" s="19"/>
      <c r="N159" s="19"/>
      <c r="O159" s="19"/>
      <c r="P159" s="19"/>
      <c r="Q159" s="19" t="s">
        <v>395</v>
      </c>
      <c r="R159" s="19">
        <v>1</v>
      </c>
      <c r="S159" s="19"/>
      <c r="T159" s="19">
        <v>1</v>
      </c>
      <c r="U159" s="20">
        <f t="shared" si="17"/>
        <v>2.1779999999999999</v>
      </c>
      <c r="V159" s="19" t="s">
        <v>618</v>
      </c>
      <c r="W159" s="19" t="s">
        <v>608</v>
      </c>
      <c r="X159" s="19"/>
      <c r="Y159" s="21">
        <v>1.98</v>
      </c>
      <c r="Z159" s="92">
        <v>1.83</v>
      </c>
      <c r="AA159" s="92">
        <v>1.6266666666666665</v>
      </c>
    </row>
    <row r="160" spans="1:27" x14ac:dyDescent="0.25">
      <c r="A160" s="33">
        <f t="shared" si="15"/>
        <v>157</v>
      </c>
      <c r="B160" s="19">
        <v>17014</v>
      </c>
      <c r="C160" s="19" t="s">
        <v>619</v>
      </c>
      <c r="D160" s="19" t="s">
        <v>606</v>
      </c>
      <c r="E160" s="19" t="s">
        <v>394</v>
      </c>
      <c r="F160" s="19"/>
      <c r="G160" s="19"/>
      <c r="H160" s="19">
        <v>42</v>
      </c>
      <c r="I160" s="19"/>
      <c r="J160" s="19"/>
      <c r="K160" s="19"/>
      <c r="L160" s="19"/>
      <c r="M160" s="19"/>
      <c r="N160" s="19"/>
      <c r="O160" s="19"/>
      <c r="P160" s="19"/>
      <c r="Q160" s="19" t="s">
        <v>395</v>
      </c>
      <c r="R160" s="19">
        <v>1</v>
      </c>
      <c r="S160" s="19"/>
      <c r="T160" s="19">
        <v>1</v>
      </c>
      <c r="U160" s="20">
        <f t="shared" si="17"/>
        <v>2.75</v>
      </c>
      <c r="V160" s="19" t="s">
        <v>620</v>
      </c>
      <c r="W160" s="19" t="s">
        <v>608</v>
      </c>
      <c r="X160" s="19"/>
      <c r="Y160" s="21">
        <v>2.5</v>
      </c>
      <c r="Z160" s="92">
        <v>1.83</v>
      </c>
      <c r="AA160" s="92">
        <v>1.6266666666666665</v>
      </c>
    </row>
    <row r="161" spans="1:27" x14ac:dyDescent="0.25">
      <c r="A161" s="33">
        <f t="shared" si="15"/>
        <v>158</v>
      </c>
      <c r="B161" s="19">
        <v>17014</v>
      </c>
      <c r="C161" s="19" t="s">
        <v>621</v>
      </c>
      <c r="D161" s="19" t="s">
        <v>606</v>
      </c>
      <c r="E161" s="19" t="s">
        <v>394</v>
      </c>
      <c r="F161" s="19"/>
      <c r="G161" s="19"/>
      <c r="H161" s="19">
        <v>48</v>
      </c>
      <c r="I161" s="19"/>
      <c r="J161" s="19"/>
      <c r="K161" s="19"/>
      <c r="L161" s="19"/>
      <c r="M161" s="19"/>
      <c r="N161" s="19"/>
      <c r="O161" s="19"/>
      <c r="P161" s="19"/>
      <c r="Q161" s="19" t="s">
        <v>395</v>
      </c>
      <c r="R161" s="19">
        <v>1</v>
      </c>
      <c r="S161" s="19"/>
      <c r="T161" s="19">
        <v>1</v>
      </c>
      <c r="U161" s="20">
        <f t="shared" si="17"/>
        <v>2.75</v>
      </c>
      <c r="V161" s="19" t="s">
        <v>622</v>
      </c>
      <c r="W161" s="19" t="s">
        <v>608</v>
      </c>
      <c r="X161" s="19"/>
      <c r="Y161" s="21">
        <v>2.5</v>
      </c>
      <c r="Z161" s="92">
        <v>1.83</v>
      </c>
      <c r="AA161" s="92">
        <v>1.6266666666666665</v>
      </c>
    </row>
    <row r="162" spans="1:27" x14ac:dyDescent="0.25">
      <c r="A162" s="33">
        <f t="shared" si="15"/>
        <v>159</v>
      </c>
      <c r="B162" s="19">
        <v>17014</v>
      </c>
      <c r="C162" s="19" t="s">
        <v>623</v>
      </c>
      <c r="D162" s="19" t="s">
        <v>606</v>
      </c>
      <c r="E162" s="19" t="s">
        <v>394</v>
      </c>
      <c r="F162" s="19"/>
      <c r="G162" s="19"/>
      <c r="H162" s="19">
        <v>54</v>
      </c>
      <c r="I162" s="19"/>
      <c r="J162" s="19"/>
      <c r="K162" s="19"/>
      <c r="L162" s="19"/>
      <c r="M162" s="19"/>
      <c r="N162" s="19"/>
      <c r="O162" s="19"/>
      <c r="P162" s="19"/>
      <c r="Q162" s="19" t="s">
        <v>395</v>
      </c>
      <c r="R162" s="19">
        <v>1</v>
      </c>
      <c r="S162" s="19"/>
      <c r="T162" s="19">
        <v>1</v>
      </c>
      <c r="U162" s="20">
        <f t="shared" si="17"/>
        <v>3.3000000000000003</v>
      </c>
      <c r="V162" s="19" t="s">
        <v>624</v>
      </c>
      <c r="W162" s="19" t="s">
        <v>608</v>
      </c>
      <c r="X162" s="19"/>
      <c r="Y162" s="21">
        <v>3</v>
      </c>
      <c r="Z162" s="92">
        <v>1.83</v>
      </c>
      <c r="AA162" s="92">
        <v>1.6266666666666665</v>
      </c>
    </row>
    <row r="163" spans="1:27" x14ac:dyDescent="0.25">
      <c r="A163" s="33">
        <f t="shared" si="15"/>
        <v>160</v>
      </c>
      <c r="B163" s="19">
        <v>17014</v>
      </c>
      <c r="C163" s="19" t="s">
        <v>625</v>
      </c>
      <c r="D163" s="19" t="s">
        <v>606</v>
      </c>
      <c r="E163" s="19" t="s">
        <v>394</v>
      </c>
      <c r="F163" s="19"/>
      <c r="G163" s="19"/>
      <c r="H163" s="19">
        <v>60</v>
      </c>
      <c r="I163" s="19"/>
      <c r="J163" s="19"/>
      <c r="K163" s="19"/>
      <c r="L163" s="19"/>
      <c r="M163" s="19"/>
      <c r="N163" s="19"/>
      <c r="O163" s="19"/>
      <c r="P163" s="19"/>
      <c r="Q163" s="19" t="s">
        <v>395</v>
      </c>
      <c r="R163" s="19">
        <v>1</v>
      </c>
      <c r="S163" s="19"/>
      <c r="T163" s="19">
        <v>1</v>
      </c>
      <c r="U163" s="20">
        <f t="shared" si="17"/>
        <v>3.1350000000000002</v>
      </c>
      <c r="V163" s="19" t="s">
        <v>626</v>
      </c>
      <c r="W163" s="19" t="s">
        <v>608</v>
      </c>
      <c r="X163" s="19"/>
      <c r="Y163" s="21">
        <v>2.85</v>
      </c>
      <c r="Z163" s="92">
        <v>1.83</v>
      </c>
      <c r="AA163" s="92">
        <v>1.6266666666666665</v>
      </c>
    </row>
    <row r="164" spans="1:27" x14ac:dyDescent="0.25">
      <c r="A164" s="33">
        <f t="shared" si="15"/>
        <v>161</v>
      </c>
      <c r="B164" s="210" t="s">
        <v>627</v>
      </c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1"/>
      <c r="X164" s="19"/>
      <c r="Y164" s="74"/>
      <c r="Z164" s="76"/>
      <c r="AA164" s="76"/>
    </row>
    <row r="165" spans="1:27" x14ac:dyDescent="0.25">
      <c r="A165" s="33">
        <f t="shared" si="15"/>
        <v>162</v>
      </c>
      <c r="B165" s="19" t="s">
        <v>628</v>
      </c>
      <c r="C165" s="19" t="s">
        <v>629</v>
      </c>
      <c r="D165" s="19" t="s">
        <v>630</v>
      </c>
      <c r="E165" s="19" t="s">
        <v>631</v>
      </c>
      <c r="F165" s="19"/>
      <c r="G165" s="19"/>
      <c r="H165" s="19">
        <v>12</v>
      </c>
      <c r="I165" s="19"/>
      <c r="J165" s="19"/>
      <c r="K165" s="19"/>
      <c r="L165" s="19"/>
      <c r="M165" s="19"/>
      <c r="N165" s="19"/>
      <c r="O165" s="19"/>
      <c r="P165" s="19"/>
      <c r="Q165" s="19" t="s">
        <v>395</v>
      </c>
      <c r="R165" s="19">
        <v>1</v>
      </c>
      <c r="S165" s="19"/>
      <c r="T165" s="19">
        <v>1</v>
      </c>
      <c r="U165" s="20">
        <f t="shared" si="17"/>
        <v>0.25300000000000006</v>
      </c>
      <c r="V165" s="19" t="s">
        <v>632</v>
      </c>
      <c r="W165" s="19" t="s">
        <v>397</v>
      </c>
      <c r="X165" s="19"/>
      <c r="Y165" s="21">
        <v>0.23</v>
      </c>
      <c r="Z165" s="92">
        <v>1.3</v>
      </c>
      <c r="AA165" s="92">
        <v>1</v>
      </c>
    </row>
    <row r="166" spans="1:27" x14ac:dyDescent="0.25">
      <c r="A166" s="33">
        <f t="shared" si="15"/>
        <v>163</v>
      </c>
      <c r="B166" s="19" t="s">
        <v>628</v>
      </c>
      <c r="C166" s="19" t="s">
        <v>633</v>
      </c>
      <c r="D166" s="19" t="s">
        <v>630</v>
      </c>
      <c r="E166" s="19" t="s">
        <v>631</v>
      </c>
      <c r="F166" s="19"/>
      <c r="G166" s="19"/>
      <c r="H166" s="19">
        <v>18</v>
      </c>
      <c r="I166" s="19"/>
      <c r="J166" s="19"/>
      <c r="K166" s="19"/>
      <c r="L166" s="19"/>
      <c r="M166" s="19"/>
      <c r="N166" s="19"/>
      <c r="O166" s="19"/>
      <c r="P166" s="19"/>
      <c r="Q166" s="19" t="s">
        <v>395</v>
      </c>
      <c r="R166" s="19">
        <v>1</v>
      </c>
      <c r="S166" s="19"/>
      <c r="T166" s="19">
        <v>1</v>
      </c>
      <c r="U166" s="20">
        <f t="shared" si="17"/>
        <v>0.38500000000000001</v>
      </c>
      <c r="V166" s="19" t="s">
        <v>634</v>
      </c>
      <c r="W166" s="19" t="s">
        <v>397</v>
      </c>
      <c r="X166" s="19"/>
      <c r="Y166" s="21">
        <v>0.35</v>
      </c>
      <c r="Z166" s="92">
        <v>1.3</v>
      </c>
      <c r="AA166" s="92">
        <v>1</v>
      </c>
    </row>
    <row r="167" spans="1:27" x14ac:dyDescent="0.25">
      <c r="A167" s="33">
        <f t="shared" si="15"/>
        <v>164</v>
      </c>
      <c r="B167" s="19" t="s">
        <v>628</v>
      </c>
      <c r="C167" s="19" t="s">
        <v>635</v>
      </c>
      <c r="D167" s="19" t="s">
        <v>630</v>
      </c>
      <c r="E167" s="19" t="s">
        <v>631</v>
      </c>
      <c r="F167" s="19"/>
      <c r="G167" s="19"/>
      <c r="H167" s="19">
        <v>24</v>
      </c>
      <c r="I167" s="19"/>
      <c r="J167" s="19"/>
      <c r="K167" s="19"/>
      <c r="L167" s="19"/>
      <c r="M167" s="19"/>
      <c r="N167" s="19"/>
      <c r="O167" s="19"/>
      <c r="P167" s="19"/>
      <c r="Q167" s="19" t="s">
        <v>395</v>
      </c>
      <c r="R167" s="19">
        <v>1</v>
      </c>
      <c r="S167" s="19"/>
      <c r="T167" s="19">
        <v>1</v>
      </c>
      <c r="U167" s="20">
        <f t="shared" si="17"/>
        <v>0.51700000000000002</v>
      </c>
      <c r="V167" s="19" t="s">
        <v>636</v>
      </c>
      <c r="W167" s="19" t="s">
        <v>397</v>
      </c>
      <c r="X167" s="19"/>
      <c r="Y167" s="21">
        <v>0.47</v>
      </c>
      <c r="Z167" s="92">
        <v>1.3</v>
      </c>
      <c r="AA167" s="92">
        <v>1</v>
      </c>
    </row>
    <row r="168" spans="1:27" x14ac:dyDescent="0.25">
      <c r="A168" s="33">
        <f t="shared" si="15"/>
        <v>165</v>
      </c>
      <c r="B168" s="19" t="s">
        <v>628</v>
      </c>
      <c r="C168" s="19" t="s">
        <v>637</v>
      </c>
      <c r="D168" s="19" t="s">
        <v>630</v>
      </c>
      <c r="E168" s="19" t="s">
        <v>631</v>
      </c>
      <c r="F168" s="19"/>
      <c r="G168" s="19"/>
      <c r="H168" s="19">
        <v>30</v>
      </c>
      <c r="I168" s="19"/>
      <c r="J168" s="19"/>
      <c r="K168" s="19"/>
      <c r="L168" s="19"/>
      <c r="M168" s="19"/>
      <c r="N168" s="19"/>
      <c r="O168" s="19"/>
      <c r="P168" s="19"/>
      <c r="Q168" s="19" t="s">
        <v>395</v>
      </c>
      <c r="R168" s="19">
        <v>1</v>
      </c>
      <c r="S168" s="19"/>
      <c r="T168" s="19">
        <v>1</v>
      </c>
      <c r="U168" s="20">
        <f t="shared" si="17"/>
        <v>0.64900000000000002</v>
      </c>
      <c r="V168" s="19" t="s">
        <v>638</v>
      </c>
      <c r="W168" s="19" t="s">
        <v>397</v>
      </c>
      <c r="X168" s="19"/>
      <c r="Y168" s="21">
        <v>0.59</v>
      </c>
      <c r="Z168" s="92">
        <v>1.3</v>
      </c>
      <c r="AA168" s="92">
        <v>1</v>
      </c>
    </row>
    <row r="169" spans="1:27" x14ac:dyDescent="0.25">
      <c r="A169" s="33">
        <f t="shared" si="15"/>
        <v>166</v>
      </c>
      <c r="B169" s="19" t="s">
        <v>628</v>
      </c>
      <c r="C169" s="19" t="s">
        <v>639</v>
      </c>
      <c r="D169" s="19" t="s">
        <v>630</v>
      </c>
      <c r="E169" s="19" t="s">
        <v>631</v>
      </c>
      <c r="F169" s="19"/>
      <c r="G169" s="19"/>
      <c r="H169" s="19">
        <v>36</v>
      </c>
      <c r="I169" s="19"/>
      <c r="J169" s="19"/>
      <c r="K169" s="19"/>
      <c r="L169" s="19"/>
      <c r="M169" s="19"/>
      <c r="N169" s="19"/>
      <c r="O169" s="19"/>
      <c r="P169" s="19"/>
      <c r="Q169" s="19" t="s">
        <v>395</v>
      </c>
      <c r="R169" s="19">
        <v>1</v>
      </c>
      <c r="S169" s="19"/>
      <c r="T169" s="19">
        <v>1</v>
      </c>
      <c r="U169" s="20">
        <f t="shared" si="17"/>
        <v>0.78100000000000003</v>
      </c>
      <c r="V169" s="19" t="s">
        <v>640</v>
      </c>
      <c r="W169" s="19" t="s">
        <v>397</v>
      </c>
      <c r="X169" s="19"/>
      <c r="Y169" s="21">
        <v>0.71</v>
      </c>
      <c r="Z169" s="92">
        <v>1.3</v>
      </c>
      <c r="AA169" s="92">
        <v>1</v>
      </c>
    </row>
    <row r="170" spans="1:27" x14ac:dyDescent="0.25">
      <c r="A170" s="33">
        <f t="shared" si="15"/>
        <v>167</v>
      </c>
      <c r="B170" s="19" t="s">
        <v>628</v>
      </c>
      <c r="C170" s="19" t="s">
        <v>641</v>
      </c>
      <c r="D170" s="19" t="s">
        <v>630</v>
      </c>
      <c r="E170" s="19" t="s">
        <v>631</v>
      </c>
      <c r="F170" s="19"/>
      <c r="G170" s="19"/>
      <c r="H170" s="19">
        <v>42</v>
      </c>
      <c r="I170" s="19"/>
      <c r="J170" s="19"/>
      <c r="K170" s="19"/>
      <c r="L170" s="19"/>
      <c r="M170" s="19"/>
      <c r="N170" s="19"/>
      <c r="O170" s="19"/>
      <c r="P170" s="19"/>
      <c r="Q170" s="19" t="s">
        <v>395</v>
      </c>
      <c r="R170" s="19">
        <v>1</v>
      </c>
      <c r="S170" s="19"/>
      <c r="T170" s="19">
        <v>1</v>
      </c>
      <c r="U170" s="20">
        <f t="shared" si="17"/>
        <v>0.91300000000000003</v>
      </c>
      <c r="V170" s="19" t="s">
        <v>642</v>
      </c>
      <c r="W170" s="19" t="s">
        <v>397</v>
      </c>
      <c r="X170" s="19"/>
      <c r="Y170" s="21">
        <v>0.83</v>
      </c>
      <c r="Z170" s="92">
        <v>1.3</v>
      </c>
      <c r="AA170" s="92">
        <v>1</v>
      </c>
    </row>
    <row r="171" spans="1:27" x14ac:dyDescent="0.25">
      <c r="A171" s="33">
        <f t="shared" si="15"/>
        <v>168</v>
      </c>
      <c r="B171" s="19" t="s">
        <v>628</v>
      </c>
      <c r="C171" s="19" t="s">
        <v>643</v>
      </c>
      <c r="D171" s="19" t="s">
        <v>630</v>
      </c>
      <c r="E171" s="19" t="s">
        <v>631</v>
      </c>
      <c r="F171" s="19"/>
      <c r="G171" s="19"/>
      <c r="H171" s="19">
        <v>48</v>
      </c>
      <c r="I171" s="19"/>
      <c r="J171" s="19"/>
      <c r="K171" s="19"/>
      <c r="L171" s="19"/>
      <c r="M171" s="19"/>
      <c r="N171" s="19"/>
      <c r="O171" s="19"/>
      <c r="P171" s="19"/>
      <c r="Q171" s="19" t="s">
        <v>395</v>
      </c>
      <c r="R171" s="19">
        <v>1</v>
      </c>
      <c r="S171" s="19"/>
      <c r="T171" s="19">
        <v>1</v>
      </c>
      <c r="U171" s="20">
        <f t="shared" si="17"/>
        <v>1.0449999999999999</v>
      </c>
      <c r="V171" s="19" t="s">
        <v>644</v>
      </c>
      <c r="W171" s="19" t="s">
        <v>397</v>
      </c>
      <c r="X171" s="19"/>
      <c r="Y171" s="21">
        <v>0.95</v>
      </c>
      <c r="Z171" s="92">
        <v>1.3</v>
      </c>
      <c r="AA171" s="92">
        <v>1</v>
      </c>
    </row>
    <row r="172" spans="1:27" x14ac:dyDescent="0.25">
      <c r="A172" s="33">
        <f t="shared" si="15"/>
        <v>169</v>
      </c>
      <c r="B172" s="19" t="s">
        <v>628</v>
      </c>
      <c r="C172" s="19" t="s">
        <v>645</v>
      </c>
      <c r="D172" s="19" t="s">
        <v>630</v>
      </c>
      <c r="E172" s="19" t="s">
        <v>631</v>
      </c>
      <c r="F172" s="19"/>
      <c r="G172" s="19"/>
      <c r="H172" s="19">
        <v>54</v>
      </c>
      <c r="I172" s="19"/>
      <c r="J172" s="19"/>
      <c r="K172" s="19"/>
      <c r="L172" s="19"/>
      <c r="M172" s="19"/>
      <c r="N172" s="19"/>
      <c r="O172" s="19"/>
      <c r="P172" s="19"/>
      <c r="Q172" s="19" t="s">
        <v>395</v>
      </c>
      <c r="R172" s="19">
        <v>1</v>
      </c>
      <c r="S172" s="19"/>
      <c r="T172" s="19">
        <v>1</v>
      </c>
      <c r="U172" s="20">
        <f t="shared" si="17"/>
        <v>1.1770000000000003</v>
      </c>
      <c r="V172" s="19" t="s">
        <v>646</v>
      </c>
      <c r="W172" s="19" t="s">
        <v>397</v>
      </c>
      <c r="X172" s="19"/>
      <c r="Y172" s="21">
        <v>1.07</v>
      </c>
      <c r="Z172" s="92">
        <v>1.3</v>
      </c>
      <c r="AA172" s="92">
        <v>1</v>
      </c>
    </row>
    <row r="173" spans="1:27" x14ac:dyDescent="0.25">
      <c r="A173" s="33">
        <f t="shared" ref="A173:A219" si="18">ROW()-3</f>
        <v>170</v>
      </c>
      <c r="B173" s="19" t="s">
        <v>628</v>
      </c>
      <c r="C173" s="19" t="s">
        <v>647</v>
      </c>
      <c r="D173" s="19" t="s">
        <v>630</v>
      </c>
      <c r="E173" s="19" t="s">
        <v>631</v>
      </c>
      <c r="F173" s="19"/>
      <c r="G173" s="19"/>
      <c r="H173" s="19">
        <v>60</v>
      </c>
      <c r="I173" s="19"/>
      <c r="J173" s="19"/>
      <c r="K173" s="19"/>
      <c r="L173" s="19"/>
      <c r="M173" s="19"/>
      <c r="N173" s="19"/>
      <c r="O173" s="19"/>
      <c r="P173" s="19"/>
      <c r="Q173" s="19" t="s">
        <v>395</v>
      </c>
      <c r="R173" s="19">
        <v>1</v>
      </c>
      <c r="S173" s="19"/>
      <c r="T173" s="19">
        <v>1</v>
      </c>
      <c r="U173" s="20">
        <f t="shared" si="17"/>
        <v>1.3089999999999999</v>
      </c>
      <c r="V173" s="19" t="s">
        <v>648</v>
      </c>
      <c r="W173" s="19" t="s">
        <v>397</v>
      </c>
      <c r="X173" s="19"/>
      <c r="Y173" s="21">
        <v>1.19</v>
      </c>
      <c r="Z173" s="92">
        <v>1.3</v>
      </c>
      <c r="AA173" s="92">
        <v>1</v>
      </c>
    </row>
    <row r="174" spans="1:27" x14ac:dyDescent="0.25">
      <c r="A174" s="33">
        <f t="shared" si="18"/>
        <v>171</v>
      </c>
      <c r="B174" s="210" t="s">
        <v>649</v>
      </c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1"/>
      <c r="X174" s="19"/>
      <c r="Y174" s="74"/>
      <c r="Z174" s="76"/>
      <c r="AA174" s="76"/>
    </row>
    <row r="175" spans="1:27" x14ac:dyDescent="0.25">
      <c r="A175" s="33">
        <f t="shared" si="18"/>
        <v>172</v>
      </c>
      <c r="B175" s="19" t="s">
        <v>650</v>
      </c>
      <c r="C175" s="19" t="s">
        <v>651</v>
      </c>
      <c r="D175" s="19" t="s">
        <v>630</v>
      </c>
      <c r="E175" s="19" t="s">
        <v>240</v>
      </c>
      <c r="F175" s="19"/>
      <c r="G175" s="19"/>
      <c r="H175" s="22" t="s">
        <v>248</v>
      </c>
      <c r="I175" s="19"/>
      <c r="J175" s="19"/>
      <c r="K175" s="19"/>
      <c r="L175" s="19"/>
      <c r="M175" s="19" t="s">
        <v>161</v>
      </c>
      <c r="N175" s="19"/>
      <c r="O175" s="19"/>
      <c r="P175" s="19"/>
      <c r="Q175" s="19" t="s">
        <v>395</v>
      </c>
      <c r="R175" s="19">
        <v>1</v>
      </c>
      <c r="S175" s="19"/>
      <c r="T175" s="19">
        <v>1</v>
      </c>
      <c r="U175" s="20">
        <f t="shared" si="17"/>
        <v>0.12100000000000001</v>
      </c>
      <c r="V175" s="19" t="s">
        <v>652</v>
      </c>
      <c r="W175" s="19" t="s">
        <v>397</v>
      </c>
      <c r="X175" s="19"/>
      <c r="Y175" s="21">
        <v>0.11</v>
      </c>
      <c r="Z175" s="92">
        <v>1.3</v>
      </c>
      <c r="AA175" s="92">
        <v>1</v>
      </c>
    </row>
    <row r="176" spans="1:27" x14ac:dyDescent="0.25">
      <c r="A176" s="33">
        <f t="shared" si="18"/>
        <v>173</v>
      </c>
      <c r="B176" s="19" t="s">
        <v>650</v>
      </c>
      <c r="C176" s="19" t="s">
        <v>653</v>
      </c>
      <c r="D176" s="19" t="s">
        <v>630</v>
      </c>
      <c r="E176" s="19" t="s">
        <v>45</v>
      </c>
      <c r="F176" s="19"/>
      <c r="G176" s="19"/>
      <c r="H176" s="19">
        <v>12</v>
      </c>
      <c r="I176" s="19"/>
      <c r="J176" s="19"/>
      <c r="K176" s="19"/>
      <c r="L176" s="19"/>
      <c r="M176" s="19"/>
      <c r="N176" s="19"/>
      <c r="O176" s="19"/>
      <c r="P176" s="19"/>
      <c r="Q176" s="19" t="s">
        <v>395</v>
      </c>
      <c r="R176" s="19">
        <v>1</v>
      </c>
      <c r="S176" s="19"/>
      <c r="T176" s="19">
        <v>1</v>
      </c>
      <c r="U176" s="20">
        <f t="shared" si="17"/>
        <v>0.28600000000000003</v>
      </c>
      <c r="V176" s="19" t="s">
        <v>654</v>
      </c>
      <c r="W176" s="19" t="s">
        <v>397</v>
      </c>
      <c r="X176" s="19"/>
      <c r="Y176" s="21">
        <v>0.26</v>
      </c>
      <c r="Z176" s="92">
        <v>1.3</v>
      </c>
      <c r="AA176" s="92">
        <v>1</v>
      </c>
    </row>
    <row r="177" spans="1:27" x14ac:dyDescent="0.25">
      <c r="A177" s="33">
        <f t="shared" si="18"/>
        <v>174</v>
      </c>
      <c r="B177" s="19" t="s">
        <v>650</v>
      </c>
      <c r="C177" s="19" t="s">
        <v>655</v>
      </c>
      <c r="D177" s="19" t="s">
        <v>630</v>
      </c>
      <c r="E177" s="19" t="s">
        <v>45</v>
      </c>
      <c r="F177" s="19"/>
      <c r="G177" s="19"/>
      <c r="H177" s="19">
        <v>18</v>
      </c>
      <c r="I177" s="19"/>
      <c r="J177" s="19"/>
      <c r="K177" s="19"/>
      <c r="L177" s="19"/>
      <c r="M177" s="19"/>
      <c r="N177" s="19"/>
      <c r="O177" s="19"/>
      <c r="P177" s="19"/>
      <c r="Q177" s="19" t="s">
        <v>395</v>
      </c>
      <c r="R177" s="19">
        <v>1</v>
      </c>
      <c r="S177" s="19"/>
      <c r="T177" s="19">
        <v>1</v>
      </c>
      <c r="U177" s="20">
        <f t="shared" si="17"/>
        <v>0.34100000000000003</v>
      </c>
      <c r="V177" s="19" t="s">
        <v>656</v>
      </c>
      <c r="W177" s="19" t="s">
        <v>397</v>
      </c>
      <c r="X177" s="19"/>
      <c r="Y177" s="21">
        <v>0.31</v>
      </c>
      <c r="Z177" s="92">
        <v>1.3</v>
      </c>
      <c r="AA177" s="92">
        <v>1</v>
      </c>
    </row>
    <row r="178" spans="1:27" x14ac:dyDescent="0.25">
      <c r="A178" s="33">
        <f t="shared" si="18"/>
        <v>175</v>
      </c>
      <c r="B178" s="19" t="s">
        <v>650</v>
      </c>
      <c r="C178" s="19" t="s">
        <v>657</v>
      </c>
      <c r="D178" s="19" t="s">
        <v>630</v>
      </c>
      <c r="E178" s="19" t="s">
        <v>45</v>
      </c>
      <c r="F178" s="19"/>
      <c r="G178" s="19"/>
      <c r="H178" s="19">
        <v>24</v>
      </c>
      <c r="I178" s="19"/>
      <c r="J178" s="19"/>
      <c r="K178" s="19"/>
      <c r="L178" s="19"/>
      <c r="M178" s="19"/>
      <c r="N178" s="19"/>
      <c r="O178" s="19"/>
      <c r="P178" s="19"/>
      <c r="Q178" s="19" t="s">
        <v>395</v>
      </c>
      <c r="R178" s="19">
        <v>1</v>
      </c>
      <c r="S178" s="19"/>
      <c r="T178" s="19">
        <v>1</v>
      </c>
      <c r="U178" s="20">
        <f t="shared" si="17"/>
        <v>0.45100000000000001</v>
      </c>
      <c r="V178" s="19" t="s">
        <v>658</v>
      </c>
      <c r="W178" s="19" t="s">
        <v>397</v>
      </c>
      <c r="X178" s="19"/>
      <c r="Y178" s="21">
        <v>0.41</v>
      </c>
      <c r="Z178" s="92">
        <v>1.3</v>
      </c>
      <c r="AA178" s="92">
        <v>1</v>
      </c>
    </row>
    <row r="179" spans="1:27" x14ac:dyDescent="0.25">
      <c r="A179" s="33">
        <f t="shared" si="18"/>
        <v>176</v>
      </c>
      <c r="B179" s="19" t="s">
        <v>650</v>
      </c>
      <c r="C179" s="19" t="s">
        <v>659</v>
      </c>
      <c r="D179" s="19" t="s">
        <v>630</v>
      </c>
      <c r="E179" s="19" t="s">
        <v>45</v>
      </c>
      <c r="F179" s="19"/>
      <c r="G179" s="19"/>
      <c r="H179" s="19">
        <v>30</v>
      </c>
      <c r="I179" s="19"/>
      <c r="J179" s="19"/>
      <c r="K179" s="19"/>
      <c r="L179" s="19"/>
      <c r="M179" s="19"/>
      <c r="N179" s="19"/>
      <c r="O179" s="19"/>
      <c r="P179" s="19"/>
      <c r="Q179" s="19" t="s">
        <v>395</v>
      </c>
      <c r="R179" s="19">
        <v>1</v>
      </c>
      <c r="S179" s="19"/>
      <c r="T179" s="19">
        <v>1</v>
      </c>
      <c r="U179" s="20">
        <f t="shared" si="17"/>
        <v>0.56100000000000005</v>
      </c>
      <c r="V179" s="19" t="s">
        <v>660</v>
      </c>
      <c r="W179" s="19" t="s">
        <v>397</v>
      </c>
      <c r="X179" s="19"/>
      <c r="Y179" s="21">
        <v>0.51</v>
      </c>
      <c r="Z179" s="92">
        <v>1.3</v>
      </c>
      <c r="AA179" s="92">
        <v>1</v>
      </c>
    </row>
    <row r="180" spans="1:27" x14ac:dyDescent="0.25">
      <c r="A180" s="33">
        <f t="shared" si="18"/>
        <v>177</v>
      </c>
      <c r="B180" s="19" t="s">
        <v>650</v>
      </c>
      <c r="C180" s="19" t="s">
        <v>661</v>
      </c>
      <c r="D180" s="19" t="s">
        <v>630</v>
      </c>
      <c r="E180" s="19" t="s">
        <v>45</v>
      </c>
      <c r="F180" s="19"/>
      <c r="G180" s="19"/>
      <c r="H180" s="19">
        <v>36</v>
      </c>
      <c r="I180" s="19"/>
      <c r="J180" s="19"/>
      <c r="K180" s="19"/>
      <c r="L180" s="19"/>
      <c r="M180" s="19"/>
      <c r="N180" s="19"/>
      <c r="O180" s="19"/>
      <c r="P180" s="19"/>
      <c r="Q180" s="19" t="s">
        <v>395</v>
      </c>
      <c r="R180" s="19">
        <v>1</v>
      </c>
      <c r="S180" s="19"/>
      <c r="T180" s="19">
        <v>1</v>
      </c>
      <c r="U180" s="20">
        <f t="shared" si="17"/>
        <v>0.67100000000000004</v>
      </c>
      <c r="V180" s="19" t="s">
        <v>662</v>
      </c>
      <c r="W180" s="19" t="s">
        <v>397</v>
      </c>
      <c r="X180" s="19"/>
      <c r="Y180" s="21">
        <v>0.61</v>
      </c>
      <c r="Z180" s="92">
        <v>1.3</v>
      </c>
      <c r="AA180" s="92">
        <v>1</v>
      </c>
    </row>
    <row r="181" spans="1:27" x14ac:dyDescent="0.25">
      <c r="A181" s="33">
        <f t="shared" si="18"/>
        <v>178</v>
      </c>
      <c r="B181" s="19" t="s">
        <v>650</v>
      </c>
      <c r="C181" s="19" t="s">
        <v>663</v>
      </c>
      <c r="D181" s="19" t="s">
        <v>630</v>
      </c>
      <c r="E181" s="19" t="s">
        <v>45</v>
      </c>
      <c r="F181" s="19"/>
      <c r="G181" s="19"/>
      <c r="H181" s="19">
        <v>42</v>
      </c>
      <c r="I181" s="19"/>
      <c r="J181" s="19"/>
      <c r="K181" s="19"/>
      <c r="L181" s="19"/>
      <c r="M181" s="19"/>
      <c r="N181" s="19"/>
      <c r="O181" s="19"/>
      <c r="P181" s="19"/>
      <c r="Q181" s="19" t="s">
        <v>395</v>
      </c>
      <c r="R181" s="19">
        <v>1</v>
      </c>
      <c r="S181" s="19"/>
      <c r="T181" s="19">
        <v>1</v>
      </c>
      <c r="U181" s="20">
        <f t="shared" si="17"/>
        <v>0.78100000000000003</v>
      </c>
      <c r="V181" s="19" t="s">
        <v>664</v>
      </c>
      <c r="W181" s="19" t="s">
        <v>397</v>
      </c>
      <c r="X181" s="19"/>
      <c r="Y181" s="21">
        <v>0.71</v>
      </c>
      <c r="Z181" s="92">
        <v>1.3</v>
      </c>
      <c r="AA181" s="92">
        <v>1</v>
      </c>
    </row>
    <row r="182" spans="1:27" x14ac:dyDescent="0.25">
      <c r="A182" s="33">
        <f t="shared" si="18"/>
        <v>179</v>
      </c>
      <c r="B182" s="19" t="s">
        <v>650</v>
      </c>
      <c r="C182" s="19" t="s">
        <v>665</v>
      </c>
      <c r="D182" s="19" t="s">
        <v>630</v>
      </c>
      <c r="E182" s="19" t="s">
        <v>45</v>
      </c>
      <c r="F182" s="19"/>
      <c r="G182" s="19"/>
      <c r="H182" s="19">
        <v>48</v>
      </c>
      <c r="I182" s="19"/>
      <c r="J182" s="19"/>
      <c r="K182" s="19"/>
      <c r="L182" s="19"/>
      <c r="M182" s="19"/>
      <c r="N182" s="19"/>
      <c r="O182" s="19"/>
      <c r="P182" s="19"/>
      <c r="Q182" s="19" t="s">
        <v>395</v>
      </c>
      <c r="R182" s="19">
        <v>1</v>
      </c>
      <c r="S182" s="19"/>
      <c r="T182" s="19">
        <v>1</v>
      </c>
      <c r="U182" s="20">
        <f t="shared" si="17"/>
        <v>0.89100000000000013</v>
      </c>
      <c r="V182" s="19" t="s">
        <v>666</v>
      </c>
      <c r="W182" s="19" t="s">
        <v>397</v>
      </c>
      <c r="X182" s="19"/>
      <c r="Y182" s="21">
        <v>0.81</v>
      </c>
      <c r="Z182" s="92">
        <v>1.3</v>
      </c>
      <c r="AA182" s="92">
        <v>1</v>
      </c>
    </row>
    <row r="183" spans="1:27" x14ac:dyDescent="0.25">
      <c r="A183" s="33">
        <f t="shared" si="18"/>
        <v>180</v>
      </c>
      <c r="B183" s="19" t="s">
        <v>650</v>
      </c>
      <c r="C183" s="19" t="s">
        <v>667</v>
      </c>
      <c r="D183" s="19" t="s">
        <v>630</v>
      </c>
      <c r="E183" s="19" t="s">
        <v>45</v>
      </c>
      <c r="F183" s="19"/>
      <c r="G183" s="19"/>
      <c r="H183" s="19">
        <v>54</v>
      </c>
      <c r="I183" s="19"/>
      <c r="J183" s="19"/>
      <c r="K183" s="19"/>
      <c r="L183" s="19"/>
      <c r="M183" s="19"/>
      <c r="N183" s="19"/>
      <c r="O183" s="19"/>
      <c r="P183" s="19"/>
      <c r="Q183" s="19" t="s">
        <v>395</v>
      </c>
      <c r="R183" s="19">
        <v>1</v>
      </c>
      <c r="S183" s="19"/>
      <c r="T183" s="19">
        <v>1</v>
      </c>
      <c r="U183" s="20">
        <f t="shared" si="17"/>
        <v>1.0010000000000001</v>
      </c>
      <c r="V183" s="19" t="s">
        <v>668</v>
      </c>
      <c r="W183" s="19" t="s">
        <v>397</v>
      </c>
      <c r="X183" s="19"/>
      <c r="Y183" s="21">
        <v>0.91</v>
      </c>
      <c r="Z183" s="92">
        <v>1.3</v>
      </c>
      <c r="AA183" s="92">
        <v>1</v>
      </c>
    </row>
    <row r="184" spans="1:27" x14ac:dyDescent="0.25">
      <c r="A184" s="33">
        <f t="shared" si="18"/>
        <v>181</v>
      </c>
      <c r="B184" s="19" t="s">
        <v>650</v>
      </c>
      <c r="C184" s="19" t="s">
        <v>669</v>
      </c>
      <c r="D184" s="19" t="s">
        <v>630</v>
      </c>
      <c r="E184" s="19" t="s">
        <v>45</v>
      </c>
      <c r="F184" s="19"/>
      <c r="G184" s="19"/>
      <c r="H184" s="19">
        <v>60</v>
      </c>
      <c r="I184" s="19"/>
      <c r="J184" s="19"/>
      <c r="K184" s="19"/>
      <c r="L184" s="19"/>
      <c r="M184" s="19"/>
      <c r="N184" s="19"/>
      <c r="O184" s="19"/>
      <c r="P184" s="19"/>
      <c r="Q184" s="19" t="s">
        <v>395</v>
      </c>
      <c r="R184" s="19">
        <v>1</v>
      </c>
      <c r="S184" s="19"/>
      <c r="T184" s="19">
        <v>1</v>
      </c>
      <c r="U184" s="20">
        <f t="shared" si="17"/>
        <v>1.1110000000000002</v>
      </c>
      <c r="V184" s="19" t="s">
        <v>670</v>
      </c>
      <c r="W184" s="19" t="s">
        <v>397</v>
      </c>
      <c r="X184" s="19"/>
      <c r="Y184" s="21">
        <v>1.01</v>
      </c>
      <c r="Z184" s="92">
        <v>1.3</v>
      </c>
      <c r="AA184" s="92">
        <v>1</v>
      </c>
    </row>
    <row r="185" spans="1:27" x14ac:dyDescent="0.25">
      <c r="A185" s="33">
        <f t="shared" si="18"/>
        <v>182</v>
      </c>
      <c r="B185" s="210" t="s">
        <v>671</v>
      </c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1"/>
      <c r="X185" s="19"/>
      <c r="Y185" s="74"/>
      <c r="Z185" s="76"/>
      <c r="AA185" s="76"/>
    </row>
    <row r="186" spans="1:27" x14ac:dyDescent="0.25">
      <c r="A186" s="33">
        <f t="shared" si="18"/>
        <v>183</v>
      </c>
      <c r="B186" s="19" t="s">
        <v>672</v>
      </c>
      <c r="C186" s="19" t="s">
        <v>673</v>
      </c>
      <c r="D186" s="19" t="s">
        <v>630</v>
      </c>
      <c r="E186" s="19" t="s">
        <v>49</v>
      </c>
      <c r="F186" s="19"/>
      <c r="G186" s="19"/>
      <c r="H186" s="19">
        <v>12</v>
      </c>
      <c r="I186" s="19"/>
      <c r="J186" s="19"/>
      <c r="K186" s="19"/>
      <c r="L186" s="19"/>
      <c r="M186" s="19"/>
      <c r="N186" s="19"/>
      <c r="O186" s="19"/>
      <c r="P186" s="19"/>
      <c r="Q186" s="19" t="s">
        <v>395</v>
      </c>
      <c r="R186" s="19">
        <v>1</v>
      </c>
      <c r="S186" s="19"/>
      <c r="T186" s="19">
        <v>1</v>
      </c>
      <c r="U186" s="20">
        <f t="shared" si="17"/>
        <v>0.27500000000000002</v>
      </c>
      <c r="V186" s="19" t="s">
        <v>674</v>
      </c>
      <c r="W186" s="19" t="s">
        <v>397</v>
      </c>
      <c r="X186" s="19"/>
      <c r="Y186" s="21">
        <v>0.25</v>
      </c>
      <c r="Z186" s="92">
        <v>1.3</v>
      </c>
      <c r="AA186" s="92">
        <v>1</v>
      </c>
    </row>
    <row r="187" spans="1:27" x14ac:dyDescent="0.25">
      <c r="A187" s="33">
        <f t="shared" si="18"/>
        <v>184</v>
      </c>
      <c r="B187" s="19" t="s">
        <v>672</v>
      </c>
      <c r="C187" s="19" t="s">
        <v>675</v>
      </c>
      <c r="D187" s="19" t="s">
        <v>630</v>
      </c>
      <c r="E187" s="19" t="s">
        <v>49</v>
      </c>
      <c r="F187" s="19"/>
      <c r="G187" s="19"/>
      <c r="H187" s="19">
        <v>18</v>
      </c>
      <c r="I187" s="19"/>
      <c r="J187" s="19"/>
      <c r="K187" s="19"/>
      <c r="L187" s="19"/>
      <c r="M187" s="19"/>
      <c r="N187" s="19"/>
      <c r="O187" s="19"/>
      <c r="P187" s="19"/>
      <c r="Q187" s="19" t="s">
        <v>395</v>
      </c>
      <c r="R187" s="19">
        <v>1</v>
      </c>
      <c r="S187" s="19"/>
      <c r="T187" s="19">
        <v>1</v>
      </c>
      <c r="U187" s="20">
        <f t="shared" si="17"/>
        <v>0.40700000000000003</v>
      </c>
      <c r="V187" s="19" t="s">
        <v>676</v>
      </c>
      <c r="W187" s="19" t="s">
        <v>397</v>
      </c>
      <c r="X187" s="19"/>
      <c r="Y187" s="21">
        <v>0.37</v>
      </c>
      <c r="Z187" s="92">
        <v>1.3</v>
      </c>
      <c r="AA187" s="92">
        <v>1</v>
      </c>
    </row>
    <row r="188" spans="1:27" x14ac:dyDescent="0.25">
      <c r="A188" s="33">
        <f t="shared" si="18"/>
        <v>185</v>
      </c>
      <c r="B188" s="19" t="s">
        <v>672</v>
      </c>
      <c r="C188" s="19" t="s">
        <v>677</v>
      </c>
      <c r="D188" s="19" t="s">
        <v>630</v>
      </c>
      <c r="E188" s="19" t="s">
        <v>49</v>
      </c>
      <c r="F188" s="19"/>
      <c r="G188" s="19"/>
      <c r="H188" s="19">
        <v>24</v>
      </c>
      <c r="I188" s="19"/>
      <c r="J188" s="19"/>
      <c r="K188" s="19"/>
      <c r="L188" s="19"/>
      <c r="M188" s="19"/>
      <c r="N188" s="19"/>
      <c r="O188" s="19"/>
      <c r="P188" s="19"/>
      <c r="Q188" s="19" t="s">
        <v>395</v>
      </c>
      <c r="R188" s="19">
        <v>1</v>
      </c>
      <c r="S188" s="19"/>
      <c r="T188" s="19">
        <v>1</v>
      </c>
      <c r="U188" s="20">
        <f t="shared" si="17"/>
        <v>0.53900000000000003</v>
      </c>
      <c r="V188" s="19" t="s">
        <v>678</v>
      </c>
      <c r="W188" s="19" t="s">
        <v>397</v>
      </c>
      <c r="X188" s="19"/>
      <c r="Y188" s="21">
        <v>0.49</v>
      </c>
      <c r="Z188" s="92">
        <v>1.3</v>
      </c>
      <c r="AA188" s="92">
        <v>1</v>
      </c>
    </row>
    <row r="189" spans="1:27" x14ac:dyDescent="0.25">
      <c r="A189" s="33">
        <f t="shared" si="18"/>
        <v>186</v>
      </c>
      <c r="B189" s="19" t="s">
        <v>672</v>
      </c>
      <c r="C189" s="19" t="s">
        <v>679</v>
      </c>
      <c r="D189" s="19" t="s">
        <v>630</v>
      </c>
      <c r="E189" s="19" t="s">
        <v>49</v>
      </c>
      <c r="F189" s="19"/>
      <c r="G189" s="19"/>
      <c r="H189" s="19">
        <v>30</v>
      </c>
      <c r="I189" s="19"/>
      <c r="J189" s="19"/>
      <c r="K189" s="19"/>
      <c r="L189" s="19"/>
      <c r="M189" s="19"/>
      <c r="N189" s="19"/>
      <c r="O189" s="19"/>
      <c r="P189" s="19"/>
      <c r="Q189" s="19" t="s">
        <v>395</v>
      </c>
      <c r="R189" s="19">
        <v>1</v>
      </c>
      <c r="S189" s="19"/>
      <c r="T189" s="19">
        <v>1</v>
      </c>
      <c r="U189" s="20">
        <f t="shared" si="17"/>
        <v>0.67100000000000004</v>
      </c>
      <c r="V189" s="19" t="s">
        <v>680</v>
      </c>
      <c r="W189" s="19" t="s">
        <v>397</v>
      </c>
      <c r="X189" s="19"/>
      <c r="Y189" s="21">
        <v>0.61</v>
      </c>
      <c r="Z189" s="92">
        <v>1.3</v>
      </c>
      <c r="AA189" s="92">
        <v>1</v>
      </c>
    </row>
    <row r="190" spans="1:27" x14ac:dyDescent="0.25">
      <c r="A190" s="33">
        <f t="shared" si="18"/>
        <v>187</v>
      </c>
      <c r="B190" s="19" t="s">
        <v>672</v>
      </c>
      <c r="C190" s="19" t="s">
        <v>681</v>
      </c>
      <c r="D190" s="19" t="s">
        <v>630</v>
      </c>
      <c r="E190" s="19" t="s">
        <v>49</v>
      </c>
      <c r="F190" s="19"/>
      <c r="G190" s="19"/>
      <c r="H190" s="19">
        <v>36</v>
      </c>
      <c r="I190" s="19"/>
      <c r="J190" s="19"/>
      <c r="K190" s="19"/>
      <c r="L190" s="19"/>
      <c r="M190" s="19"/>
      <c r="N190" s="19"/>
      <c r="O190" s="19"/>
      <c r="P190" s="19"/>
      <c r="Q190" s="19" t="s">
        <v>395</v>
      </c>
      <c r="R190" s="19">
        <v>1</v>
      </c>
      <c r="S190" s="19"/>
      <c r="T190" s="19">
        <v>1</v>
      </c>
      <c r="U190" s="20">
        <f t="shared" si="17"/>
        <v>0.80300000000000005</v>
      </c>
      <c r="V190" s="19" t="s">
        <v>682</v>
      </c>
      <c r="W190" s="19" t="s">
        <v>397</v>
      </c>
      <c r="X190" s="19"/>
      <c r="Y190" s="21">
        <v>0.73</v>
      </c>
      <c r="Z190" s="92">
        <v>1.3</v>
      </c>
      <c r="AA190" s="92">
        <v>1</v>
      </c>
    </row>
    <row r="191" spans="1:27" x14ac:dyDescent="0.25">
      <c r="A191" s="33">
        <f t="shared" si="18"/>
        <v>188</v>
      </c>
      <c r="B191" s="19" t="s">
        <v>672</v>
      </c>
      <c r="C191" s="19" t="s">
        <v>683</v>
      </c>
      <c r="D191" s="19" t="s">
        <v>630</v>
      </c>
      <c r="E191" s="19" t="s">
        <v>49</v>
      </c>
      <c r="F191" s="19"/>
      <c r="G191" s="19"/>
      <c r="H191" s="19">
        <v>42</v>
      </c>
      <c r="I191" s="19"/>
      <c r="J191" s="19"/>
      <c r="K191" s="19"/>
      <c r="L191" s="19"/>
      <c r="M191" s="19"/>
      <c r="N191" s="19"/>
      <c r="O191" s="19"/>
      <c r="P191" s="19"/>
      <c r="Q191" s="19" t="s">
        <v>395</v>
      </c>
      <c r="R191" s="19">
        <v>1</v>
      </c>
      <c r="S191" s="19"/>
      <c r="T191" s="19">
        <v>1</v>
      </c>
      <c r="U191" s="20">
        <f t="shared" si="17"/>
        <v>0.93500000000000005</v>
      </c>
      <c r="V191" s="19" t="s">
        <v>684</v>
      </c>
      <c r="W191" s="19" t="s">
        <v>397</v>
      </c>
      <c r="X191" s="19"/>
      <c r="Y191" s="21">
        <v>0.85</v>
      </c>
      <c r="Z191" s="92">
        <v>1.3</v>
      </c>
      <c r="AA191" s="92">
        <v>1</v>
      </c>
    </row>
    <row r="192" spans="1:27" x14ac:dyDescent="0.25">
      <c r="A192" s="33">
        <f t="shared" si="18"/>
        <v>189</v>
      </c>
      <c r="B192" s="19" t="s">
        <v>672</v>
      </c>
      <c r="C192" s="19" t="s">
        <v>685</v>
      </c>
      <c r="D192" s="19" t="s">
        <v>630</v>
      </c>
      <c r="E192" s="19" t="s">
        <v>49</v>
      </c>
      <c r="F192" s="19"/>
      <c r="G192" s="19"/>
      <c r="H192" s="19">
        <v>48</v>
      </c>
      <c r="I192" s="19"/>
      <c r="J192" s="19"/>
      <c r="K192" s="19"/>
      <c r="L192" s="19"/>
      <c r="M192" s="19"/>
      <c r="N192" s="19"/>
      <c r="O192" s="19"/>
      <c r="P192" s="19"/>
      <c r="Q192" s="19" t="s">
        <v>395</v>
      </c>
      <c r="R192" s="19">
        <v>1</v>
      </c>
      <c r="S192" s="19"/>
      <c r="T192" s="19">
        <v>1</v>
      </c>
      <c r="U192" s="20">
        <f t="shared" si="17"/>
        <v>1.0669999999999999</v>
      </c>
      <c r="V192" s="19" t="s">
        <v>686</v>
      </c>
      <c r="W192" s="19" t="s">
        <v>397</v>
      </c>
      <c r="X192" s="19"/>
      <c r="Y192" s="21">
        <v>0.97</v>
      </c>
      <c r="Z192" s="92">
        <v>1.3</v>
      </c>
      <c r="AA192" s="92">
        <v>1</v>
      </c>
    </row>
    <row r="193" spans="1:27" x14ac:dyDescent="0.25">
      <c r="A193" s="33">
        <f t="shared" si="18"/>
        <v>190</v>
      </c>
      <c r="B193" s="19" t="s">
        <v>672</v>
      </c>
      <c r="C193" s="19" t="s">
        <v>687</v>
      </c>
      <c r="D193" s="19" t="s">
        <v>630</v>
      </c>
      <c r="E193" s="19" t="s">
        <v>49</v>
      </c>
      <c r="F193" s="19"/>
      <c r="G193" s="19"/>
      <c r="H193" s="19">
        <v>54</v>
      </c>
      <c r="I193" s="19"/>
      <c r="J193" s="19"/>
      <c r="K193" s="19"/>
      <c r="L193" s="19"/>
      <c r="M193" s="19"/>
      <c r="N193" s="19"/>
      <c r="O193" s="19"/>
      <c r="P193" s="19"/>
      <c r="Q193" s="19" t="s">
        <v>395</v>
      </c>
      <c r="R193" s="19">
        <v>1</v>
      </c>
      <c r="S193" s="19"/>
      <c r="T193" s="19">
        <v>1</v>
      </c>
      <c r="U193" s="20">
        <f t="shared" si="17"/>
        <v>1.1990000000000003</v>
      </c>
      <c r="V193" s="19" t="s">
        <v>688</v>
      </c>
      <c r="W193" s="19" t="s">
        <v>397</v>
      </c>
      <c r="X193" s="19"/>
      <c r="Y193" s="21">
        <v>1.0900000000000001</v>
      </c>
      <c r="Z193" s="92">
        <v>1.3</v>
      </c>
      <c r="AA193" s="92">
        <v>1</v>
      </c>
    </row>
    <row r="194" spans="1:27" x14ac:dyDescent="0.25">
      <c r="A194" s="33">
        <f t="shared" si="18"/>
        <v>191</v>
      </c>
      <c r="B194" s="19" t="s">
        <v>672</v>
      </c>
      <c r="C194" s="19" t="s">
        <v>689</v>
      </c>
      <c r="D194" s="19" t="s">
        <v>630</v>
      </c>
      <c r="E194" s="19" t="s">
        <v>49</v>
      </c>
      <c r="F194" s="19"/>
      <c r="G194" s="19"/>
      <c r="H194" s="19">
        <v>60</v>
      </c>
      <c r="I194" s="19"/>
      <c r="J194" s="19"/>
      <c r="K194" s="19"/>
      <c r="L194" s="19"/>
      <c r="M194" s="19"/>
      <c r="N194" s="19"/>
      <c r="O194" s="19"/>
      <c r="P194" s="19"/>
      <c r="Q194" s="19" t="s">
        <v>395</v>
      </c>
      <c r="R194" s="19">
        <v>1</v>
      </c>
      <c r="S194" s="19"/>
      <c r="T194" s="19">
        <v>1</v>
      </c>
      <c r="U194" s="20">
        <f t="shared" si="17"/>
        <v>1.331</v>
      </c>
      <c r="V194" s="19" t="s">
        <v>690</v>
      </c>
      <c r="W194" s="19" t="s">
        <v>397</v>
      </c>
      <c r="X194" s="19"/>
      <c r="Y194" s="21">
        <v>1.21</v>
      </c>
      <c r="Z194" s="92">
        <v>1.3</v>
      </c>
      <c r="AA194" s="92">
        <v>1</v>
      </c>
    </row>
    <row r="195" spans="1:27" x14ac:dyDescent="0.25">
      <c r="A195" s="33">
        <f t="shared" si="18"/>
        <v>192</v>
      </c>
      <c r="B195" s="210" t="s">
        <v>691</v>
      </c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1"/>
      <c r="X195" s="19"/>
      <c r="Y195" s="74"/>
      <c r="Z195" s="76"/>
      <c r="AA195" s="76"/>
    </row>
    <row r="196" spans="1:27" x14ac:dyDescent="0.25">
      <c r="A196" s="33">
        <f t="shared" si="18"/>
        <v>193</v>
      </c>
      <c r="B196" s="19" t="s">
        <v>692</v>
      </c>
      <c r="C196" s="19" t="s">
        <v>693</v>
      </c>
      <c r="D196" s="19" t="s">
        <v>630</v>
      </c>
      <c r="E196" s="19" t="s">
        <v>308</v>
      </c>
      <c r="F196" s="19"/>
      <c r="G196" s="19"/>
      <c r="H196" s="19">
        <v>12</v>
      </c>
      <c r="I196" s="19"/>
      <c r="J196" s="19"/>
      <c r="K196" s="19"/>
      <c r="L196" s="19"/>
      <c r="M196" s="19"/>
      <c r="N196" s="19"/>
      <c r="O196" s="19"/>
      <c r="P196" s="19"/>
      <c r="Q196" s="19" t="s">
        <v>395</v>
      </c>
      <c r="R196" s="19">
        <v>1</v>
      </c>
      <c r="S196" s="19"/>
      <c r="T196" s="19">
        <v>1</v>
      </c>
      <c r="U196" s="20">
        <f t="shared" si="17"/>
        <v>0.33</v>
      </c>
      <c r="V196" s="19" t="s">
        <v>694</v>
      </c>
      <c r="W196" s="19" t="s">
        <v>397</v>
      </c>
      <c r="X196" s="19"/>
      <c r="Y196" s="21">
        <v>0.3</v>
      </c>
      <c r="Z196" s="92">
        <v>1.3</v>
      </c>
      <c r="AA196" s="92">
        <v>1</v>
      </c>
    </row>
    <row r="197" spans="1:27" x14ac:dyDescent="0.25">
      <c r="A197" s="33">
        <f t="shared" si="18"/>
        <v>194</v>
      </c>
      <c r="B197" s="19" t="s">
        <v>692</v>
      </c>
      <c r="C197" s="19" t="s">
        <v>695</v>
      </c>
      <c r="D197" s="19" t="s">
        <v>630</v>
      </c>
      <c r="E197" s="19" t="s">
        <v>308</v>
      </c>
      <c r="F197" s="19"/>
      <c r="G197" s="19"/>
      <c r="H197" s="19">
        <v>24</v>
      </c>
      <c r="I197" s="19"/>
      <c r="J197" s="19"/>
      <c r="K197" s="19"/>
      <c r="L197" s="19"/>
      <c r="M197" s="19"/>
      <c r="N197" s="19"/>
      <c r="O197" s="19"/>
      <c r="P197" s="19"/>
      <c r="Q197" s="19" t="s">
        <v>395</v>
      </c>
      <c r="R197" s="19">
        <v>1</v>
      </c>
      <c r="S197" s="19"/>
      <c r="T197" s="19">
        <v>1</v>
      </c>
      <c r="U197" s="20">
        <f t="shared" si="17"/>
        <v>0.70400000000000007</v>
      </c>
      <c r="V197" s="19" t="s">
        <v>696</v>
      </c>
      <c r="W197" s="19" t="s">
        <v>397</v>
      </c>
      <c r="X197" s="19"/>
      <c r="Y197" s="21">
        <v>0.64</v>
      </c>
      <c r="Z197" s="92">
        <v>1.3</v>
      </c>
      <c r="AA197" s="92">
        <v>1</v>
      </c>
    </row>
    <row r="198" spans="1:27" x14ac:dyDescent="0.25">
      <c r="A198" s="33">
        <f t="shared" si="18"/>
        <v>195</v>
      </c>
      <c r="B198" s="19" t="s">
        <v>692</v>
      </c>
      <c r="C198" s="19" t="s">
        <v>697</v>
      </c>
      <c r="D198" s="19" t="s">
        <v>630</v>
      </c>
      <c r="E198" s="19" t="s">
        <v>308</v>
      </c>
      <c r="F198" s="19"/>
      <c r="G198" s="19"/>
      <c r="H198" s="19">
        <v>36</v>
      </c>
      <c r="I198" s="19"/>
      <c r="J198" s="19"/>
      <c r="K198" s="19"/>
      <c r="L198" s="19"/>
      <c r="M198" s="19"/>
      <c r="N198" s="19"/>
      <c r="O198" s="19"/>
      <c r="P198" s="19"/>
      <c r="Q198" s="19" t="s">
        <v>395</v>
      </c>
      <c r="R198" s="19">
        <v>1</v>
      </c>
      <c r="S198" s="19"/>
      <c r="T198" s="19">
        <v>1</v>
      </c>
      <c r="U198" s="20">
        <f t="shared" si="17"/>
        <v>1.0780000000000001</v>
      </c>
      <c r="V198" s="19" t="s">
        <v>698</v>
      </c>
      <c r="W198" s="19" t="s">
        <v>397</v>
      </c>
      <c r="X198" s="19"/>
      <c r="Y198" s="21">
        <v>0.98</v>
      </c>
      <c r="Z198" s="92">
        <v>1.3</v>
      </c>
      <c r="AA198" s="92">
        <v>1</v>
      </c>
    </row>
    <row r="199" spans="1:27" x14ac:dyDescent="0.25">
      <c r="A199" s="33">
        <f t="shared" si="18"/>
        <v>196</v>
      </c>
      <c r="B199" s="19" t="s">
        <v>692</v>
      </c>
      <c r="C199" s="19" t="s">
        <v>699</v>
      </c>
      <c r="D199" s="19" t="s">
        <v>630</v>
      </c>
      <c r="E199" s="19" t="s">
        <v>308</v>
      </c>
      <c r="F199" s="19"/>
      <c r="G199" s="19"/>
      <c r="H199" s="19">
        <v>48</v>
      </c>
      <c r="I199" s="19"/>
      <c r="J199" s="19"/>
      <c r="K199" s="19"/>
      <c r="L199" s="19"/>
      <c r="M199" s="19"/>
      <c r="N199" s="19"/>
      <c r="O199" s="19"/>
      <c r="P199" s="19"/>
      <c r="Q199" s="19" t="s">
        <v>395</v>
      </c>
      <c r="R199" s="19">
        <v>1</v>
      </c>
      <c r="S199" s="19"/>
      <c r="T199" s="19">
        <v>1</v>
      </c>
      <c r="U199" s="20">
        <f t="shared" si="17"/>
        <v>1.4520000000000002</v>
      </c>
      <c r="V199" s="19" t="s">
        <v>700</v>
      </c>
      <c r="W199" s="19" t="s">
        <v>397</v>
      </c>
      <c r="X199" s="19"/>
      <c r="Y199" s="21">
        <v>1.32</v>
      </c>
      <c r="Z199" s="92">
        <v>1.3</v>
      </c>
      <c r="AA199" s="92">
        <v>1</v>
      </c>
    </row>
    <row r="200" spans="1:27" x14ac:dyDescent="0.25">
      <c r="A200" s="33">
        <f t="shared" si="18"/>
        <v>197</v>
      </c>
      <c r="B200" s="19" t="s">
        <v>692</v>
      </c>
      <c r="C200" s="19" t="s">
        <v>701</v>
      </c>
      <c r="D200" s="19" t="s">
        <v>630</v>
      </c>
      <c r="E200" s="19" t="s">
        <v>308</v>
      </c>
      <c r="F200" s="19"/>
      <c r="G200" s="19"/>
      <c r="H200" s="19">
        <v>60</v>
      </c>
      <c r="I200" s="19"/>
      <c r="J200" s="19"/>
      <c r="K200" s="19"/>
      <c r="L200" s="19"/>
      <c r="M200" s="19"/>
      <c r="N200" s="19"/>
      <c r="O200" s="19"/>
      <c r="P200" s="19"/>
      <c r="Q200" s="19" t="s">
        <v>395</v>
      </c>
      <c r="R200" s="19">
        <v>1</v>
      </c>
      <c r="S200" s="19"/>
      <c r="T200" s="19">
        <v>1</v>
      </c>
      <c r="U200" s="20">
        <f t="shared" si="17"/>
        <v>1.8260000000000001</v>
      </c>
      <c r="V200" s="19" t="s">
        <v>702</v>
      </c>
      <c r="W200" s="19" t="s">
        <v>397</v>
      </c>
      <c r="X200" s="19"/>
      <c r="Y200" s="21">
        <v>1.66</v>
      </c>
      <c r="Z200" s="92">
        <v>1.3</v>
      </c>
      <c r="AA200" s="92">
        <v>1</v>
      </c>
    </row>
    <row r="201" spans="1:27" x14ac:dyDescent="0.25">
      <c r="A201" s="33">
        <f t="shared" si="18"/>
        <v>198</v>
      </c>
      <c r="B201" s="210" t="s">
        <v>703</v>
      </c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1"/>
      <c r="X201" s="19"/>
      <c r="Y201" s="74"/>
      <c r="Z201" s="76"/>
      <c r="AA201" s="76"/>
    </row>
    <row r="202" spans="1:27" x14ac:dyDescent="0.25">
      <c r="A202" s="33">
        <f t="shared" si="18"/>
        <v>199</v>
      </c>
      <c r="B202" s="19" t="s">
        <v>704</v>
      </c>
      <c r="C202" s="19" t="s">
        <v>705</v>
      </c>
      <c r="D202" s="19" t="s">
        <v>38</v>
      </c>
      <c r="E202" s="22" t="s">
        <v>706</v>
      </c>
      <c r="F202" s="19"/>
      <c r="G202" s="19"/>
      <c r="H202" s="19" t="s">
        <v>707</v>
      </c>
      <c r="I202" s="19"/>
      <c r="J202" s="19"/>
      <c r="K202" s="19"/>
      <c r="L202" s="19"/>
      <c r="M202" s="19" t="s">
        <v>103</v>
      </c>
      <c r="N202" s="19"/>
      <c r="O202" s="19"/>
      <c r="P202" s="19"/>
      <c r="Q202" s="19" t="s">
        <v>338</v>
      </c>
      <c r="R202" s="19">
        <v>1</v>
      </c>
      <c r="S202" s="19">
        <v>300</v>
      </c>
      <c r="T202" s="19">
        <v>1</v>
      </c>
      <c r="U202" s="20">
        <f t="shared" si="17"/>
        <v>1.0449999999999999</v>
      </c>
      <c r="V202" s="19" t="s">
        <v>708</v>
      </c>
      <c r="W202" s="19" t="s">
        <v>709</v>
      </c>
      <c r="X202" s="19"/>
      <c r="Y202" s="21">
        <v>0.95</v>
      </c>
      <c r="Z202" s="92">
        <v>1.34</v>
      </c>
      <c r="AA202" s="92">
        <v>1.86</v>
      </c>
    </row>
    <row r="203" spans="1:27" x14ac:dyDescent="0.25">
      <c r="A203" s="33">
        <f t="shared" si="18"/>
        <v>200</v>
      </c>
      <c r="B203" s="19">
        <v>17909</v>
      </c>
      <c r="C203" s="19" t="s">
        <v>705</v>
      </c>
      <c r="D203" s="19" t="s">
        <v>38</v>
      </c>
      <c r="E203" s="22" t="s">
        <v>706</v>
      </c>
      <c r="F203" s="19"/>
      <c r="G203" s="19"/>
      <c r="H203" s="19" t="s">
        <v>546</v>
      </c>
      <c r="I203" s="19"/>
      <c r="J203" s="19"/>
      <c r="K203" s="19"/>
      <c r="L203" s="19"/>
      <c r="M203" s="19"/>
      <c r="N203" s="19"/>
      <c r="O203" s="19"/>
      <c r="P203" s="19"/>
      <c r="Q203" s="19" t="s">
        <v>395</v>
      </c>
      <c r="R203" s="19">
        <v>1</v>
      </c>
      <c r="S203" s="19"/>
      <c r="T203" s="19">
        <v>1</v>
      </c>
      <c r="U203" s="20">
        <f t="shared" si="17"/>
        <v>1.0449999999999999</v>
      </c>
      <c r="V203" s="19" t="s">
        <v>710</v>
      </c>
      <c r="W203" s="19" t="s">
        <v>709</v>
      </c>
      <c r="X203" s="19"/>
      <c r="Y203" s="21">
        <v>0.95</v>
      </c>
      <c r="Z203" s="92">
        <v>1.34</v>
      </c>
      <c r="AA203" s="92">
        <v>1.86</v>
      </c>
    </row>
    <row r="204" spans="1:27" x14ac:dyDescent="0.25">
      <c r="A204" s="33">
        <f t="shared" si="18"/>
        <v>201</v>
      </c>
      <c r="B204" s="19">
        <v>17909</v>
      </c>
      <c r="C204" s="19" t="s">
        <v>705</v>
      </c>
      <c r="D204" s="19" t="s">
        <v>38</v>
      </c>
      <c r="E204" s="22" t="s">
        <v>706</v>
      </c>
      <c r="F204" s="19"/>
      <c r="G204" s="19"/>
      <c r="H204" s="19" t="s">
        <v>546</v>
      </c>
      <c r="I204" s="19"/>
      <c r="J204" s="19"/>
      <c r="K204" s="19"/>
      <c r="L204" s="19"/>
      <c r="M204" s="19"/>
      <c r="N204" s="19"/>
      <c r="O204" s="19"/>
      <c r="P204" s="19"/>
      <c r="Q204" s="19" t="s">
        <v>395</v>
      </c>
      <c r="R204" s="19">
        <v>1</v>
      </c>
      <c r="S204" s="19"/>
      <c r="T204" s="19">
        <v>1</v>
      </c>
      <c r="U204" s="20">
        <f t="shared" si="17"/>
        <v>1.0449999999999999</v>
      </c>
      <c r="V204" s="19" t="s">
        <v>711</v>
      </c>
      <c r="W204" s="19" t="s">
        <v>709</v>
      </c>
      <c r="X204" s="19"/>
      <c r="Y204" s="21">
        <v>0.95</v>
      </c>
      <c r="Z204" s="92">
        <v>1.34</v>
      </c>
      <c r="AA204" s="92">
        <v>1.86</v>
      </c>
    </row>
    <row r="205" spans="1:27" x14ac:dyDescent="0.25">
      <c r="A205" s="33">
        <f t="shared" si="18"/>
        <v>202</v>
      </c>
      <c r="B205" s="19">
        <v>17909</v>
      </c>
      <c r="C205" s="19" t="s">
        <v>705</v>
      </c>
      <c r="D205" s="19" t="s">
        <v>38</v>
      </c>
      <c r="E205" s="22" t="s">
        <v>706</v>
      </c>
      <c r="F205" s="19"/>
      <c r="G205" s="19"/>
      <c r="H205" s="19" t="s">
        <v>546</v>
      </c>
      <c r="I205" s="19"/>
      <c r="J205" s="19"/>
      <c r="K205" s="19"/>
      <c r="L205" s="19"/>
      <c r="M205" s="19"/>
      <c r="N205" s="19"/>
      <c r="O205" s="19"/>
      <c r="P205" s="19"/>
      <c r="Q205" s="19" t="s">
        <v>395</v>
      </c>
      <c r="R205" s="19">
        <v>1</v>
      </c>
      <c r="S205" s="19"/>
      <c r="T205" s="19">
        <v>1</v>
      </c>
      <c r="U205" s="20">
        <f t="shared" si="17"/>
        <v>1.0449999999999999</v>
      </c>
      <c r="V205" s="19" t="s">
        <v>712</v>
      </c>
      <c r="W205" s="19" t="s">
        <v>709</v>
      </c>
      <c r="X205" s="19"/>
      <c r="Y205" s="21">
        <v>0.95</v>
      </c>
      <c r="Z205" s="92">
        <v>1.34</v>
      </c>
      <c r="AA205" s="92">
        <v>1.86</v>
      </c>
    </row>
    <row r="206" spans="1:27" x14ac:dyDescent="0.25">
      <c r="A206" s="33">
        <f t="shared" si="18"/>
        <v>203</v>
      </c>
      <c r="B206" s="19">
        <v>17909</v>
      </c>
      <c r="C206" s="19" t="s">
        <v>705</v>
      </c>
      <c r="D206" s="19" t="s">
        <v>38</v>
      </c>
      <c r="E206" s="22" t="s">
        <v>706</v>
      </c>
      <c r="F206" s="19"/>
      <c r="G206" s="19"/>
      <c r="H206" s="19" t="s">
        <v>546</v>
      </c>
      <c r="I206" s="19"/>
      <c r="J206" s="19"/>
      <c r="K206" s="19"/>
      <c r="L206" s="19"/>
      <c r="M206" s="19"/>
      <c r="N206" s="19"/>
      <c r="O206" s="19"/>
      <c r="P206" s="19"/>
      <c r="Q206" s="19" t="s">
        <v>395</v>
      </c>
      <c r="R206" s="19">
        <v>1</v>
      </c>
      <c r="S206" s="19"/>
      <c r="T206" s="19">
        <v>1</v>
      </c>
      <c r="U206" s="20">
        <f t="shared" si="17"/>
        <v>1.0449999999999999</v>
      </c>
      <c r="V206" s="19" t="s">
        <v>713</v>
      </c>
      <c r="W206" s="19" t="s">
        <v>709</v>
      </c>
      <c r="X206" s="19"/>
      <c r="Y206" s="21">
        <v>0.95</v>
      </c>
      <c r="Z206" s="92">
        <v>1.34</v>
      </c>
      <c r="AA206" s="92">
        <v>1.86</v>
      </c>
    </row>
    <row r="207" spans="1:27" x14ac:dyDescent="0.25">
      <c r="A207" s="33">
        <f t="shared" si="18"/>
        <v>204</v>
      </c>
      <c r="B207" s="19">
        <v>17909</v>
      </c>
      <c r="C207" s="19" t="s">
        <v>705</v>
      </c>
      <c r="D207" s="19" t="s">
        <v>38</v>
      </c>
      <c r="E207" s="22" t="s">
        <v>706</v>
      </c>
      <c r="F207" s="19"/>
      <c r="G207" s="19"/>
      <c r="H207" s="19" t="s">
        <v>546</v>
      </c>
      <c r="I207" s="19"/>
      <c r="J207" s="19"/>
      <c r="K207" s="19"/>
      <c r="L207" s="19"/>
      <c r="M207" s="19"/>
      <c r="N207" s="19"/>
      <c r="O207" s="19"/>
      <c r="P207" s="19"/>
      <c r="Q207" s="19" t="s">
        <v>395</v>
      </c>
      <c r="R207" s="19">
        <v>1</v>
      </c>
      <c r="S207" s="19"/>
      <c r="T207" s="19">
        <v>1</v>
      </c>
      <c r="U207" s="20">
        <f t="shared" si="17"/>
        <v>1.0449999999999999</v>
      </c>
      <c r="V207" s="19" t="s">
        <v>714</v>
      </c>
      <c r="W207" s="19" t="s">
        <v>709</v>
      </c>
      <c r="X207" s="19"/>
      <c r="Y207" s="21">
        <v>0.95</v>
      </c>
      <c r="Z207" s="92">
        <v>1.34</v>
      </c>
      <c r="AA207" s="92">
        <v>1.86</v>
      </c>
    </row>
    <row r="208" spans="1:27" x14ac:dyDescent="0.25">
      <c r="A208" s="33">
        <f t="shared" si="18"/>
        <v>205</v>
      </c>
      <c r="B208" s="210" t="s">
        <v>715</v>
      </c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1"/>
      <c r="X208" s="19"/>
      <c r="Y208" s="74"/>
      <c r="Z208" s="76"/>
      <c r="AA208" s="76"/>
    </row>
    <row r="209" spans="1:27" x14ac:dyDescent="0.25">
      <c r="A209" s="33">
        <f t="shared" si="18"/>
        <v>206</v>
      </c>
      <c r="B209" s="19">
        <v>17908</v>
      </c>
      <c r="C209" s="19" t="s">
        <v>716</v>
      </c>
      <c r="D209" s="19" t="s">
        <v>549</v>
      </c>
      <c r="E209" s="22" t="s">
        <v>717</v>
      </c>
      <c r="F209" s="19"/>
      <c r="G209" s="19"/>
      <c r="H209" s="19">
        <v>12</v>
      </c>
      <c r="I209" s="19"/>
      <c r="J209" s="19"/>
      <c r="K209" s="19"/>
      <c r="L209" s="19"/>
      <c r="M209" s="19"/>
      <c r="N209" s="19"/>
      <c r="O209" s="19"/>
      <c r="P209" s="19"/>
      <c r="Q209" s="19" t="s">
        <v>395</v>
      </c>
      <c r="R209" s="19">
        <v>1</v>
      </c>
      <c r="S209" s="19"/>
      <c r="T209" s="19">
        <v>1</v>
      </c>
      <c r="U209" s="20">
        <f t="shared" si="17"/>
        <v>8.8000000000000009E-2</v>
      </c>
      <c r="V209" s="19" t="s">
        <v>718</v>
      </c>
      <c r="W209" s="19" t="s">
        <v>397</v>
      </c>
      <c r="X209" s="19"/>
      <c r="Y209" s="21">
        <v>0.08</v>
      </c>
      <c r="Z209" s="92">
        <v>1.3</v>
      </c>
      <c r="AA209" s="92">
        <v>1</v>
      </c>
    </row>
    <row r="210" spans="1:27" x14ac:dyDescent="0.25">
      <c r="A210" s="33">
        <f t="shared" si="18"/>
        <v>207</v>
      </c>
      <c r="B210" s="19">
        <v>17908</v>
      </c>
      <c r="C210" s="19" t="s">
        <v>719</v>
      </c>
      <c r="D210" s="19" t="s">
        <v>549</v>
      </c>
      <c r="E210" s="22" t="s">
        <v>717</v>
      </c>
      <c r="F210" s="19"/>
      <c r="G210" s="19"/>
      <c r="H210" s="19">
        <v>24</v>
      </c>
      <c r="I210" s="19"/>
      <c r="J210" s="19"/>
      <c r="K210" s="19"/>
      <c r="L210" s="19"/>
      <c r="M210" s="19"/>
      <c r="N210" s="19"/>
      <c r="O210" s="19"/>
      <c r="P210" s="19"/>
      <c r="Q210" s="19" t="s">
        <v>395</v>
      </c>
      <c r="R210" s="19">
        <v>1</v>
      </c>
      <c r="S210" s="19"/>
      <c r="T210" s="19">
        <v>1</v>
      </c>
      <c r="U210" s="20">
        <f t="shared" si="17"/>
        <v>0.16500000000000001</v>
      </c>
      <c r="V210" s="19" t="s">
        <v>720</v>
      </c>
      <c r="W210" s="19" t="s">
        <v>397</v>
      </c>
      <c r="X210" s="19"/>
      <c r="Y210" s="21">
        <v>0.15</v>
      </c>
      <c r="Z210" s="92">
        <v>1.3</v>
      </c>
      <c r="AA210" s="92">
        <v>1</v>
      </c>
    </row>
    <row r="211" spans="1:27" x14ac:dyDescent="0.25">
      <c r="A211" s="33">
        <f t="shared" si="18"/>
        <v>208</v>
      </c>
      <c r="B211" s="19">
        <v>17908</v>
      </c>
      <c r="C211" s="19" t="s">
        <v>721</v>
      </c>
      <c r="D211" s="19" t="s">
        <v>549</v>
      </c>
      <c r="E211" s="22" t="s">
        <v>717</v>
      </c>
      <c r="F211" s="19"/>
      <c r="G211" s="19"/>
      <c r="H211" s="19">
        <v>36</v>
      </c>
      <c r="I211" s="19"/>
      <c r="J211" s="19"/>
      <c r="K211" s="19"/>
      <c r="L211" s="19"/>
      <c r="M211" s="19"/>
      <c r="N211" s="19"/>
      <c r="O211" s="19"/>
      <c r="P211" s="19"/>
      <c r="Q211" s="19" t="s">
        <v>395</v>
      </c>
      <c r="R211" s="19">
        <v>1</v>
      </c>
      <c r="S211" s="19"/>
      <c r="T211" s="19">
        <v>1</v>
      </c>
      <c r="U211" s="20">
        <f t="shared" si="17"/>
        <v>0.25300000000000006</v>
      </c>
      <c r="V211" s="19" t="s">
        <v>722</v>
      </c>
      <c r="W211" s="19" t="s">
        <v>397</v>
      </c>
      <c r="X211" s="19"/>
      <c r="Y211" s="21">
        <v>0.23</v>
      </c>
      <c r="Z211" s="92">
        <v>1.3</v>
      </c>
      <c r="AA211" s="92">
        <v>1</v>
      </c>
    </row>
    <row r="212" spans="1:27" x14ac:dyDescent="0.25">
      <c r="A212" s="33">
        <f t="shared" si="18"/>
        <v>209</v>
      </c>
      <c r="B212" s="19">
        <v>17908</v>
      </c>
      <c r="C212" s="19" t="s">
        <v>723</v>
      </c>
      <c r="D212" s="19" t="s">
        <v>549</v>
      </c>
      <c r="E212" s="22" t="s">
        <v>717</v>
      </c>
      <c r="F212" s="19"/>
      <c r="G212" s="19"/>
      <c r="H212" s="19">
        <v>48</v>
      </c>
      <c r="I212" s="19"/>
      <c r="J212" s="19"/>
      <c r="K212" s="19"/>
      <c r="L212" s="19"/>
      <c r="M212" s="19"/>
      <c r="N212" s="19"/>
      <c r="O212" s="19"/>
      <c r="P212" s="19"/>
      <c r="Q212" s="19" t="s">
        <v>395</v>
      </c>
      <c r="R212" s="19">
        <v>1</v>
      </c>
      <c r="S212" s="19"/>
      <c r="T212" s="19">
        <v>1</v>
      </c>
      <c r="U212" s="20">
        <f t="shared" si="17"/>
        <v>0.33</v>
      </c>
      <c r="V212" s="19" t="s">
        <v>724</v>
      </c>
      <c r="W212" s="19" t="s">
        <v>397</v>
      </c>
      <c r="X212" s="19"/>
      <c r="Y212" s="21">
        <v>0.3</v>
      </c>
      <c r="Z212" s="92">
        <v>1.3</v>
      </c>
      <c r="AA212" s="92">
        <v>1</v>
      </c>
    </row>
    <row r="213" spans="1:27" x14ac:dyDescent="0.25">
      <c r="A213" s="33">
        <f t="shared" si="18"/>
        <v>210</v>
      </c>
      <c r="B213" s="19">
        <v>17908</v>
      </c>
      <c r="C213" s="19" t="s">
        <v>725</v>
      </c>
      <c r="D213" s="19" t="s">
        <v>549</v>
      </c>
      <c r="E213" s="22" t="s">
        <v>717</v>
      </c>
      <c r="F213" s="19"/>
      <c r="G213" s="19"/>
      <c r="H213" s="19">
        <v>60</v>
      </c>
      <c r="I213" s="19"/>
      <c r="J213" s="19"/>
      <c r="K213" s="19"/>
      <c r="L213" s="19"/>
      <c r="M213" s="19"/>
      <c r="N213" s="19"/>
      <c r="O213" s="19"/>
      <c r="P213" s="19"/>
      <c r="Q213" s="19" t="s">
        <v>395</v>
      </c>
      <c r="R213" s="19">
        <v>1</v>
      </c>
      <c r="S213" s="19"/>
      <c r="T213" s="19">
        <v>1</v>
      </c>
      <c r="U213" s="20">
        <f t="shared" si="17"/>
        <v>0.41800000000000004</v>
      </c>
      <c r="V213" s="19" t="s">
        <v>726</v>
      </c>
      <c r="W213" s="19" t="s">
        <v>397</v>
      </c>
      <c r="X213" s="19"/>
      <c r="Y213" s="21">
        <v>0.38</v>
      </c>
      <c r="Z213" s="92">
        <v>1.3</v>
      </c>
      <c r="AA213" s="92">
        <v>1</v>
      </c>
    </row>
    <row r="214" spans="1:27" x14ac:dyDescent="0.25">
      <c r="A214" s="33">
        <f t="shared" si="18"/>
        <v>211</v>
      </c>
      <c r="B214" s="210" t="s">
        <v>727</v>
      </c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1"/>
      <c r="X214" s="19"/>
      <c r="Y214" s="74"/>
      <c r="Z214" s="76"/>
      <c r="AA214" s="76"/>
    </row>
    <row r="215" spans="1:27" x14ac:dyDescent="0.25">
      <c r="A215" s="33">
        <f t="shared" si="18"/>
        <v>212</v>
      </c>
      <c r="B215" s="19">
        <v>17024</v>
      </c>
      <c r="C215" s="19" t="s">
        <v>728</v>
      </c>
      <c r="D215" s="19" t="s">
        <v>393</v>
      </c>
      <c r="E215" s="19" t="s">
        <v>382</v>
      </c>
      <c r="F215" s="22" t="s">
        <v>383</v>
      </c>
      <c r="G215" s="19"/>
      <c r="H215" s="19" t="s">
        <v>384</v>
      </c>
      <c r="I215" s="19"/>
      <c r="J215" s="19"/>
      <c r="K215" s="19"/>
      <c r="L215" s="19"/>
      <c r="M215" s="19"/>
      <c r="N215" s="19"/>
      <c r="O215" s="19"/>
      <c r="P215" s="19"/>
      <c r="Q215" s="19" t="s">
        <v>395</v>
      </c>
      <c r="R215" s="19"/>
      <c r="S215" s="19"/>
      <c r="T215" s="19">
        <v>1</v>
      </c>
      <c r="U215" s="20">
        <f t="shared" si="17"/>
        <v>5.5000000000000007E-2</v>
      </c>
      <c r="V215" s="19" t="s">
        <v>729</v>
      </c>
      <c r="W215" s="19" t="s">
        <v>340</v>
      </c>
      <c r="X215" s="19"/>
      <c r="Y215" s="21">
        <v>0.05</v>
      </c>
      <c r="Z215" s="92">
        <v>1.3</v>
      </c>
      <c r="AA215" s="92">
        <v>1</v>
      </c>
    </row>
    <row r="216" spans="1:27" x14ac:dyDescent="0.25">
      <c r="A216" s="33">
        <f t="shared" si="18"/>
        <v>213</v>
      </c>
      <c r="B216" s="19">
        <v>17024</v>
      </c>
      <c r="C216" s="19" t="s">
        <v>728</v>
      </c>
      <c r="D216" s="19" t="s">
        <v>393</v>
      </c>
      <c r="E216" s="19" t="s">
        <v>382</v>
      </c>
      <c r="F216" s="22" t="s">
        <v>386</v>
      </c>
      <c r="G216" s="19"/>
      <c r="H216" s="19" t="s">
        <v>384</v>
      </c>
      <c r="I216" s="19"/>
      <c r="J216" s="19"/>
      <c r="K216" s="19"/>
      <c r="L216" s="19"/>
      <c r="M216" s="19"/>
      <c r="N216" s="19"/>
      <c r="O216" s="19"/>
      <c r="P216" s="19"/>
      <c r="Q216" s="19" t="s">
        <v>395</v>
      </c>
      <c r="R216" s="19"/>
      <c r="S216" s="19"/>
      <c r="T216" s="19">
        <v>1</v>
      </c>
      <c r="U216" s="20">
        <f t="shared" si="17"/>
        <v>8.8000000000000009E-2</v>
      </c>
      <c r="V216" s="19" t="s">
        <v>729</v>
      </c>
      <c r="W216" s="19" t="s">
        <v>340</v>
      </c>
      <c r="X216" s="19"/>
      <c r="Y216" s="21">
        <v>0.08</v>
      </c>
      <c r="Z216" s="92">
        <v>1.3</v>
      </c>
      <c r="AA216" s="92">
        <v>1</v>
      </c>
    </row>
    <row r="217" spans="1:27" x14ac:dyDescent="0.25">
      <c r="A217" s="33">
        <f t="shared" si="18"/>
        <v>214</v>
      </c>
      <c r="B217" s="19">
        <v>17024</v>
      </c>
      <c r="C217" s="19" t="s">
        <v>730</v>
      </c>
      <c r="D217" s="19" t="s">
        <v>393</v>
      </c>
      <c r="E217" s="19" t="s">
        <v>382</v>
      </c>
      <c r="F217" s="22" t="s">
        <v>289</v>
      </c>
      <c r="G217" s="19"/>
      <c r="H217" s="19" t="s">
        <v>387</v>
      </c>
      <c r="I217" s="19"/>
      <c r="J217" s="19"/>
      <c r="K217" s="19"/>
      <c r="L217" s="19"/>
      <c r="M217" s="19"/>
      <c r="N217" s="19"/>
      <c r="O217" s="19"/>
      <c r="P217" s="19"/>
      <c r="Q217" s="19" t="s">
        <v>395</v>
      </c>
      <c r="R217" s="19"/>
      <c r="S217" s="19"/>
      <c r="T217" s="19">
        <v>1</v>
      </c>
      <c r="U217" s="20">
        <f t="shared" si="17"/>
        <v>8.8000000000000009E-2</v>
      </c>
      <c r="V217" s="19" t="s">
        <v>731</v>
      </c>
      <c r="W217" s="19" t="s">
        <v>340</v>
      </c>
      <c r="X217" s="19"/>
      <c r="Y217" s="21">
        <v>0.08</v>
      </c>
      <c r="Z217" s="92">
        <v>1.3</v>
      </c>
      <c r="AA217" s="92">
        <v>1</v>
      </c>
    </row>
    <row r="218" spans="1:27" x14ac:dyDescent="0.25">
      <c r="A218" s="33">
        <f t="shared" si="18"/>
        <v>215</v>
      </c>
      <c r="B218" s="19">
        <v>17024</v>
      </c>
      <c r="C218" s="19" t="s">
        <v>732</v>
      </c>
      <c r="D218" s="19" t="s">
        <v>393</v>
      </c>
      <c r="E218" s="19" t="s">
        <v>382</v>
      </c>
      <c r="F218" s="22" t="s">
        <v>289</v>
      </c>
      <c r="G218" s="19"/>
      <c r="H218" s="19" t="s">
        <v>388</v>
      </c>
      <c r="I218" s="19"/>
      <c r="J218" s="19"/>
      <c r="K218" s="19"/>
      <c r="L218" s="19"/>
      <c r="M218" s="19"/>
      <c r="N218" s="19"/>
      <c r="O218" s="19"/>
      <c r="P218" s="19"/>
      <c r="Q218" s="19" t="s">
        <v>395</v>
      </c>
      <c r="R218" s="19"/>
      <c r="S218" s="19"/>
      <c r="T218" s="19">
        <v>1</v>
      </c>
      <c r="U218" s="20">
        <f t="shared" si="17"/>
        <v>0.17600000000000002</v>
      </c>
      <c r="V218" s="19" t="s">
        <v>733</v>
      </c>
      <c r="W218" s="19" t="s">
        <v>340</v>
      </c>
      <c r="X218" s="19"/>
      <c r="Y218" s="21">
        <v>0.16</v>
      </c>
      <c r="Z218" s="92">
        <v>1.3</v>
      </c>
      <c r="AA218" s="92">
        <v>1</v>
      </c>
    </row>
    <row r="219" spans="1:27" x14ac:dyDescent="0.25">
      <c r="A219" s="33">
        <f t="shared" si="18"/>
        <v>216</v>
      </c>
      <c r="B219" s="19">
        <v>17024</v>
      </c>
      <c r="C219" s="19" t="s">
        <v>734</v>
      </c>
      <c r="D219" s="19" t="s">
        <v>393</v>
      </c>
      <c r="E219" s="19" t="s">
        <v>382</v>
      </c>
      <c r="F219" s="22" t="s">
        <v>289</v>
      </c>
      <c r="G219" s="19"/>
      <c r="H219" s="19" t="s">
        <v>389</v>
      </c>
      <c r="I219" s="19"/>
      <c r="J219" s="19"/>
      <c r="K219" s="19"/>
      <c r="L219" s="19"/>
      <c r="M219" s="19"/>
      <c r="N219" s="19"/>
      <c r="O219" s="19"/>
      <c r="P219" s="19"/>
      <c r="Q219" s="19" t="s">
        <v>395</v>
      </c>
      <c r="R219" s="19"/>
      <c r="S219" s="19"/>
      <c r="T219" s="19">
        <v>1</v>
      </c>
      <c r="U219" s="20">
        <f t="shared" ref="U219" si="19">Y219*1.1</f>
        <v>0.17600000000000002</v>
      </c>
      <c r="V219" s="19" t="s">
        <v>735</v>
      </c>
      <c r="W219" s="19" t="s">
        <v>340</v>
      </c>
      <c r="X219" s="19"/>
      <c r="Y219" s="21">
        <v>0.16</v>
      </c>
      <c r="Z219" s="92">
        <v>1.3</v>
      </c>
      <c r="AA219" s="92">
        <v>1</v>
      </c>
    </row>
    <row r="220" spans="1:27" x14ac:dyDescent="0.25">
      <c r="A220" s="33">
        <f t="shared" ref="A220:A280" si="20">ROW()-3</f>
        <v>217</v>
      </c>
      <c r="B220" s="210" t="s">
        <v>736</v>
      </c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1"/>
      <c r="X220" s="19"/>
      <c r="Y220" s="74"/>
      <c r="Z220" s="76"/>
      <c r="AA220" s="76"/>
    </row>
    <row r="221" spans="1:27" x14ac:dyDescent="0.25">
      <c r="A221" s="33">
        <f t="shared" si="20"/>
        <v>218</v>
      </c>
      <c r="B221" s="19">
        <v>17044</v>
      </c>
      <c r="C221" s="19" t="s">
        <v>737</v>
      </c>
      <c r="D221" s="19" t="s">
        <v>738</v>
      </c>
      <c r="E221" s="19" t="s">
        <v>394</v>
      </c>
      <c r="F221" s="19" t="s">
        <v>203</v>
      </c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 t="s">
        <v>395</v>
      </c>
      <c r="R221" s="19"/>
      <c r="S221" s="19">
        <v>0.67</v>
      </c>
      <c r="T221" s="19"/>
      <c r="U221" s="20">
        <f t="shared" ref="U221" si="21">Y221*1.1</f>
        <v>6.6000000000000003E-2</v>
      </c>
      <c r="V221" s="19" t="s">
        <v>739</v>
      </c>
      <c r="W221" s="19"/>
      <c r="X221" s="19"/>
      <c r="Y221" s="21">
        <v>0.06</v>
      </c>
      <c r="Z221" s="92">
        <v>2.4</v>
      </c>
      <c r="AA221" s="92">
        <v>1</v>
      </c>
    </row>
    <row r="222" spans="1:27" x14ac:dyDescent="0.25">
      <c r="A222" s="33">
        <f t="shared" si="20"/>
        <v>219</v>
      </c>
      <c r="B222" s="210" t="s">
        <v>740</v>
      </c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1"/>
      <c r="X222" s="19"/>
      <c r="Y222" s="74"/>
      <c r="Z222" s="76"/>
      <c r="AA222" s="76"/>
    </row>
    <row r="223" spans="1:27" x14ac:dyDescent="0.25">
      <c r="A223" s="33">
        <f t="shared" si="20"/>
        <v>220</v>
      </c>
      <c r="B223" s="19" t="s">
        <v>741</v>
      </c>
      <c r="C223" s="19" t="s">
        <v>742</v>
      </c>
      <c r="D223" s="19" t="s">
        <v>743</v>
      </c>
      <c r="E223" s="19" t="s">
        <v>394</v>
      </c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 t="s">
        <v>395</v>
      </c>
      <c r="R223" s="19">
        <v>1</v>
      </c>
      <c r="S223" s="19"/>
      <c r="T223" s="19">
        <v>1</v>
      </c>
      <c r="U223" s="20">
        <f t="shared" ref="U223" si="22">Y223*1.1</f>
        <v>2.86E-2</v>
      </c>
      <c r="V223" s="19" t="s">
        <v>744</v>
      </c>
      <c r="W223" s="19" t="s">
        <v>745</v>
      </c>
      <c r="X223" s="19"/>
      <c r="Y223" s="21">
        <v>2.5999999999999999E-2</v>
      </c>
      <c r="Z223" s="92">
        <v>1.5</v>
      </c>
      <c r="AA223" s="92">
        <v>1.86</v>
      </c>
    </row>
    <row r="224" spans="1:27" x14ac:dyDescent="0.25">
      <c r="A224" s="33">
        <f t="shared" si="20"/>
        <v>221</v>
      </c>
      <c r="B224" s="210" t="s">
        <v>746</v>
      </c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1"/>
      <c r="X224" s="19"/>
      <c r="Y224" s="74"/>
      <c r="Z224" s="76"/>
      <c r="AA224" s="76"/>
    </row>
    <row r="225" spans="1:27" x14ac:dyDescent="0.25">
      <c r="A225" s="33">
        <f t="shared" si="20"/>
        <v>222</v>
      </c>
      <c r="B225" s="19">
        <v>17013</v>
      </c>
      <c r="C225" s="19" t="s">
        <v>747</v>
      </c>
      <c r="D225" s="19" t="s">
        <v>748</v>
      </c>
      <c r="E225" s="19" t="s">
        <v>240</v>
      </c>
      <c r="F225" s="19" t="s">
        <v>361</v>
      </c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 t="s">
        <v>395</v>
      </c>
      <c r="R225" s="19">
        <v>1</v>
      </c>
      <c r="S225" s="19"/>
      <c r="T225" s="19">
        <v>2</v>
      </c>
      <c r="U225" s="20">
        <f t="shared" ref="U225:U228" si="23">Y225*1.1</f>
        <v>0.92400000000000004</v>
      </c>
      <c r="V225" s="19" t="s">
        <v>749</v>
      </c>
      <c r="W225" s="19" t="s">
        <v>750</v>
      </c>
      <c r="X225" s="19"/>
      <c r="Y225" s="21">
        <v>0.84</v>
      </c>
      <c r="Z225" s="92">
        <v>2.27</v>
      </c>
      <c r="AA225" s="92">
        <v>1.58</v>
      </c>
    </row>
    <row r="226" spans="1:27" x14ac:dyDescent="0.25">
      <c r="A226" s="33">
        <f t="shared" si="20"/>
        <v>223</v>
      </c>
      <c r="B226" s="19">
        <v>17013</v>
      </c>
      <c r="C226" s="19" t="s">
        <v>747</v>
      </c>
      <c r="D226" s="19" t="s">
        <v>748</v>
      </c>
      <c r="E226" s="19" t="s">
        <v>394</v>
      </c>
      <c r="F226" s="19" t="s">
        <v>751</v>
      </c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 t="s">
        <v>395</v>
      </c>
      <c r="R226" s="19">
        <v>1</v>
      </c>
      <c r="S226" s="19"/>
      <c r="T226" s="19">
        <v>2</v>
      </c>
      <c r="U226" s="20">
        <f t="shared" si="23"/>
        <v>0.92400000000000004</v>
      </c>
      <c r="V226" s="19" t="s">
        <v>749</v>
      </c>
      <c r="W226" s="19" t="s">
        <v>750</v>
      </c>
      <c r="X226" s="19"/>
      <c r="Y226" s="21">
        <v>0.84</v>
      </c>
      <c r="Z226" s="92">
        <v>2.27</v>
      </c>
      <c r="AA226" s="92">
        <v>1.58</v>
      </c>
    </row>
    <row r="227" spans="1:27" x14ac:dyDescent="0.25">
      <c r="A227" s="33">
        <f t="shared" si="20"/>
        <v>224</v>
      </c>
      <c r="B227" s="19">
        <v>17013</v>
      </c>
      <c r="C227" s="19" t="s">
        <v>747</v>
      </c>
      <c r="D227" s="19" t="s">
        <v>748</v>
      </c>
      <c r="E227" s="19" t="s">
        <v>394</v>
      </c>
      <c r="F227" s="19" t="s">
        <v>752</v>
      </c>
      <c r="G227" s="19" t="s">
        <v>126</v>
      </c>
      <c r="H227" s="19"/>
      <c r="I227" s="19"/>
      <c r="J227" s="19"/>
      <c r="K227" s="19"/>
      <c r="L227" s="19"/>
      <c r="M227" s="19"/>
      <c r="N227" s="19"/>
      <c r="O227" s="19"/>
      <c r="P227" s="19"/>
      <c r="Q227" s="19" t="s">
        <v>395</v>
      </c>
      <c r="R227" s="19">
        <v>1</v>
      </c>
      <c r="S227" s="19"/>
      <c r="T227" s="19">
        <v>2</v>
      </c>
      <c r="U227" s="20">
        <f t="shared" si="23"/>
        <v>0.92400000000000004</v>
      </c>
      <c r="V227" s="19" t="s">
        <v>749</v>
      </c>
      <c r="W227" s="19" t="s">
        <v>750</v>
      </c>
      <c r="X227" s="19"/>
      <c r="Y227" s="21">
        <v>0.84</v>
      </c>
      <c r="Z227" s="92">
        <v>2.27</v>
      </c>
      <c r="AA227" s="92">
        <v>1.58</v>
      </c>
    </row>
    <row r="228" spans="1:27" x14ac:dyDescent="0.25">
      <c r="A228" s="33">
        <f t="shared" si="20"/>
        <v>225</v>
      </c>
      <c r="B228" s="19">
        <v>17013</v>
      </c>
      <c r="C228" s="19" t="s">
        <v>747</v>
      </c>
      <c r="D228" s="19" t="s">
        <v>748</v>
      </c>
      <c r="E228" s="19" t="s">
        <v>394</v>
      </c>
      <c r="F228" s="19" t="s">
        <v>752</v>
      </c>
      <c r="G228" s="19" t="s">
        <v>346</v>
      </c>
      <c r="H228" s="19"/>
      <c r="I228" s="19"/>
      <c r="J228" s="19"/>
      <c r="K228" s="19"/>
      <c r="L228" s="19"/>
      <c r="M228" s="19"/>
      <c r="N228" s="19"/>
      <c r="O228" s="19"/>
      <c r="P228" s="19"/>
      <c r="Q228" s="19" t="s">
        <v>395</v>
      </c>
      <c r="R228" s="19">
        <v>1</v>
      </c>
      <c r="S228" s="19"/>
      <c r="T228" s="19">
        <v>1</v>
      </c>
      <c r="U228" s="20">
        <f t="shared" si="23"/>
        <v>0.92400000000000004</v>
      </c>
      <c r="V228" s="19" t="s">
        <v>749</v>
      </c>
      <c r="W228" s="19" t="s">
        <v>750</v>
      </c>
      <c r="X228" s="19"/>
      <c r="Y228" s="21">
        <v>0.84</v>
      </c>
      <c r="Z228" s="92">
        <v>2.27</v>
      </c>
      <c r="AA228" s="92">
        <v>1.58</v>
      </c>
    </row>
    <row r="229" spans="1:27" x14ac:dyDescent="0.25">
      <c r="A229" s="33">
        <f t="shared" si="20"/>
        <v>226</v>
      </c>
      <c r="B229" s="210" t="s">
        <v>753</v>
      </c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1"/>
      <c r="X229" s="19"/>
      <c r="Y229" s="74"/>
      <c r="Z229" s="76"/>
      <c r="AA229" s="76"/>
    </row>
    <row r="230" spans="1:27" x14ac:dyDescent="0.25">
      <c r="A230" s="33">
        <f t="shared" si="20"/>
        <v>227</v>
      </c>
      <c r="B230" s="19">
        <v>17022</v>
      </c>
      <c r="C230" s="19" t="s">
        <v>754</v>
      </c>
      <c r="D230" s="19" t="s">
        <v>748</v>
      </c>
      <c r="E230" s="19" t="s">
        <v>755</v>
      </c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 t="s">
        <v>395</v>
      </c>
      <c r="R230" s="19">
        <v>1</v>
      </c>
      <c r="S230" s="19"/>
      <c r="T230" s="19">
        <v>2</v>
      </c>
      <c r="U230" s="20">
        <f t="shared" ref="U230:U232" si="24">Y230*1.1</f>
        <v>0.72600000000000009</v>
      </c>
      <c r="V230" s="19" t="s">
        <v>756</v>
      </c>
      <c r="W230" s="19" t="s">
        <v>750</v>
      </c>
      <c r="X230" s="19"/>
      <c r="Y230" s="21">
        <v>0.66</v>
      </c>
      <c r="Z230" s="92">
        <v>2.27</v>
      </c>
      <c r="AA230" s="92">
        <v>1.58</v>
      </c>
    </row>
    <row r="231" spans="1:27" x14ac:dyDescent="0.25">
      <c r="A231" s="33">
        <f t="shared" si="20"/>
        <v>228</v>
      </c>
      <c r="B231" s="19">
        <v>17022</v>
      </c>
      <c r="C231" s="19" t="s">
        <v>757</v>
      </c>
      <c r="D231" s="19" t="s">
        <v>748</v>
      </c>
      <c r="E231" s="19" t="s">
        <v>394</v>
      </c>
      <c r="F231" s="19"/>
      <c r="G231" s="19" t="s">
        <v>546</v>
      </c>
      <c r="H231" s="19"/>
      <c r="I231" s="19"/>
      <c r="J231" s="19"/>
      <c r="K231" s="19"/>
      <c r="L231" s="19"/>
      <c r="M231" s="19"/>
      <c r="N231" s="19"/>
      <c r="O231" s="19"/>
      <c r="P231" s="19"/>
      <c r="Q231" s="19" t="s">
        <v>395</v>
      </c>
      <c r="R231" s="19">
        <v>1</v>
      </c>
      <c r="S231" s="19"/>
      <c r="T231" s="19">
        <v>2</v>
      </c>
      <c r="U231" s="20">
        <f t="shared" si="24"/>
        <v>0.77</v>
      </c>
      <c r="V231" s="19" t="s">
        <v>758</v>
      </c>
      <c r="W231" s="19" t="s">
        <v>750</v>
      </c>
      <c r="X231" s="19"/>
      <c r="Y231" s="21">
        <v>0.7</v>
      </c>
      <c r="Z231" s="92">
        <v>2.27</v>
      </c>
      <c r="AA231" s="92">
        <v>1.58</v>
      </c>
    </row>
    <row r="232" spans="1:27" x14ac:dyDescent="0.25">
      <c r="A232" s="33">
        <f t="shared" si="20"/>
        <v>229</v>
      </c>
      <c r="B232" s="19">
        <v>17022</v>
      </c>
      <c r="C232" s="19" t="s">
        <v>757</v>
      </c>
      <c r="D232" s="19" t="s">
        <v>748</v>
      </c>
      <c r="E232" s="19" t="s">
        <v>755</v>
      </c>
      <c r="F232" s="19"/>
      <c r="G232" s="19" t="s">
        <v>546</v>
      </c>
      <c r="H232" s="19"/>
      <c r="I232" s="19"/>
      <c r="J232" s="19"/>
      <c r="K232" s="19"/>
      <c r="L232" s="19"/>
      <c r="M232" s="19"/>
      <c r="N232" s="19"/>
      <c r="O232" s="19"/>
      <c r="P232" s="19"/>
      <c r="Q232" s="19" t="s">
        <v>395</v>
      </c>
      <c r="R232" s="19">
        <v>1</v>
      </c>
      <c r="S232" s="19"/>
      <c r="T232" s="19">
        <v>1</v>
      </c>
      <c r="U232" s="20">
        <f t="shared" si="24"/>
        <v>0.77</v>
      </c>
      <c r="V232" s="19" t="s">
        <v>758</v>
      </c>
      <c r="W232" s="19" t="s">
        <v>750</v>
      </c>
      <c r="X232" s="19"/>
      <c r="Y232" s="21">
        <v>0.7</v>
      </c>
      <c r="Z232" s="92">
        <v>2.27</v>
      </c>
      <c r="AA232" s="92">
        <v>1.58</v>
      </c>
    </row>
    <row r="233" spans="1:27" x14ac:dyDescent="0.25">
      <c r="A233" s="33">
        <f t="shared" si="20"/>
        <v>230</v>
      </c>
      <c r="B233" s="210" t="s">
        <v>759</v>
      </c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1"/>
      <c r="X233" s="19"/>
      <c r="Y233" s="74"/>
      <c r="Z233" s="76"/>
      <c r="AA233" s="76"/>
    </row>
    <row r="234" spans="1:27" x14ac:dyDescent="0.25">
      <c r="A234" s="33">
        <f t="shared" si="20"/>
        <v>231</v>
      </c>
      <c r="B234" s="19">
        <v>17031</v>
      </c>
      <c r="C234" s="19" t="s">
        <v>760</v>
      </c>
      <c r="D234" s="19" t="s">
        <v>738</v>
      </c>
      <c r="E234" s="19" t="s">
        <v>394</v>
      </c>
      <c r="F234" s="19" t="s">
        <v>98</v>
      </c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 t="s">
        <v>395</v>
      </c>
      <c r="R234" s="19">
        <v>1</v>
      </c>
      <c r="S234" s="19"/>
      <c r="T234" s="19">
        <v>2</v>
      </c>
      <c r="U234" s="20">
        <f t="shared" ref="U234" si="25">Y234*1.1</f>
        <v>2.2000000000000002E-2</v>
      </c>
      <c r="V234" s="19" t="s">
        <v>761</v>
      </c>
      <c r="W234" s="19"/>
      <c r="X234" s="19"/>
      <c r="Y234" s="21">
        <v>0.02</v>
      </c>
      <c r="Z234" s="92">
        <v>1.3</v>
      </c>
      <c r="AA234" s="92">
        <v>1</v>
      </c>
    </row>
    <row r="235" spans="1:27" x14ac:dyDescent="0.25">
      <c r="A235" s="33">
        <f t="shared" si="20"/>
        <v>232</v>
      </c>
      <c r="B235" s="210" t="s">
        <v>762</v>
      </c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1"/>
      <c r="X235" s="19"/>
      <c r="Y235" s="74"/>
      <c r="Z235" s="76"/>
      <c r="AA235" s="76"/>
    </row>
    <row r="236" spans="1:27" x14ac:dyDescent="0.25">
      <c r="A236" s="33">
        <f t="shared" si="20"/>
        <v>233</v>
      </c>
      <c r="B236" s="19">
        <v>17051</v>
      </c>
      <c r="C236" s="19" t="s">
        <v>763</v>
      </c>
      <c r="D236" s="19" t="s">
        <v>738</v>
      </c>
      <c r="E236" s="19" t="s">
        <v>394</v>
      </c>
      <c r="F236" s="19" t="s">
        <v>98</v>
      </c>
      <c r="G236" s="19" t="s">
        <v>764</v>
      </c>
      <c r="H236" s="19"/>
      <c r="I236" s="19"/>
      <c r="J236" s="19"/>
      <c r="K236" s="19"/>
      <c r="L236" s="19"/>
      <c r="M236" s="19"/>
      <c r="N236" s="19"/>
      <c r="O236" s="19"/>
      <c r="P236" s="19"/>
      <c r="Q236" s="19" t="s">
        <v>395</v>
      </c>
      <c r="R236" s="19">
        <v>1</v>
      </c>
      <c r="S236" s="19"/>
      <c r="T236" s="19">
        <v>1</v>
      </c>
      <c r="U236" s="20">
        <f t="shared" ref="U236" si="26">Y236*1.1</f>
        <v>7.7000000000000013E-2</v>
      </c>
      <c r="V236" s="19" t="s">
        <v>765</v>
      </c>
      <c r="W236" s="19"/>
      <c r="X236" s="19"/>
      <c r="Y236" s="21">
        <v>7.0000000000000007E-2</v>
      </c>
      <c r="Z236" s="92">
        <v>1.3</v>
      </c>
      <c r="AA236" s="92">
        <v>1</v>
      </c>
    </row>
    <row r="237" spans="1:27" x14ac:dyDescent="0.25">
      <c r="A237" s="33">
        <f t="shared" si="20"/>
        <v>234</v>
      </c>
      <c r="B237" s="210" t="s">
        <v>766</v>
      </c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1"/>
      <c r="X237" s="19"/>
      <c r="Y237" s="74"/>
      <c r="Z237" s="76"/>
      <c r="AA237" s="76"/>
    </row>
    <row r="238" spans="1:27" x14ac:dyDescent="0.25">
      <c r="A238" s="33">
        <f t="shared" si="20"/>
        <v>235</v>
      </c>
      <c r="B238" s="19">
        <v>17039</v>
      </c>
      <c r="C238" s="19" t="s">
        <v>767</v>
      </c>
      <c r="D238" s="19" t="s">
        <v>738</v>
      </c>
      <c r="E238" s="19" t="s">
        <v>394</v>
      </c>
      <c r="F238" s="19" t="s">
        <v>161</v>
      </c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 t="s">
        <v>395</v>
      </c>
      <c r="R238" s="19">
        <v>1</v>
      </c>
      <c r="S238" s="19"/>
      <c r="T238" s="19">
        <v>2</v>
      </c>
      <c r="U238" s="20">
        <f t="shared" ref="U238" si="27">Y238*1.1</f>
        <v>5.5000000000000007E-2</v>
      </c>
      <c r="V238" s="19" t="s">
        <v>768</v>
      </c>
      <c r="W238" s="19"/>
      <c r="X238" s="19"/>
      <c r="Y238" s="8">
        <v>0.05</v>
      </c>
      <c r="Z238" s="92">
        <v>1.3</v>
      </c>
      <c r="AA238" s="92">
        <v>1</v>
      </c>
    </row>
    <row r="239" spans="1:27" x14ac:dyDescent="0.25">
      <c r="A239" s="33">
        <f t="shared" si="20"/>
        <v>236</v>
      </c>
      <c r="B239" s="210" t="s">
        <v>769</v>
      </c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1"/>
      <c r="X239" s="19"/>
      <c r="Y239" s="74"/>
      <c r="Z239" s="76"/>
      <c r="AA239" s="76"/>
    </row>
    <row r="240" spans="1:27" x14ac:dyDescent="0.25">
      <c r="A240" s="33">
        <f t="shared" si="20"/>
        <v>237</v>
      </c>
      <c r="B240" s="19">
        <v>17015</v>
      </c>
      <c r="C240" s="19" t="s">
        <v>770</v>
      </c>
      <c r="D240" s="19" t="s">
        <v>748</v>
      </c>
      <c r="E240" s="19" t="s">
        <v>394</v>
      </c>
      <c r="F240" s="19" t="s">
        <v>771</v>
      </c>
      <c r="G240" s="19" t="s">
        <v>346</v>
      </c>
      <c r="H240" s="19"/>
      <c r="I240" s="19"/>
      <c r="J240" s="19"/>
      <c r="K240" s="19"/>
      <c r="L240" s="19"/>
      <c r="M240" s="19"/>
      <c r="N240" s="19"/>
      <c r="O240" s="19"/>
      <c r="P240" s="19"/>
      <c r="Q240" s="19" t="s">
        <v>395</v>
      </c>
      <c r="R240" s="19">
        <v>1</v>
      </c>
      <c r="S240" s="19"/>
      <c r="T240" s="19">
        <v>1</v>
      </c>
      <c r="U240" s="20">
        <f t="shared" ref="U240:U241" si="28">Y240*1.1</f>
        <v>0.90200000000000002</v>
      </c>
      <c r="V240" s="19" t="s">
        <v>772</v>
      </c>
      <c r="W240" s="19" t="s">
        <v>750</v>
      </c>
      <c r="X240" s="19"/>
      <c r="Y240" s="21">
        <v>0.82</v>
      </c>
      <c r="Z240" s="92">
        <v>2.27</v>
      </c>
      <c r="AA240" s="92">
        <v>1.58</v>
      </c>
    </row>
    <row r="241" spans="1:27" x14ac:dyDescent="0.25">
      <c r="A241" s="33">
        <f t="shared" si="20"/>
        <v>238</v>
      </c>
      <c r="B241" s="19">
        <v>17015</v>
      </c>
      <c r="C241" s="19" t="s">
        <v>770</v>
      </c>
      <c r="D241" s="19" t="s">
        <v>748</v>
      </c>
      <c r="E241" s="19" t="s">
        <v>394</v>
      </c>
      <c r="F241" s="19" t="s">
        <v>771</v>
      </c>
      <c r="G241" s="19" t="s">
        <v>110</v>
      </c>
      <c r="H241" s="19"/>
      <c r="I241" s="19"/>
      <c r="J241" s="19"/>
      <c r="K241" s="19"/>
      <c r="L241" s="19"/>
      <c r="M241" s="19"/>
      <c r="N241" s="19"/>
      <c r="O241" s="19"/>
      <c r="P241" s="19"/>
      <c r="Q241" s="19" t="s">
        <v>395</v>
      </c>
      <c r="R241" s="19">
        <v>1</v>
      </c>
      <c r="S241" s="19"/>
      <c r="T241" s="19">
        <v>2</v>
      </c>
      <c r="U241" s="20">
        <f t="shared" si="28"/>
        <v>0.90200000000000002</v>
      </c>
      <c r="V241" s="19" t="s">
        <v>772</v>
      </c>
      <c r="W241" s="19" t="s">
        <v>750</v>
      </c>
      <c r="X241" s="19"/>
      <c r="Y241" s="21">
        <v>0.82</v>
      </c>
      <c r="Z241" s="92">
        <v>2.27</v>
      </c>
      <c r="AA241" s="92">
        <v>1.58</v>
      </c>
    </row>
    <row r="242" spans="1:27" x14ac:dyDescent="0.25">
      <c r="A242" s="33">
        <f t="shared" si="20"/>
        <v>239</v>
      </c>
      <c r="B242" s="210" t="s">
        <v>773</v>
      </c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1"/>
      <c r="X242" s="19"/>
      <c r="Y242" s="74"/>
      <c r="Z242" s="76"/>
      <c r="AA242" s="76"/>
    </row>
    <row r="243" spans="1:27" x14ac:dyDescent="0.25">
      <c r="A243" s="33">
        <f t="shared" si="20"/>
        <v>240</v>
      </c>
      <c r="B243" s="19">
        <v>17048</v>
      </c>
      <c r="C243" s="19" t="s">
        <v>774</v>
      </c>
      <c r="D243" s="19" t="s">
        <v>738</v>
      </c>
      <c r="E243" s="19" t="s">
        <v>394</v>
      </c>
      <c r="F243" s="19" t="s">
        <v>22</v>
      </c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 t="s">
        <v>395</v>
      </c>
      <c r="R243" s="19">
        <v>1</v>
      </c>
      <c r="S243" s="19"/>
      <c r="T243" s="19">
        <v>2</v>
      </c>
      <c r="U243" s="20">
        <f t="shared" ref="U243" si="29">Y243*1.1</f>
        <v>6.6000000000000003E-2</v>
      </c>
      <c r="V243" s="19" t="s">
        <v>775</v>
      </c>
      <c r="W243" s="19"/>
      <c r="X243" s="19"/>
      <c r="Y243" s="21">
        <v>0.06</v>
      </c>
      <c r="Z243" s="92">
        <v>1.3</v>
      </c>
      <c r="AA243" s="92">
        <v>1</v>
      </c>
    </row>
    <row r="244" spans="1:27" x14ac:dyDescent="0.25">
      <c r="A244" s="33">
        <f t="shared" si="20"/>
        <v>241</v>
      </c>
      <c r="B244" s="210" t="s">
        <v>776</v>
      </c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1"/>
      <c r="X244" s="19"/>
      <c r="Y244" s="74"/>
      <c r="Z244" s="76"/>
      <c r="AA244" s="76"/>
    </row>
    <row r="245" spans="1:27" x14ac:dyDescent="0.25">
      <c r="A245" s="33">
        <f t="shared" si="20"/>
        <v>242</v>
      </c>
      <c r="B245" s="19">
        <v>17055</v>
      </c>
      <c r="C245" s="19" t="s">
        <v>777</v>
      </c>
      <c r="D245" s="19" t="s">
        <v>738</v>
      </c>
      <c r="E245" s="19" t="s">
        <v>394</v>
      </c>
      <c r="F245" s="19" t="s">
        <v>22</v>
      </c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 t="s">
        <v>395</v>
      </c>
      <c r="R245" s="19">
        <v>1</v>
      </c>
      <c r="S245" s="19"/>
      <c r="T245" s="19">
        <v>2</v>
      </c>
      <c r="U245" s="20">
        <f t="shared" ref="U245" si="30">Y245*1.1</f>
        <v>5.5000000000000007E-2</v>
      </c>
      <c r="V245" s="19" t="s">
        <v>778</v>
      </c>
      <c r="W245" s="19"/>
      <c r="X245" s="19"/>
      <c r="Y245" s="21">
        <v>0.05</v>
      </c>
      <c r="Z245" s="92">
        <v>1.3</v>
      </c>
      <c r="AA245" s="92">
        <v>1</v>
      </c>
    </row>
    <row r="246" spans="1:27" x14ac:dyDescent="0.25">
      <c r="A246" s="33">
        <f t="shared" si="20"/>
        <v>243</v>
      </c>
      <c r="B246" s="210" t="s">
        <v>779</v>
      </c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1"/>
      <c r="X246" s="19"/>
      <c r="Y246" s="74"/>
      <c r="Z246" s="76"/>
      <c r="AA246" s="76"/>
    </row>
    <row r="247" spans="1:27" x14ac:dyDescent="0.25">
      <c r="A247" s="33">
        <f t="shared" si="20"/>
        <v>244</v>
      </c>
      <c r="B247" s="19">
        <v>17056</v>
      </c>
      <c r="C247" s="19" t="s">
        <v>780</v>
      </c>
      <c r="D247" s="19" t="s">
        <v>738</v>
      </c>
      <c r="E247" s="19" t="s">
        <v>394</v>
      </c>
      <c r="F247" s="19" t="s">
        <v>22</v>
      </c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 t="s">
        <v>395</v>
      </c>
      <c r="R247" s="19">
        <v>1</v>
      </c>
      <c r="S247" s="19"/>
      <c r="T247" s="19">
        <v>2</v>
      </c>
      <c r="U247" s="20">
        <f t="shared" ref="U247" si="31">Y247*1.1</f>
        <v>8.8000000000000009E-2</v>
      </c>
      <c r="V247" s="19" t="s">
        <v>781</v>
      </c>
      <c r="W247" s="19"/>
      <c r="X247" s="19"/>
      <c r="Y247" s="21">
        <v>0.08</v>
      </c>
      <c r="Z247" s="92">
        <v>1.3</v>
      </c>
      <c r="AA247" s="92">
        <v>1</v>
      </c>
    </row>
    <row r="248" spans="1:27" x14ac:dyDescent="0.25">
      <c r="A248" s="33">
        <f t="shared" si="20"/>
        <v>245</v>
      </c>
      <c r="B248" s="210" t="s">
        <v>782</v>
      </c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1"/>
      <c r="X248" s="19"/>
      <c r="Y248" s="74"/>
      <c r="Z248" s="76"/>
      <c r="AA248" s="76"/>
    </row>
    <row r="249" spans="1:27" x14ac:dyDescent="0.25">
      <c r="A249" s="33">
        <f t="shared" si="20"/>
        <v>246</v>
      </c>
      <c r="B249" s="19">
        <v>17059</v>
      </c>
      <c r="C249" s="19" t="s">
        <v>783</v>
      </c>
      <c r="D249" s="19" t="s">
        <v>738</v>
      </c>
      <c r="E249" s="19" t="s">
        <v>394</v>
      </c>
      <c r="F249" s="19" t="s">
        <v>784</v>
      </c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 t="s">
        <v>395</v>
      </c>
      <c r="R249" s="19">
        <v>1</v>
      </c>
      <c r="S249" s="19"/>
      <c r="T249" s="19">
        <v>2</v>
      </c>
      <c r="U249" s="20">
        <f t="shared" ref="U249" si="32">Y249*1.1</f>
        <v>7.7000000000000013E-2</v>
      </c>
      <c r="V249" s="19" t="s">
        <v>785</v>
      </c>
      <c r="W249" s="19"/>
      <c r="X249" s="19"/>
      <c r="Y249" s="21">
        <v>7.0000000000000007E-2</v>
      </c>
      <c r="Z249" s="92">
        <v>1.3</v>
      </c>
      <c r="AA249" s="92">
        <v>1</v>
      </c>
    </row>
    <row r="250" spans="1:27" x14ac:dyDescent="0.25">
      <c r="A250" s="33">
        <f t="shared" si="20"/>
        <v>247</v>
      </c>
      <c r="B250" s="210" t="s">
        <v>786</v>
      </c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1"/>
      <c r="X250" s="19"/>
      <c r="Y250" s="74"/>
      <c r="Z250" s="76"/>
      <c r="AA250" s="76"/>
    </row>
    <row r="251" spans="1:27" x14ac:dyDescent="0.25">
      <c r="A251" s="33">
        <f t="shared" si="20"/>
        <v>248</v>
      </c>
      <c r="B251" s="19">
        <v>17060</v>
      </c>
      <c r="C251" s="19" t="s">
        <v>787</v>
      </c>
      <c r="D251" s="19" t="s">
        <v>788</v>
      </c>
      <c r="E251" s="19" t="s">
        <v>394</v>
      </c>
      <c r="F251" s="19" t="s">
        <v>203</v>
      </c>
      <c r="G251" s="19" t="s">
        <v>764</v>
      </c>
      <c r="H251" s="19"/>
      <c r="I251" s="19"/>
      <c r="J251" s="19"/>
      <c r="K251" s="19"/>
      <c r="L251" s="19"/>
      <c r="M251" s="19"/>
      <c r="N251" s="19"/>
      <c r="O251" s="19"/>
      <c r="P251" s="19"/>
      <c r="Q251" s="19" t="s">
        <v>395</v>
      </c>
      <c r="R251" s="19">
        <v>1</v>
      </c>
      <c r="S251" s="19"/>
      <c r="T251" s="19">
        <v>4</v>
      </c>
      <c r="U251" s="20">
        <f t="shared" ref="U251" si="33">Y251*1.1</f>
        <v>0.33</v>
      </c>
      <c r="V251" s="19" t="s">
        <v>789</v>
      </c>
      <c r="W251" s="19"/>
      <c r="X251" s="19"/>
      <c r="Y251" s="21">
        <v>0.3</v>
      </c>
      <c r="Z251" s="92">
        <v>1.3</v>
      </c>
      <c r="AA251" s="92">
        <v>1</v>
      </c>
    </row>
    <row r="252" spans="1:27" x14ac:dyDescent="0.25">
      <c r="A252" s="33">
        <f t="shared" si="20"/>
        <v>249</v>
      </c>
      <c r="B252" s="210" t="s">
        <v>790</v>
      </c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1"/>
      <c r="X252" s="19"/>
      <c r="Y252" s="74"/>
      <c r="Z252" s="76"/>
      <c r="AA252" s="76"/>
    </row>
    <row r="253" spans="1:27" x14ac:dyDescent="0.25">
      <c r="A253" s="33">
        <f t="shared" si="20"/>
        <v>250</v>
      </c>
      <c r="B253" s="19">
        <v>17042</v>
      </c>
      <c r="C253" s="19" t="s">
        <v>791</v>
      </c>
      <c r="D253" s="19" t="s">
        <v>792</v>
      </c>
      <c r="E253" s="19" t="s">
        <v>394</v>
      </c>
      <c r="F253" s="19" t="s">
        <v>793</v>
      </c>
      <c r="G253" s="19" t="s">
        <v>118</v>
      </c>
      <c r="H253" s="19"/>
      <c r="I253" s="19"/>
      <c r="J253" s="19"/>
      <c r="K253" s="19"/>
      <c r="L253" s="19"/>
      <c r="M253" s="19"/>
      <c r="N253" s="19"/>
      <c r="O253" s="19"/>
      <c r="P253" s="19"/>
      <c r="Q253" s="19" t="s">
        <v>395</v>
      </c>
      <c r="R253" s="19">
        <v>1</v>
      </c>
      <c r="S253" s="19"/>
      <c r="T253" s="19">
        <v>1</v>
      </c>
      <c r="U253" s="20">
        <f t="shared" ref="U253:U256" si="34">Y253*1.1</f>
        <v>1.07338</v>
      </c>
      <c r="V253" s="19" t="s">
        <v>794</v>
      </c>
      <c r="W253" s="19" t="s">
        <v>750</v>
      </c>
      <c r="X253" s="19"/>
      <c r="Y253" s="21">
        <v>0.9758</v>
      </c>
      <c r="Z253" s="92">
        <v>2.27</v>
      </c>
      <c r="AA253" s="92">
        <v>1.58</v>
      </c>
    </row>
    <row r="254" spans="1:27" x14ac:dyDescent="0.25">
      <c r="A254" s="33">
        <f t="shared" si="20"/>
        <v>251</v>
      </c>
      <c r="B254" s="19">
        <v>17042</v>
      </c>
      <c r="C254" s="19" t="s">
        <v>795</v>
      </c>
      <c r="D254" s="19" t="s">
        <v>792</v>
      </c>
      <c r="E254" s="19" t="s">
        <v>394</v>
      </c>
      <c r="F254" s="19" t="s">
        <v>203</v>
      </c>
      <c r="G254" s="19" t="s">
        <v>346</v>
      </c>
      <c r="H254" s="19"/>
      <c r="I254" s="19"/>
      <c r="J254" s="19"/>
      <c r="K254" s="19"/>
      <c r="L254" s="19"/>
      <c r="M254" s="19"/>
      <c r="N254" s="19"/>
      <c r="O254" s="19"/>
      <c r="P254" s="19"/>
      <c r="Q254" s="19" t="s">
        <v>395</v>
      </c>
      <c r="R254" s="19">
        <v>1</v>
      </c>
      <c r="S254" s="19"/>
      <c r="T254" s="19">
        <v>1</v>
      </c>
      <c r="U254" s="20">
        <f t="shared" si="34"/>
        <v>0.18700000000000003</v>
      </c>
      <c r="V254" s="19" t="s">
        <v>796</v>
      </c>
      <c r="W254" s="19" t="s">
        <v>750</v>
      </c>
      <c r="X254" s="19"/>
      <c r="Y254" s="21">
        <v>0.17</v>
      </c>
      <c r="Z254" s="92">
        <v>2.27</v>
      </c>
      <c r="AA254" s="92">
        <v>1.58</v>
      </c>
    </row>
    <row r="255" spans="1:27" x14ac:dyDescent="0.25">
      <c r="A255" s="33">
        <f t="shared" si="20"/>
        <v>252</v>
      </c>
      <c r="B255" s="19">
        <v>17042</v>
      </c>
      <c r="C255" s="19" t="s">
        <v>795</v>
      </c>
      <c r="D255" s="19" t="s">
        <v>792</v>
      </c>
      <c r="E255" s="19" t="s">
        <v>394</v>
      </c>
      <c r="F255" s="19" t="s">
        <v>203</v>
      </c>
      <c r="G255" s="19" t="s">
        <v>110</v>
      </c>
      <c r="H255" s="19"/>
      <c r="I255" s="19"/>
      <c r="J255" s="19"/>
      <c r="K255" s="19"/>
      <c r="L255" s="19"/>
      <c r="M255" s="19"/>
      <c r="N255" s="19"/>
      <c r="O255" s="19"/>
      <c r="P255" s="19"/>
      <c r="Q255" s="19" t="s">
        <v>395</v>
      </c>
      <c r="R255" s="19">
        <v>1</v>
      </c>
      <c r="S255" s="19"/>
      <c r="T255" s="19">
        <v>2</v>
      </c>
      <c r="U255" s="20">
        <f t="shared" si="34"/>
        <v>0.18700000000000003</v>
      </c>
      <c r="V255" s="19" t="s">
        <v>796</v>
      </c>
      <c r="W255" s="19" t="s">
        <v>750</v>
      </c>
      <c r="X255" s="19"/>
      <c r="Y255" s="21">
        <v>0.17</v>
      </c>
      <c r="Z255" s="92">
        <v>2.27</v>
      </c>
      <c r="AA255" s="92">
        <v>1.58</v>
      </c>
    </row>
    <row r="256" spans="1:27" x14ac:dyDescent="0.25">
      <c r="A256" s="33">
        <f t="shared" si="20"/>
        <v>253</v>
      </c>
      <c r="B256" s="19">
        <v>17042</v>
      </c>
      <c r="C256" s="19" t="s">
        <v>791</v>
      </c>
      <c r="D256" s="19" t="s">
        <v>792</v>
      </c>
      <c r="E256" s="19" t="s">
        <v>394</v>
      </c>
      <c r="F256" s="19" t="s">
        <v>793</v>
      </c>
      <c r="G256" s="19" t="s">
        <v>110</v>
      </c>
      <c r="H256" s="19"/>
      <c r="I256" s="19"/>
      <c r="J256" s="19"/>
      <c r="K256" s="19"/>
      <c r="L256" s="19"/>
      <c r="M256" s="19"/>
      <c r="N256" s="19"/>
      <c r="O256" s="19"/>
      <c r="P256" s="19"/>
      <c r="Q256" s="19" t="s">
        <v>395</v>
      </c>
      <c r="R256" s="19">
        <v>1</v>
      </c>
      <c r="S256" s="19"/>
      <c r="T256" s="19">
        <v>1</v>
      </c>
      <c r="U256" s="20">
        <f t="shared" si="34"/>
        <v>1.07338</v>
      </c>
      <c r="V256" s="19" t="s">
        <v>794</v>
      </c>
      <c r="W256" s="19" t="s">
        <v>750</v>
      </c>
      <c r="X256" s="19"/>
      <c r="Y256" s="21">
        <v>0.9758</v>
      </c>
      <c r="Z256" s="92">
        <v>2.27</v>
      </c>
      <c r="AA256" s="92">
        <v>1.58</v>
      </c>
    </row>
    <row r="257" spans="1:27" x14ac:dyDescent="0.25">
      <c r="A257" s="33">
        <f t="shared" si="20"/>
        <v>254</v>
      </c>
      <c r="B257" s="210" t="s">
        <v>797</v>
      </c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1"/>
      <c r="X257" s="19"/>
      <c r="Y257" s="74"/>
      <c r="Z257" s="76"/>
      <c r="AA257" s="76"/>
    </row>
    <row r="258" spans="1:27" x14ac:dyDescent="0.25">
      <c r="A258" s="33">
        <f t="shared" si="20"/>
        <v>255</v>
      </c>
      <c r="B258" s="19" t="s">
        <v>798</v>
      </c>
      <c r="C258" s="19" t="s">
        <v>799</v>
      </c>
      <c r="D258" s="19" t="s">
        <v>800</v>
      </c>
      <c r="E258" s="19" t="s">
        <v>394</v>
      </c>
      <c r="F258" s="19" t="s">
        <v>98</v>
      </c>
      <c r="G258" s="19"/>
      <c r="H258" s="19" t="s">
        <v>801</v>
      </c>
      <c r="I258" s="19"/>
      <c r="J258" s="19"/>
      <c r="K258" s="19"/>
      <c r="L258" s="19"/>
      <c r="M258" s="19"/>
      <c r="N258" s="19"/>
      <c r="O258" s="19"/>
      <c r="P258" s="19"/>
      <c r="Q258" s="19" t="s">
        <v>395</v>
      </c>
      <c r="R258" s="19">
        <v>1</v>
      </c>
      <c r="S258" s="19"/>
      <c r="T258" s="19">
        <v>6</v>
      </c>
      <c r="U258" s="20">
        <f t="shared" ref="U258:U259" si="35">Y258*1.1</f>
        <v>0.15400000000000003</v>
      </c>
      <c r="V258" s="19" t="s">
        <v>802</v>
      </c>
      <c r="W258" s="19" t="s">
        <v>750</v>
      </c>
      <c r="X258" s="19"/>
      <c r="Y258" s="21">
        <v>0.14000000000000001</v>
      </c>
      <c r="Z258" s="92">
        <v>1.8</v>
      </c>
      <c r="AA258" s="92">
        <v>1</v>
      </c>
    </row>
    <row r="259" spans="1:27" x14ac:dyDescent="0.25">
      <c r="A259" s="33">
        <f t="shared" si="20"/>
        <v>256</v>
      </c>
      <c r="B259" s="19" t="s">
        <v>798</v>
      </c>
      <c r="C259" s="19" t="s">
        <v>799</v>
      </c>
      <c r="D259" s="19" t="s">
        <v>800</v>
      </c>
      <c r="E259" s="19" t="s">
        <v>394</v>
      </c>
      <c r="F259" s="19" t="s">
        <v>98</v>
      </c>
      <c r="G259" s="19"/>
      <c r="H259" s="19" t="s">
        <v>803</v>
      </c>
      <c r="I259" s="19"/>
      <c r="J259" s="19"/>
      <c r="K259" s="19"/>
      <c r="L259" s="19"/>
      <c r="M259" s="19"/>
      <c r="N259" s="19"/>
      <c r="O259" s="19"/>
      <c r="P259" s="19"/>
      <c r="Q259" s="19" t="s">
        <v>395</v>
      </c>
      <c r="R259" s="19">
        <v>1</v>
      </c>
      <c r="S259" s="19"/>
      <c r="T259" s="19">
        <v>8</v>
      </c>
      <c r="U259" s="20">
        <f t="shared" si="35"/>
        <v>0.15400000000000003</v>
      </c>
      <c r="V259" s="19" t="s">
        <v>802</v>
      </c>
      <c r="W259" s="19" t="s">
        <v>750</v>
      </c>
      <c r="X259" s="19"/>
      <c r="Y259" s="21">
        <v>0.14000000000000001</v>
      </c>
      <c r="Z259" s="92">
        <v>1.8</v>
      </c>
      <c r="AA259" s="92">
        <v>1</v>
      </c>
    </row>
    <row r="260" spans="1:27" x14ac:dyDescent="0.25">
      <c r="A260" s="33">
        <f t="shared" si="20"/>
        <v>257</v>
      </c>
      <c r="B260" s="210" t="s">
        <v>804</v>
      </c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1"/>
      <c r="X260" s="19"/>
      <c r="Y260" s="74"/>
      <c r="Z260" s="76"/>
      <c r="AA260" s="76"/>
    </row>
    <row r="261" spans="1:27" x14ac:dyDescent="0.25">
      <c r="A261" s="33">
        <f t="shared" si="20"/>
        <v>258</v>
      </c>
      <c r="B261" s="19">
        <v>17016</v>
      </c>
      <c r="C261" s="34" t="s">
        <v>805</v>
      </c>
      <c r="D261" s="19" t="s">
        <v>748</v>
      </c>
      <c r="E261" s="19" t="s">
        <v>394</v>
      </c>
      <c r="F261" s="19" t="s">
        <v>98</v>
      </c>
      <c r="G261" s="19" t="s">
        <v>346</v>
      </c>
      <c r="H261" s="19"/>
      <c r="I261" s="19"/>
      <c r="J261" s="19"/>
      <c r="K261" s="19"/>
      <c r="L261" s="19"/>
      <c r="M261" s="19"/>
      <c r="N261" s="19"/>
      <c r="O261" s="19"/>
      <c r="P261" s="19"/>
      <c r="Q261" s="19" t="s">
        <v>395</v>
      </c>
      <c r="R261" s="19">
        <v>1</v>
      </c>
      <c r="S261" s="19"/>
      <c r="T261" s="19">
        <v>1</v>
      </c>
      <c r="U261" s="20">
        <f t="shared" ref="U261:U262" si="36">Y261*1.1</f>
        <v>0.80300000000000005</v>
      </c>
      <c r="V261" s="19" t="s">
        <v>806</v>
      </c>
      <c r="W261" s="19" t="s">
        <v>750</v>
      </c>
      <c r="X261" s="19"/>
      <c r="Y261" s="21">
        <v>0.73</v>
      </c>
      <c r="Z261" s="92">
        <v>2.27</v>
      </c>
      <c r="AA261" s="92">
        <v>1.58</v>
      </c>
    </row>
    <row r="262" spans="1:27" x14ac:dyDescent="0.25">
      <c r="A262" s="33">
        <f t="shared" si="20"/>
        <v>259</v>
      </c>
      <c r="B262" s="19">
        <v>17016</v>
      </c>
      <c r="C262" s="34" t="s">
        <v>805</v>
      </c>
      <c r="D262" s="19" t="s">
        <v>748</v>
      </c>
      <c r="E262" s="19" t="s">
        <v>394</v>
      </c>
      <c r="F262" s="19" t="s">
        <v>98</v>
      </c>
      <c r="G262" s="19" t="s">
        <v>110</v>
      </c>
      <c r="H262" s="19"/>
      <c r="I262" s="19"/>
      <c r="J262" s="19"/>
      <c r="K262" s="19"/>
      <c r="L262" s="19"/>
      <c r="M262" s="19"/>
      <c r="N262" s="19"/>
      <c r="O262" s="19"/>
      <c r="P262" s="19"/>
      <c r="Q262" s="19" t="s">
        <v>395</v>
      </c>
      <c r="R262" s="19">
        <v>1</v>
      </c>
      <c r="S262" s="19"/>
      <c r="T262" s="19">
        <v>2</v>
      </c>
      <c r="U262" s="20">
        <f t="shared" si="36"/>
        <v>0.80300000000000005</v>
      </c>
      <c r="V262" s="19" t="s">
        <v>806</v>
      </c>
      <c r="W262" s="19" t="s">
        <v>750</v>
      </c>
      <c r="X262" s="19"/>
      <c r="Y262" s="21">
        <v>0.73</v>
      </c>
      <c r="Z262" s="92">
        <v>2.27</v>
      </c>
      <c r="AA262" s="92">
        <v>1.58</v>
      </c>
    </row>
    <row r="263" spans="1:27" x14ac:dyDescent="0.25">
      <c r="A263" s="33">
        <f t="shared" si="20"/>
        <v>260</v>
      </c>
      <c r="B263" s="210" t="s">
        <v>807</v>
      </c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1"/>
      <c r="X263" s="19"/>
      <c r="Y263" s="74"/>
      <c r="Z263" s="76"/>
      <c r="AA263" s="76"/>
    </row>
    <row r="264" spans="1:27" x14ac:dyDescent="0.25">
      <c r="A264" s="33">
        <f t="shared" si="20"/>
        <v>261</v>
      </c>
      <c r="B264" s="19">
        <v>17035</v>
      </c>
      <c r="C264" s="19" t="s">
        <v>808</v>
      </c>
      <c r="D264" s="19" t="s">
        <v>738</v>
      </c>
      <c r="E264" s="19" t="s">
        <v>394</v>
      </c>
      <c r="F264" s="19" t="s">
        <v>110</v>
      </c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 t="s">
        <v>395</v>
      </c>
      <c r="R264" s="19">
        <v>1</v>
      </c>
      <c r="S264" s="19"/>
      <c r="T264" s="19">
        <v>2</v>
      </c>
      <c r="U264" s="20">
        <f t="shared" ref="U264" si="37">Y264*1.1</f>
        <v>7.6999999999999999E-2</v>
      </c>
      <c r="V264" s="19" t="s">
        <v>809</v>
      </c>
      <c r="W264" s="19"/>
      <c r="X264" s="19"/>
      <c r="Y264" s="21">
        <v>6.9999999999999993E-2</v>
      </c>
      <c r="Z264" s="92">
        <v>1.3</v>
      </c>
      <c r="AA264" s="92">
        <v>1</v>
      </c>
    </row>
    <row r="265" spans="1:27" x14ac:dyDescent="0.25">
      <c r="A265" s="33">
        <f t="shared" si="20"/>
        <v>262</v>
      </c>
      <c r="B265" s="210" t="s">
        <v>810</v>
      </c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1"/>
      <c r="X265" s="19"/>
      <c r="Y265" s="74"/>
      <c r="Z265" s="76"/>
      <c r="AA265" s="76"/>
    </row>
    <row r="266" spans="1:27" x14ac:dyDescent="0.25">
      <c r="A266" s="33">
        <f t="shared" si="20"/>
        <v>263</v>
      </c>
      <c r="B266" s="19">
        <v>17049</v>
      </c>
      <c r="C266" s="19" t="s">
        <v>811</v>
      </c>
      <c r="D266" s="19" t="s">
        <v>738</v>
      </c>
      <c r="E266" s="19" t="s">
        <v>394</v>
      </c>
      <c r="F266" s="19" t="s">
        <v>110</v>
      </c>
      <c r="G266" s="19" t="s">
        <v>764</v>
      </c>
      <c r="H266" s="19" t="s">
        <v>546</v>
      </c>
      <c r="I266" s="19"/>
      <c r="J266" s="19"/>
      <c r="K266" s="19"/>
      <c r="L266" s="19"/>
      <c r="M266" s="19"/>
      <c r="N266" s="19"/>
      <c r="O266" s="19"/>
      <c r="P266" s="19"/>
      <c r="Q266" s="19" t="s">
        <v>395</v>
      </c>
      <c r="R266" s="19">
        <v>1</v>
      </c>
      <c r="S266" s="19"/>
      <c r="T266" s="19">
        <v>2</v>
      </c>
      <c r="U266" s="20">
        <f t="shared" ref="U266" si="38">Y266*1.1</f>
        <v>1.1000000000000001E-2</v>
      </c>
      <c r="V266" s="19" t="s">
        <v>812</v>
      </c>
      <c r="W266" s="19"/>
      <c r="X266" s="19"/>
      <c r="Y266" s="21">
        <v>0.01</v>
      </c>
      <c r="Z266" s="92">
        <v>1.3</v>
      </c>
      <c r="AA266" s="92">
        <v>1</v>
      </c>
    </row>
    <row r="267" spans="1:27" x14ac:dyDescent="0.25">
      <c r="A267" s="33">
        <f t="shared" si="20"/>
        <v>264</v>
      </c>
      <c r="B267" s="210" t="s">
        <v>813</v>
      </c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1"/>
      <c r="X267" s="19"/>
      <c r="Y267" s="74"/>
      <c r="Z267" s="76"/>
      <c r="AA267" s="76"/>
    </row>
    <row r="268" spans="1:27" x14ac:dyDescent="0.25">
      <c r="A268" s="33">
        <f t="shared" si="20"/>
        <v>265</v>
      </c>
      <c r="B268" s="19" t="s">
        <v>814</v>
      </c>
      <c r="C268" s="19" t="s">
        <v>815</v>
      </c>
      <c r="D268" s="19" t="s">
        <v>800</v>
      </c>
      <c r="E268" s="19" t="s">
        <v>394</v>
      </c>
      <c r="F268" s="19" t="s">
        <v>110</v>
      </c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 t="s">
        <v>395</v>
      </c>
      <c r="R268" s="19">
        <v>1</v>
      </c>
      <c r="S268" s="19"/>
      <c r="T268" s="19">
        <v>2</v>
      </c>
      <c r="U268" s="20">
        <f t="shared" ref="U268" si="39">Y268*1.1</f>
        <v>0.27500000000000002</v>
      </c>
      <c r="V268" s="19" t="s">
        <v>816</v>
      </c>
      <c r="W268" s="19"/>
      <c r="X268" s="19"/>
      <c r="Y268" s="21">
        <v>0.25</v>
      </c>
      <c r="Z268" s="92">
        <v>1.3</v>
      </c>
      <c r="AA268" s="92">
        <v>1</v>
      </c>
    </row>
    <row r="269" spans="1:27" x14ac:dyDescent="0.25">
      <c r="A269" s="33">
        <f t="shared" si="20"/>
        <v>266</v>
      </c>
      <c r="B269" s="210" t="s">
        <v>817</v>
      </c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1"/>
      <c r="X269" s="19"/>
      <c r="Y269" s="74"/>
      <c r="Z269" s="76"/>
      <c r="AA269" s="76"/>
    </row>
    <row r="270" spans="1:27" x14ac:dyDescent="0.25">
      <c r="A270" s="33">
        <f t="shared" si="20"/>
        <v>267</v>
      </c>
      <c r="B270" s="19">
        <v>17806</v>
      </c>
      <c r="C270" s="19" t="s">
        <v>818</v>
      </c>
      <c r="D270" s="19" t="s">
        <v>549</v>
      </c>
      <c r="E270" s="19" t="s">
        <v>394</v>
      </c>
      <c r="F270" s="19" t="s">
        <v>550</v>
      </c>
      <c r="G270" s="19" t="s">
        <v>110</v>
      </c>
      <c r="H270" s="19"/>
      <c r="I270" s="19"/>
      <c r="J270" s="19"/>
      <c r="K270" s="19"/>
      <c r="L270" s="19"/>
      <c r="M270" s="19"/>
      <c r="N270" s="19"/>
      <c r="O270" s="19"/>
      <c r="P270" s="19"/>
      <c r="Q270" s="19" t="s">
        <v>395</v>
      </c>
      <c r="R270" s="19">
        <v>1</v>
      </c>
      <c r="S270" s="19"/>
      <c r="T270" s="19">
        <v>2</v>
      </c>
      <c r="U270" s="20">
        <f t="shared" ref="U270:U271" si="40">Y270*1.1</f>
        <v>5.5000000000000007E-2</v>
      </c>
      <c r="V270" s="19" t="s">
        <v>819</v>
      </c>
      <c r="W270" s="19"/>
      <c r="X270" s="19"/>
      <c r="Y270" s="21">
        <v>0.05</v>
      </c>
      <c r="Z270" s="92">
        <v>1.3</v>
      </c>
      <c r="AA270" s="92" t="e">
        <v>#N/A</v>
      </c>
    </row>
    <row r="271" spans="1:27" x14ac:dyDescent="0.25">
      <c r="A271" s="33">
        <f t="shared" si="20"/>
        <v>268</v>
      </c>
      <c r="B271" s="19">
        <v>17806</v>
      </c>
      <c r="C271" s="19" t="s">
        <v>818</v>
      </c>
      <c r="D271" s="19" t="s">
        <v>549</v>
      </c>
      <c r="E271" s="19" t="s">
        <v>394</v>
      </c>
      <c r="F271" s="19" t="s">
        <v>550</v>
      </c>
      <c r="G271" s="19" t="s">
        <v>346</v>
      </c>
      <c r="H271" s="19"/>
      <c r="I271" s="19"/>
      <c r="J271" s="19"/>
      <c r="K271" s="19"/>
      <c r="L271" s="19"/>
      <c r="M271" s="19"/>
      <c r="N271" s="19"/>
      <c r="O271" s="19"/>
      <c r="P271" s="19"/>
      <c r="Q271" s="19" t="s">
        <v>395</v>
      </c>
      <c r="R271" s="19">
        <v>1</v>
      </c>
      <c r="S271" s="19"/>
      <c r="T271" s="19">
        <v>1</v>
      </c>
      <c r="U271" s="20">
        <f t="shared" si="40"/>
        <v>5.5000000000000007E-2</v>
      </c>
      <c r="V271" s="19" t="s">
        <v>819</v>
      </c>
      <c r="W271" s="19"/>
      <c r="X271" s="19"/>
      <c r="Y271" s="21">
        <v>0.05</v>
      </c>
      <c r="Z271" s="92">
        <v>1.3</v>
      </c>
      <c r="AA271" s="92" t="e">
        <v>#N/A</v>
      </c>
    </row>
    <row r="272" spans="1:27" x14ac:dyDescent="0.25">
      <c r="A272" s="33">
        <f t="shared" si="20"/>
        <v>269</v>
      </c>
      <c r="B272" s="210" t="s">
        <v>820</v>
      </c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1"/>
      <c r="X272" s="19"/>
      <c r="Y272" s="74"/>
      <c r="Z272" s="76"/>
      <c r="AA272" s="76"/>
    </row>
    <row r="273" spans="1:27" x14ac:dyDescent="0.25">
      <c r="A273" s="33">
        <f t="shared" si="20"/>
        <v>270</v>
      </c>
      <c r="B273" s="19">
        <v>17810</v>
      </c>
      <c r="C273" s="19" t="s">
        <v>821</v>
      </c>
      <c r="D273" s="19" t="s">
        <v>541</v>
      </c>
      <c r="E273" s="19" t="s">
        <v>240</v>
      </c>
      <c r="F273" s="19" t="s">
        <v>361</v>
      </c>
      <c r="G273" s="19" t="s">
        <v>110</v>
      </c>
      <c r="H273" s="19"/>
      <c r="I273" s="19"/>
      <c r="J273" s="19"/>
      <c r="K273" s="19"/>
      <c r="L273" s="19"/>
      <c r="M273" s="19"/>
      <c r="N273" s="19"/>
      <c r="O273" s="19"/>
      <c r="P273" s="19"/>
      <c r="Q273" s="19" t="s">
        <v>395</v>
      </c>
      <c r="R273" s="19">
        <v>1</v>
      </c>
      <c r="S273" s="19"/>
      <c r="T273" s="19">
        <v>2</v>
      </c>
      <c r="U273" s="20">
        <f t="shared" ref="U273" si="41">Y273*1.1</f>
        <v>5.5000000000000007E-2</v>
      </c>
      <c r="V273" s="19" t="s">
        <v>822</v>
      </c>
      <c r="W273" s="19"/>
      <c r="X273" s="19"/>
      <c r="Y273" s="21">
        <v>0.05</v>
      </c>
      <c r="Z273" s="92">
        <v>1.3</v>
      </c>
      <c r="AA273" s="92" t="e">
        <v>#N/A</v>
      </c>
    </row>
    <row r="274" spans="1:27" x14ac:dyDescent="0.25">
      <c r="A274" s="33">
        <f t="shared" si="20"/>
        <v>271</v>
      </c>
      <c r="B274" s="210" t="s">
        <v>823</v>
      </c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1"/>
      <c r="X274" s="19"/>
      <c r="Y274" s="74"/>
      <c r="Z274" s="76"/>
      <c r="AA274" s="76"/>
    </row>
    <row r="275" spans="1:27" x14ac:dyDescent="0.25">
      <c r="A275" s="33">
        <f t="shared" si="20"/>
        <v>272</v>
      </c>
      <c r="B275" s="19">
        <v>17811</v>
      </c>
      <c r="C275" s="19" t="s">
        <v>824</v>
      </c>
      <c r="D275" s="19" t="s">
        <v>738</v>
      </c>
      <c r="E275" s="19" t="s">
        <v>240</v>
      </c>
      <c r="F275" s="19" t="s">
        <v>361</v>
      </c>
      <c r="G275" s="19" t="s">
        <v>110</v>
      </c>
      <c r="H275" s="19"/>
      <c r="I275" s="19"/>
      <c r="J275" s="19"/>
      <c r="K275" s="19"/>
      <c r="L275" s="19"/>
      <c r="M275" s="19"/>
      <c r="N275" s="19"/>
      <c r="O275" s="19"/>
      <c r="P275" s="19"/>
      <c r="Q275" s="19" t="s">
        <v>395</v>
      </c>
      <c r="R275" s="19">
        <v>1</v>
      </c>
      <c r="S275" s="19"/>
      <c r="T275" s="19">
        <v>2</v>
      </c>
      <c r="U275" s="20">
        <f t="shared" ref="U275" si="42">Y275*1.1</f>
        <v>5.5000000000000007E-2</v>
      </c>
      <c r="V275" s="19" t="s">
        <v>825</v>
      </c>
      <c r="W275" s="19"/>
      <c r="X275" s="19"/>
      <c r="Y275" s="21">
        <v>0.05</v>
      </c>
      <c r="Z275" s="92">
        <v>1.3</v>
      </c>
      <c r="AA275" s="92">
        <v>1</v>
      </c>
    </row>
    <row r="276" spans="1:27" x14ac:dyDescent="0.25">
      <c r="A276" s="33">
        <f t="shared" si="20"/>
        <v>273</v>
      </c>
      <c r="B276" s="210" t="s">
        <v>826</v>
      </c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1"/>
      <c r="X276" s="19"/>
      <c r="Y276" s="74"/>
      <c r="Z276" s="76"/>
      <c r="AA276" s="76"/>
    </row>
    <row r="277" spans="1:27" x14ac:dyDescent="0.25">
      <c r="A277" s="33">
        <f t="shared" si="20"/>
        <v>274</v>
      </c>
      <c r="B277" s="19" t="s">
        <v>827</v>
      </c>
      <c r="C277" s="19" t="s">
        <v>828</v>
      </c>
      <c r="D277" s="19" t="s">
        <v>829</v>
      </c>
      <c r="E277" s="19" t="s">
        <v>240</v>
      </c>
      <c r="F277" s="19" t="s">
        <v>157</v>
      </c>
      <c r="G277" s="19" t="s">
        <v>110</v>
      </c>
      <c r="H277" s="19"/>
      <c r="I277" s="19"/>
      <c r="J277" s="19"/>
      <c r="K277" s="19"/>
      <c r="L277" s="19"/>
      <c r="M277" s="19"/>
      <c r="N277" s="19"/>
      <c r="O277" s="19"/>
      <c r="P277" s="19"/>
      <c r="Q277" s="19" t="s">
        <v>395</v>
      </c>
      <c r="R277" s="19">
        <v>1</v>
      </c>
      <c r="S277" s="19"/>
      <c r="T277" s="19">
        <v>2</v>
      </c>
      <c r="U277" s="20">
        <f t="shared" ref="U277" si="43">Y277*1.1</f>
        <v>5.5000000000000007E-2</v>
      </c>
      <c r="V277" s="19" t="s">
        <v>830</v>
      </c>
      <c r="W277" s="19"/>
      <c r="X277" s="19"/>
      <c r="Y277" s="21">
        <v>0.05</v>
      </c>
      <c r="Z277" s="92">
        <v>1.3</v>
      </c>
      <c r="AA277" s="92">
        <v>1</v>
      </c>
    </row>
    <row r="278" spans="1:27" x14ac:dyDescent="0.25">
      <c r="A278" s="33">
        <f t="shared" si="20"/>
        <v>275</v>
      </c>
      <c r="B278" s="210" t="s">
        <v>831</v>
      </c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1"/>
      <c r="X278" s="19"/>
      <c r="Y278" s="74"/>
      <c r="Z278" s="76"/>
      <c r="AA278" s="76"/>
    </row>
    <row r="279" spans="1:27" x14ac:dyDescent="0.25">
      <c r="A279" s="33">
        <f t="shared" si="20"/>
        <v>276</v>
      </c>
      <c r="B279" s="19">
        <v>17097</v>
      </c>
      <c r="C279" s="19" t="s">
        <v>832</v>
      </c>
      <c r="D279" s="19" t="s">
        <v>549</v>
      </c>
      <c r="E279" s="19" t="s">
        <v>240</v>
      </c>
      <c r="F279" s="19" t="s">
        <v>361</v>
      </c>
      <c r="G279" s="19" t="s">
        <v>110</v>
      </c>
      <c r="H279" s="19"/>
      <c r="I279" s="19"/>
      <c r="J279" s="19"/>
      <c r="K279" s="19"/>
      <c r="L279" s="19"/>
      <c r="M279" s="19" t="s">
        <v>103</v>
      </c>
      <c r="N279" s="19"/>
      <c r="O279" s="19"/>
      <c r="P279" s="19"/>
      <c r="Q279" s="19" t="s">
        <v>395</v>
      </c>
      <c r="R279" s="19">
        <v>1</v>
      </c>
      <c r="S279" s="19"/>
      <c r="T279" s="19">
        <v>1</v>
      </c>
      <c r="U279" s="20">
        <f t="shared" ref="U279" si="44">Y279*1.1</f>
        <v>5.5000000000000007E-2</v>
      </c>
      <c r="V279" s="19" t="s">
        <v>833</v>
      </c>
      <c r="W279" s="19"/>
      <c r="X279" s="19"/>
      <c r="Y279" s="21">
        <v>0.05</v>
      </c>
      <c r="Z279" s="92">
        <v>1.3</v>
      </c>
      <c r="AA279" s="92">
        <v>1</v>
      </c>
    </row>
    <row r="280" spans="1:27" x14ac:dyDescent="0.25">
      <c r="A280" s="33">
        <f t="shared" si="20"/>
        <v>277</v>
      </c>
      <c r="B280" s="210" t="s">
        <v>834</v>
      </c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1"/>
      <c r="X280" s="19"/>
      <c r="Y280" s="74"/>
      <c r="Z280" s="76"/>
      <c r="AA280" s="76"/>
    </row>
    <row r="281" spans="1:27" x14ac:dyDescent="0.25">
      <c r="A281" s="33">
        <f t="shared" ref="A281" si="45">ROW()-3</f>
        <v>278</v>
      </c>
      <c r="B281" s="19" t="s">
        <v>835</v>
      </c>
      <c r="C281" s="19" t="s">
        <v>836</v>
      </c>
      <c r="D281" s="19" t="s">
        <v>829</v>
      </c>
      <c r="E281" s="19" t="s">
        <v>240</v>
      </c>
      <c r="F281" s="19" t="s">
        <v>171</v>
      </c>
      <c r="G281" s="19" t="s">
        <v>110</v>
      </c>
      <c r="H281" s="19"/>
      <c r="I281" s="19"/>
      <c r="J281" s="19"/>
      <c r="K281" s="19"/>
      <c r="L281" s="19"/>
      <c r="M281" s="19"/>
      <c r="N281" s="19"/>
      <c r="O281" s="19"/>
      <c r="P281" s="19"/>
      <c r="Q281" s="19" t="s">
        <v>395</v>
      </c>
      <c r="R281" s="19">
        <v>1</v>
      </c>
      <c r="S281" s="19"/>
      <c r="T281" s="19">
        <v>2</v>
      </c>
      <c r="U281" s="20">
        <f t="shared" ref="U281" si="46">Y281*1.1</f>
        <v>5.5000000000000007E-2</v>
      </c>
      <c r="V281" s="19" t="s">
        <v>837</v>
      </c>
      <c r="W281" s="19"/>
      <c r="X281" s="19"/>
      <c r="Y281" s="21">
        <v>0.05</v>
      </c>
      <c r="Z281" s="92">
        <v>1.3</v>
      </c>
      <c r="AA281" s="92">
        <v>1</v>
      </c>
    </row>
    <row r="282" spans="1:27" x14ac:dyDescent="0.25">
      <c r="A282" s="33">
        <f t="shared" ref="A282:A337" si="47">ROW()-3</f>
        <v>279</v>
      </c>
      <c r="B282" s="210" t="s">
        <v>838</v>
      </c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1"/>
      <c r="X282" s="19"/>
      <c r="Y282" s="74"/>
      <c r="Z282" s="76"/>
      <c r="AA282" s="76"/>
    </row>
    <row r="283" spans="1:27" x14ac:dyDescent="0.25">
      <c r="A283" s="33">
        <f t="shared" si="47"/>
        <v>280</v>
      </c>
      <c r="B283" s="19">
        <v>17063</v>
      </c>
      <c r="C283" s="19" t="s">
        <v>839</v>
      </c>
      <c r="D283" s="19" t="s">
        <v>738</v>
      </c>
      <c r="E283" s="19" t="s">
        <v>394</v>
      </c>
      <c r="F283" s="19" t="s">
        <v>550</v>
      </c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 t="s">
        <v>395</v>
      </c>
      <c r="R283" s="19">
        <v>1</v>
      </c>
      <c r="S283" s="19"/>
      <c r="T283" s="19">
        <v>2</v>
      </c>
      <c r="U283" s="20">
        <f t="shared" ref="U283:U284" si="48">Y283*1.1</f>
        <v>4.4000000000000004E-2</v>
      </c>
      <c r="V283" s="19" t="s">
        <v>840</v>
      </c>
      <c r="W283" s="19"/>
      <c r="X283" s="19"/>
      <c r="Y283" s="21">
        <v>0.04</v>
      </c>
      <c r="Z283" s="92">
        <v>1.3</v>
      </c>
      <c r="AA283" s="92">
        <v>1</v>
      </c>
    </row>
    <row r="284" spans="1:27" x14ac:dyDescent="0.25">
      <c r="A284" s="33">
        <f t="shared" si="47"/>
        <v>281</v>
      </c>
      <c r="B284" s="19" t="s">
        <v>841</v>
      </c>
      <c r="C284" s="19" t="s">
        <v>842</v>
      </c>
      <c r="D284" s="19" t="s">
        <v>800</v>
      </c>
      <c r="E284" s="19" t="s">
        <v>394</v>
      </c>
      <c r="F284" s="19" t="s">
        <v>550</v>
      </c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 t="s">
        <v>395</v>
      </c>
      <c r="R284" s="19">
        <v>1</v>
      </c>
      <c r="S284" s="19"/>
      <c r="T284" s="19">
        <v>2</v>
      </c>
      <c r="U284" s="20">
        <f t="shared" si="48"/>
        <v>1.9910000000000003</v>
      </c>
      <c r="V284" s="19" t="s">
        <v>843</v>
      </c>
      <c r="W284" s="19"/>
      <c r="X284" s="19"/>
      <c r="Y284" s="21">
        <v>1.81</v>
      </c>
      <c r="Z284" s="92">
        <v>1.5</v>
      </c>
      <c r="AA284" s="92">
        <v>1.5</v>
      </c>
    </row>
    <row r="285" spans="1:27" x14ac:dyDescent="0.25">
      <c r="A285" s="33">
        <f t="shared" si="47"/>
        <v>282</v>
      </c>
      <c r="B285" s="210" t="s">
        <v>844</v>
      </c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1"/>
      <c r="X285" s="19"/>
      <c r="Y285" s="74"/>
      <c r="Z285" s="76"/>
      <c r="AA285" s="76"/>
    </row>
    <row r="286" spans="1:27" x14ac:dyDescent="0.25">
      <c r="A286" s="33">
        <f t="shared" si="47"/>
        <v>283</v>
      </c>
      <c r="B286" s="19">
        <v>17804</v>
      </c>
      <c r="C286" s="19" t="s">
        <v>845</v>
      </c>
      <c r="D286" s="19" t="s">
        <v>393</v>
      </c>
      <c r="E286" s="19" t="s">
        <v>394</v>
      </c>
      <c r="F286" s="19" t="s">
        <v>122</v>
      </c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 t="s">
        <v>395</v>
      </c>
      <c r="R286" s="19">
        <v>1</v>
      </c>
      <c r="S286" s="19"/>
      <c r="T286" s="19">
        <v>4</v>
      </c>
      <c r="U286" s="20">
        <f t="shared" ref="U286" si="49">Y286*1.1</f>
        <v>3.3000000000000002E-2</v>
      </c>
      <c r="V286" s="19" t="s">
        <v>846</v>
      </c>
      <c r="W286" s="19"/>
      <c r="X286" s="19"/>
      <c r="Y286" s="21">
        <v>0.03</v>
      </c>
      <c r="Z286" s="92">
        <v>1.3</v>
      </c>
      <c r="AA286" s="92">
        <v>1</v>
      </c>
    </row>
    <row r="287" spans="1:27" x14ac:dyDescent="0.25">
      <c r="A287" s="33">
        <f t="shared" si="47"/>
        <v>284</v>
      </c>
      <c r="B287" s="210" t="s">
        <v>847</v>
      </c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1"/>
      <c r="X287" s="19"/>
      <c r="Y287" s="74"/>
      <c r="Z287" s="76"/>
      <c r="AA287" s="76"/>
    </row>
    <row r="288" spans="1:27" x14ac:dyDescent="0.25">
      <c r="A288" s="33">
        <f t="shared" si="47"/>
        <v>285</v>
      </c>
      <c r="B288" s="19" t="s">
        <v>848</v>
      </c>
      <c r="C288" s="19" t="s">
        <v>849</v>
      </c>
      <c r="D288" s="19" t="s">
        <v>792</v>
      </c>
      <c r="E288" s="19" t="s">
        <v>850</v>
      </c>
      <c r="F288" s="19" t="s">
        <v>851</v>
      </c>
      <c r="G288" s="19"/>
      <c r="H288" s="19">
        <v>12</v>
      </c>
      <c r="I288" s="19"/>
      <c r="J288" s="19"/>
      <c r="K288" s="19"/>
      <c r="L288" s="19"/>
      <c r="M288" s="19"/>
      <c r="N288" s="19"/>
      <c r="O288" s="19"/>
      <c r="P288" s="19"/>
      <c r="Q288" s="19" t="s">
        <v>395</v>
      </c>
      <c r="R288" s="19">
        <v>1</v>
      </c>
      <c r="S288" s="19"/>
      <c r="T288" s="19">
        <v>1</v>
      </c>
      <c r="U288" s="20">
        <f t="shared" ref="U288:U296" si="50">Y288*1.1</f>
        <v>0.24200000000000002</v>
      </c>
      <c r="V288" s="19" t="s">
        <v>852</v>
      </c>
      <c r="W288" s="19"/>
      <c r="X288" s="19"/>
      <c r="Y288" s="21">
        <v>0.22</v>
      </c>
      <c r="Z288" s="92">
        <v>1.3</v>
      </c>
      <c r="AA288" s="92">
        <v>1</v>
      </c>
    </row>
    <row r="289" spans="1:27" x14ac:dyDescent="0.25">
      <c r="A289" s="33">
        <f t="shared" si="47"/>
        <v>286</v>
      </c>
      <c r="B289" s="19" t="s">
        <v>848</v>
      </c>
      <c r="C289" s="19" t="s">
        <v>853</v>
      </c>
      <c r="D289" s="19" t="s">
        <v>792</v>
      </c>
      <c r="E289" s="19" t="s">
        <v>850</v>
      </c>
      <c r="F289" s="19" t="s">
        <v>851</v>
      </c>
      <c r="G289" s="19"/>
      <c r="H289" s="19">
        <v>18</v>
      </c>
      <c r="I289" s="19"/>
      <c r="J289" s="19"/>
      <c r="K289" s="19"/>
      <c r="L289" s="19"/>
      <c r="M289" s="19"/>
      <c r="N289" s="19"/>
      <c r="O289" s="19"/>
      <c r="P289" s="19"/>
      <c r="Q289" s="19" t="s">
        <v>395</v>
      </c>
      <c r="R289" s="19">
        <v>1</v>
      </c>
      <c r="S289" s="19"/>
      <c r="T289" s="19">
        <v>1</v>
      </c>
      <c r="U289" s="20">
        <f t="shared" si="50"/>
        <v>0.35200000000000004</v>
      </c>
      <c r="V289" s="19" t="s">
        <v>854</v>
      </c>
      <c r="W289" s="19"/>
      <c r="X289" s="19"/>
      <c r="Y289" s="21">
        <v>0.32</v>
      </c>
      <c r="Z289" s="92">
        <v>1.3</v>
      </c>
      <c r="AA289" s="92">
        <v>1</v>
      </c>
    </row>
    <row r="290" spans="1:27" x14ac:dyDescent="0.25">
      <c r="A290" s="33">
        <f t="shared" si="47"/>
        <v>287</v>
      </c>
      <c r="B290" s="19" t="s">
        <v>848</v>
      </c>
      <c r="C290" s="19" t="s">
        <v>855</v>
      </c>
      <c r="D290" s="19" t="s">
        <v>792</v>
      </c>
      <c r="E290" s="19" t="s">
        <v>850</v>
      </c>
      <c r="F290" s="19" t="s">
        <v>851</v>
      </c>
      <c r="G290" s="19"/>
      <c r="H290" s="19">
        <v>24</v>
      </c>
      <c r="I290" s="19"/>
      <c r="J290" s="19"/>
      <c r="K290" s="19"/>
      <c r="L290" s="19"/>
      <c r="M290" s="19"/>
      <c r="N290" s="19"/>
      <c r="O290" s="19"/>
      <c r="P290" s="19"/>
      <c r="Q290" s="19" t="s">
        <v>395</v>
      </c>
      <c r="R290" s="19">
        <v>1</v>
      </c>
      <c r="S290" s="19"/>
      <c r="T290" s="19">
        <v>1</v>
      </c>
      <c r="U290" s="20">
        <f t="shared" si="50"/>
        <v>0.46200000000000002</v>
      </c>
      <c r="V290" s="19" t="s">
        <v>856</v>
      </c>
      <c r="W290" s="19"/>
      <c r="X290" s="19"/>
      <c r="Y290" s="21">
        <v>0.42</v>
      </c>
      <c r="Z290" s="92">
        <v>1.3</v>
      </c>
      <c r="AA290" s="92">
        <v>1</v>
      </c>
    </row>
    <row r="291" spans="1:27" x14ac:dyDescent="0.25">
      <c r="A291" s="33">
        <f t="shared" si="47"/>
        <v>288</v>
      </c>
      <c r="B291" s="19" t="s">
        <v>848</v>
      </c>
      <c r="C291" s="19" t="s">
        <v>857</v>
      </c>
      <c r="D291" s="19" t="s">
        <v>792</v>
      </c>
      <c r="E291" s="19" t="s">
        <v>850</v>
      </c>
      <c r="F291" s="19" t="s">
        <v>851</v>
      </c>
      <c r="G291" s="19"/>
      <c r="H291" s="19">
        <v>30</v>
      </c>
      <c r="I291" s="19"/>
      <c r="J291" s="19"/>
      <c r="K291" s="19"/>
      <c r="L291" s="19"/>
      <c r="M291" s="19"/>
      <c r="N291" s="19"/>
      <c r="O291" s="19"/>
      <c r="P291" s="19"/>
      <c r="Q291" s="19" t="s">
        <v>395</v>
      </c>
      <c r="R291" s="19">
        <v>1</v>
      </c>
      <c r="S291" s="19"/>
      <c r="T291" s="19">
        <v>1</v>
      </c>
      <c r="U291" s="20">
        <f t="shared" si="50"/>
        <v>0.57200000000000006</v>
      </c>
      <c r="V291" s="19" t="s">
        <v>858</v>
      </c>
      <c r="W291" s="19"/>
      <c r="X291" s="19"/>
      <c r="Y291" s="21">
        <v>0.52</v>
      </c>
      <c r="Z291" s="92">
        <v>1.3</v>
      </c>
      <c r="AA291" s="92">
        <v>1</v>
      </c>
    </row>
    <row r="292" spans="1:27" x14ac:dyDescent="0.25">
      <c r="A292" s="33">
        <f t="shared" si="47"/>
        <v>289</v>
      </c>
      <c r="B292" s="19" t="s">
        <v>848</v>
      </c>
      <c r="C292" s="19" t="s">
        <v>859</v>
      </c>
      <c r="D292" s="19" t="s">
        <v>792</v>
      </c>
      <c r="E292" s="19" t="s">
        <v>850</v>
      </c>
      <c r="F292" s="19" t="s">
        <v>851</v>
      </c>
      <c r="G292" s="19"/>
      <c r="H292" s="19">
        <v>36</v>
      </c>
      <c r="I292" s="19"/>
      <c r="J292" s="19"/>
      <c r="K292" s="19"/>
      <c r="L292" s="19"/>
      <c r="M292" s="19"/>
      <c r="N292" s="19"/>
      <c r="O292" s="19"/>
      <c r="P292" s="19"/>
      <c r="Q292" s="19" t="s">
        <v>395</v>
      </c>
      <c r="R292" s="19">
        <v>1</v>
      </c>
      <c r="S292" s="19"/>
      <c r="T292" s="19">
        <v>1</v>
      </c>
      <c r="U292" s="20">
        <f t="shared" si="50"/>
        <v>0.68200000000000005</v>
      </c>
      <c r="V292" s="19" t="s">
        <v>860</v>
      </c>
      <c r="W292" s="19"/>
      <c r="X292" s="19"/>
      <c r="Y292" s="21">
        <v>0.62</v>
      </c>
      <c r="Z292" s="92">
        <v>1.3</v>
      </c>
      <c r="AA292" s="92">
        <v>1</v>
      </c>
    </row>
    <row r="293" spans="1:27" x14ac:dyDescent="0.25">
      <c r="A293" s="33">
        <f t="shared" si="47"/>
        <v>290</v>
      </c>
      <c r="B293" s="19" t="s">
        <v>848</v>
      </c>
      <c r="C293" s="19" t="s">
        <v>861</v>
      </c>
      <c r="D293" s="19" t="s">
        <v>792</v>
      </c>
      <c r="E293" s="19" t="s">
        <v>850</v>
      </c>
      <c r="F293" s="19" t="s">
        <v>851</v>
      </c>
      <c r="G293" s="19"/>
      <c r="H293" s="19">
        <v>42</v>
      </c>
      <c r="I293" s="19"/>
      <c r="J293" s="19"/>
      <c r="K293" s="19"/>
      <c r="L293" s="19"/>
      <c r="M293" s="19"/>
      <c r="N293" s="19"/>
      <c r="O293" s="19"/>
      <c r="P293" s="19"/>
      <c r="Q293" s="19" t="s">
        <v>395</v>
      </c>
      <c r="R293" s="19">
        <v>1</v>
      </c>
      <c r="S293" s="19"/>
      <c r="T293" s="19">
        <v>1</v>
      </c>
      <c r="U293" s="20">
        <f t="shared" si="50"/>
        <v>0.79200000000000004</v>
      </c>
      <c r="V293" s="19" t="s">
        <v>862</v>
      </c>
      <c r="W293" s="19"/>
      <c r="X293" s="19"/>
      <c r="Y293" s="21">
        <v>0.72</v>
      </c>
      <c r="Z293" s="92">
        <v>1.3</v>
      </c>
      <c r="AA293" s="92">
        <v>1</v>
      </c>
    </row>
    <row r="294" spans="1:27" x14ac:dyDescent="0.25">
      <c r="A294" s="33">
        <f t="shared" si="47"/>
        <v>291</v>
      </c>
      <c r="B294" s="19" t="s">
        <v>848</v>
      </c>
      <c r="C294" s="19" t="s">
        <v>863</v>
      </c>
      <c r="D294" s="19" t="s">
        <v>792</v>
      </c>
      <c r="E294" s="19" t="s">
        <v>850</v>
      </c>
      <c r="F294" s="19" t="s">
        <v>851</v>
      </c>
      <c r="G294" s="19"/>
      <c r="H294" s="19">
        <v>48</v>
      </c>
      <c r="I294" s="19"/>
      <c r="J294" s="19"/>
      <c r="K294" s="19"/>
      <c r="L294" s="19"/>
      <c r="M294" s="19"/>
      <c r="N294" s="19"/>
      <c r="O294" s="19"/>
      <c r="P294" s="19"/>
      <c r="Q294" s="19" t="s">
        <v>395</v>
      </c>
      <c r="R294" s="19">
        <v>1</v>
      </c>
      <c r="S294" s="19"/>
      <c r="T294" s="19">
        <v>1</v>
      </c>
      <c r="U294" s="20">
        <f t="shared" si="50"/>
        <v>0.90200000000000002</v>
      </c>
      <c r="V294" s="19" t="s">
        <v>864</v>
      </c>
      <c r="W294" s="19"/>
      <c r="X294" s="19"/>
      <c r="Y294" s="21">
        <v>0.82</v>
      </c>
      <c r="Z294" s="92">
        <v>1.3</v>
      </c>
      <c r="AA294" s="92">
        <v>1</v>
      </c>
    </row>
    <row r="295" spans="1:27" x14ac:dyDescent="0.25">
      <c r="A295" s="33">
        <f t="shared" si="47"/>
        <v>292</v>
      </c>
      <c r="B295" s="19" t="s">
        <v>848</v>
      </c>
      <c r="C295" s="19" t="s">
        <v>865</v>
      </c>
      <c r="D295" s="19" t="s">
        <v>792</v>
      </c>
      <c r="E295" s="19" t="s">
        <v>850</v>
      </c>
      <c r="F295" s="19" t="s">
        <v>851</v>
      </c>
      <c r="G295" s="19"/>
      <c r="H295" s="19">
        <v>54</v>
      </c>
      <c r="I295" s="19"/>
      <c r="J295" s="19"/>
      <c r="K295" s="19"/>
      <c r="L295" s="19"/>
      <c r="M295" s="19"/>
      <c r="N295" s="19"/>
      <c r="O295" s="19"/>
      <c r="P295" s="19"/>
      <c r="Q295" s="19" t="s">
        <v>395</v>
      </c>
      <c r="R295" s="19">
        <v>1</v>
      </c>
      <c r="S295" s="19"/>
      <c r="T295" s="19">
        <v>1</v>
      </c>
      <c r="U295" s="20">
        <f t="shared" si="50"/>
        <v>1.0120000000000002</v>
      </c>
      <c r="V295" s="19" t="s">
        <v>866</v>
      </c>
      <c r="W295" s="19"/>
      <c r="X295" s="19"/>
      <c r="Y295" s="21">
        <v>0.92</v>
      </c>
      <c r="Z295" s="92">
        <v>1.3</v>
      </c>
      <c r="AA295" s="92">
        <v>1</v>
      </c>
    </row>
    <row r="296" spans="1:27" x14ac:dyDescent="0.25">
      <c r="A296" s="33">
        <f t="shared" si="47"/>
        <v>293</v>
      </c>
      <c r="B296" s="19" t="s">
        <v>848</v>
      </c>
      <c r="C296" s="19" t="s">
        <v>867</v>
      </c>
      <c r="D296" s="19" t="s">
        <v>792</v>
      </c>
      <c r="E296" s="19" t="s">
        <v>850</v>
      </c>
      <c r="F296" s="19" t="s">
        <v>851</v>
      </c>
      <c r="G296" s="19"/>
      <c r="H296" s="19">
        <v>60</v>
      </c>
      <c r="I296" s="19"/>
      <c r="J296" s="19"/>
      <c r="K296" s="19"/>
      <c r="L296" s="19"/>
      <c r="M296" s="19"/>
      <c r="N296" s="19"/>
      <c r="O296" s="19"/>
      <c r="P296" s="19"/>
      <c r="Q296" s="19" t="s">
        <v>395</v>
      </c>
      <c r="R296" s="19">
        <v>1</v>
      </c>
      <c r="S296" s="19"/>
      <c r="T296" s="19">
        <v>1</v>
      </c>
      <c r="U296" s="20">
        <f t="shared" si="50"/>
        <v>1.1220000000000001</v>
      </c>
      <c r="V296" s="19" t="s">
        <v>868</v>
      </c>
      <c r="W296" s="19"/>
      <c r="X296" s="19"/>
      <c r="Y296" s="21">
        <v>1.02</v>
      </c>
      <c r="Z296" s="92">
        <v>1.3</v>
      </c>
      <c r="AA296" s="92">
        <v>1</v>
      </c>
    </row>
    <row r="297" spans="1:27" x14ac:dyDescent="0.25">
      <c r="A297" s="33">
        <f t="shared" si="47"/>
        <v>294</v>
      </c>
      <c r="B297" s="210" t="s">
        <v>869</v>
      </c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1"/>
      <c r="X297" s="19"/>
      <c r="Y297" s="74"/>
      <c r="Z297" s="76"/>
      <c r="AA297" s="76"/>
    </row>
    <row r="298" spans="1:27" x14ac:dyDescent="0.25">
      <c r="A298" s="33">
        <f t="shared" si="47"/>
        <v>295</v>
      </c>
      <c r="B298" s="19" t="s">
        <v>870</v>
      </c>
      <c r="C298" s="34" t="s">
        <v>871</v>
      </c>
      <c r="D298" s="19" t="s">
        <v>393</v>
      </c>
      <c r="E298" s="19" t="s">
        <v>238</v>
      </c>
      <c r="F298" s="19" t="s">
        <v>851</v>
      </c>
      <c r="G298" s="19"/>
      <c r="H298" s="19" t="s">
        <v>872</v>
      </c>
      <c r="I298" s="19"/>
      <c r="J298" s="19"/>
      <c r="K298" s="19" t="s">
        <v>344</v>
      </c>
      <c r="L298" s="19"/>
      <c r="M298" s="19"/>
      <c r="N298" s="19"/>
      <c r="O298" s="19"/>
      <c r="P298" s="19"/>
      <c r="Q298" s="19" t="s">
        <v>395</v>
      </c>
      <c r="R298" s="19">
        <v>1</v>
      </c>
      <c r="S298" s="19"/>
      <c r="T298" s="19">
        <v>2</v>
      </c>
      <c r="U298" s="20">
        <f t="shared" ref="U298:U299" si="51">Y298*1.1</f>
        <v>2.2000000000000002E-2</v>
      </c>
      <c r="V298" s="19" t="s">
        <v>873</v>
      </c>
      <c r="W298" s="19"/>
      <c r="X298" s="19"/>
      <c r="Y298" s="21">
        <v>0.02</v>
      </c>
      <c r="Z298" s="92">
        <v>1.5</v>
      </c>
      <c r="AA298" s="92">
        <v>1.5</v>
      </c>
    </row>
    <row r="299" spans="1:27" x14ac:dyDescent="0.25">
      <c r="A299" s="33">
        <f t="shared" si="47"/>
        <v>296</v>
      </c>
      <c r="B299" s="19" t="s">
        <v>870</v>
      </c>
      <c r="C299" s="34" t="s">
        <v>871</v>
      </c>
      <c r="D299" s="19" t="s">
        <v>393</v>
      </c>
      <c r="E299" s="19" t="s">
        <v>238</v>
      </c>
      <c r="F299" s="19" t="s">
        <v>874</v>
      </c>
      <c r="G299" s="19"/>
      <c r="H299" s="19" t="s">
        <v>875</v>
      </c>
      <c r="I299" s="19"/>
      <c r="J299" s="19"/>
      <c r="K299" s="19" t="s">
        <v>344</v>
      </c>
      <c r="L299" s="19"/>
      <c r="M299" s="19"/>
      <c r="N299" s="19"/>
      <c r="O299" s="19"/>
      <c r="P299" s="19"/>
      <c r="Q299" s="19" t="s">
        <v>395</v>
      </c>
      <c r="R299" s="19">
        <v>1</v>
      </c>
      <c r="S299" s="19"/>
      <c r="T299" s="19">
        <v>3</v>
      </c>
      <c r="U299" s="20">
        <f t="shared" si="51"/>
        <v>2.2000000000000002E-2</v>
      </c>
      <c r="V299" s="19" t="s">
        <v>873</v>
      </c>
      <c r="W299" s="19"/>
      <c r="X299" s="19"/>
      <c r="Y299" s="21">
        <v>0.02</v>
      </c>
      <c r="Z299" s="92">
        <v>1.5</v>
      </c>
      <c r="AA299" s="92">
        <v>1.5</v>
      </c>
    </row>
    <row r="300" spans="1:27" x14ac:dyDescent="0.25">
      <c r="A300" s="33">
        <f t="shared" si="47"/>
        <v>297</v>
      </c>
      <c r="B300" s="210" t="s">
        <v>876</v>
      </c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1"/>
      <c r="X300" s="19"/>
      <c r="Y300" s="74"/>
      <c r="Z300" s="76"/>
      <c r="AA300" s="76"/>
    </row>
    <row r="301" spans="1:27" x14ac:dyDescent="0.25">
      <c r="A301" s="33">
        <f t="shared" si="47"/>
        <v>298</v>
      </c>
      <c r="B301" s="19" t="s">
        <v>877</v>
      </c>
      <c r="C301" s="34" t="s">
        <v>878</v>
      </c>
      <c r="D301" s="19" t="s">
        <v>393</v>
      </c>
      <c r="E301" s="19" t="s">
        <v>238</v>
      </c>
      <c r="F301" s="19" t="s">
        <v>879</v>
      </c>
      <c r="G301" s="19"/>
      <c r="H301" s="19" t="s">
        <v>872</v>
      </c>
      <c r="I301" s="19"/>
      <c r="J301" s="19"/>
      <c r="K301" s="19" t="s">
        <v>354</v>
      </c>
      <c r="L301" s="19"/>
      <c r="M301" s="19"/>
      <c r="N301" s="19"/>
      <c r="O301" s="19"/>
      <c r="P301" s="19"/>
      <c r="Q301" s="19" t="s">
        <v>395</v>
      </c>
      <c r="R301" s="19">
        <v>1</v>
      </c>
      <c r="S301" s="19"/>
      <c r="T301" s="19">
        <v>2</v>
      </c>
      <c r="U301" s="20">
        <f t="shared" ref="U301:U302" si="52">Y301*1.1</f>
        <v>2.2000000000000002E-2</v>
      </c>
      <c r="V301" s="19" t="s">
        <v>880</v>
      </c>
      <c r="W301" s="19"/>
      <c r="X301" s="19"/>
      <c r="Y301" s="21">
        <v>0.02</v>
      </c>
      <c r="Z301" s="92">
        <v>1.5</v>
      </c>
      <c r="AA301" s="92">
        <v>1.5</v>
      </c>
    </row>
    <row r="302" spans="1:27" x14ac:dyDescent="0.25">
      <c r="A302" s="33">
        <f t="shared" si="47"/>
        <v>299</v>
      </c>
      <c r="B302" s="19" t="s">
        <v>877</v>
      </c>
      <c r="C302" s="34" t="s">
        <v>878</v>
      </c>
      <c r="D302" s="19" t="s">
        <v>393</v>
      </c>
      <c r="E302" s="19" t="s">
        <v>238</v>
      </c>
      <c r="F302" s="19" t="s">
        <v>879</v>
      </c>
      <c r="G302" s="19"/>
      <c r="H302" s="19" t="s">
        <v>875</v>
      </c>
      <c r="I302" s="19"/>
      <c r="J302" s="19"/>
      <c r="K302" s="19" t="s">
        <v>354</v>
      </c>
      <c r="L302" s="19"/>
      <c r="M302" s="19"/>
      <c r="N302" s="19"/>
      <c r="O302" s="19"/>
      <c r="P302" s="19"/>
      <c r="Q302" s="19" t="s">
        <v>395</v>
      </c>
      <c r="R302" s="19">
        <v>1</v>
      </c>
      <c r="S302" s="19"/>
      <c r="T302" s="19">
        <v>3</v>
      </c>
      <c r="U302" s="20">
        <f t="shared" si="52"/>
        <v>2.2000000000000002E-2</v>
      </c>
      <c r="V302" s="19" t="s">
        <v>880</v>
      </c>
      <c r="W302" s="19"/>
      <c r="X302" s="19"/>
      <c r="Y302" s="21">
        <v>0.02</v>
      </c>
      <c r="Z302" s="92">
        <v>1.5</v>
      </c>
      <c r="AA302" s="92">
        <v>1.5</v>
      </c>
    </row>
    <row r="303" spans="1:27" x14ac:dyDescent="0.25">
      <c r="A303" s="33">
        <f t="shared" si="47"/>
        <v>300</v>
      </c>
      <c r="B303" s="210" t="s">
        <v>881</v>
      </c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1"/>
      <c r="X303" s="19"/>
      <c r="Y303" s="74"/>
      <c r="Z303" s="76"/>
      <c r="AA303" s="76"/>
    </row>
    <row r="304" spans="1:27" x14ac:dyDescent="0.25">
      <c r="A304" s="33">
        <f t="shared" si="47"/>
        <v>301</v>
      </c>
      <c r="B304" s="19">
        <v>22222</v>
      </c>
      <c r="C304" s="34" t="s">
        <v>882</v>
      </c>
      <c r="D304" s="19" t="s">
        <v>738</v>
      </c>
      <c r="E304" s="19" t="s">
        <v>883</v>
      </c>
      <c r="F304" s="19"/>
      <c r="G304" s="19"/>
      <c r="H304" s="19" t="s">
        <v>884</v>
      </c>
      <c r="I304" s="19"/>
      <c r="J304" s="19"/>
      <c r="K304" s="19"/>
      <c r="L304" s="19"/>
      <c r="M304" s="19"/>
      <c r="N304" s="19"/>
      <c r="O304" s="19"/>
      <c r="P304" s="19"/>
      <c r="Q304" s="19" t="s">
        <v>395</v>
      </c>
      <c r="R304" s="19">
        <v>1</v>
      </c>
      <c r="S304" s="19"/>
      <c r="T304" s="19">
        <v>1</v>
      </c>
      <c r="U304" s="20">
        <f t="shared" ref="U304" si="53">Y304*1.1</f>
        <v>2.2000000000000002E-2</v>
      </c>
      <c r="V304" s="19" t="s">
        <v>885</v>
      </c>
      <c r="W304" s="19"/>
      <c r="X304" s="19"/>
      <c r="Y304" s="21">
        <v>0.02</v>
      </c>
      <c r="Z304" s="92">
        <v>1.5</v>
      </c>
      <c r="AA304" s="92">
        <v>1.5</v>
      </c>
    </row>
    <row r="305" spans="1:27" x14ac:dyDescent="0.25">
      <c r="A305" s="33">
        <f t="shared" si="47"/>
        <v>302</v>
      </c>
      <c r="B305" s="210" t="s">
        <v>886</v>
      </c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1"/>
      <c r="X305" s="19"/>
      <c r="Y305" s="74"/>
      <c r="Z305" s="76"/>
      <c r="AA305" s="76"/>
    </row>
    <row r="306" spans="1:27" x14ac:dyDescent="0.25">
      <c r="A306" s="33">
        <f t="shared" si="47"/>
        <v>303</v>
      </c>
      <c r="B306" s="19" t="s">
        <v>886</v>
      </c>
      <c r="C306" s="34" t="s">
        <v>887</v>
      </c>
      <c r="D306" s="19" t="s">
        <v>888</v>
      </c>
      <c r="E306" s="19" t="s">
        <v>238</v>
      </c>
      <c r="F306" s="19" t="s">
        <v>851</v>
      </c>
      <c r="G306" s="19"/>
      <c r="H306" s="19" t="s">
        <v>872</v>
      </c>
      <c r="I306" s="19"/>
      <c r="J306" s="19"/>
      <c r="K306" s="19"/>
      <c r="L306" s="19"/>
      <c r="M306" s="19"/>
      <c r="N306" s="19"/>
      <c r="O306" s="19"/>
      <c r="P306" s="19"/>
      <c r="Q306" s="19" t="s">
        <v>395</v>
      </c>
      <c r="R306" s="19">
        <v>1</v>
      </c>
      <c r="S306" s="19"/>
      <c r="T306" s="19">
        <v>2</v>
      </c>
      <c r="U306" s="20">
        <f t="shared" ref="U306:U307" si="54">Y306*1.1</f>
        <v>0.18700000000000003</v>
      </c>
      <c r="V306" s="19" t="s">
        <v>889</v>
      </c>
      <c r="W306" s="19" t="s">
        <v>750</v>
      </c>
      <c r="X306" s="19"/>
      <c r="Y306" s="21">
        <v>0.17</v>
      </c>
      <c r="Z306" s="92">
        <v>2</v>
      </c>
      <c r="AA306" s="92">
        <v>1.5</v>
      </c>
    </row>
    <row r="307" spans="1:27" x14ac:dyDescent="0.25">
      <c r="A307" s="33">
        <f t="shared" si="47"/>
        <v>304</v>
      </c>
      <c r="B307" s="19" t="s">
        <v>886</v>
      </c>
      <c r="C307" s="34" t="s">
        <v>887</v>
      </c>
      <c r="D307" s="19" t="s">
        <v>888</v>
      </c>
      <c r="E307" s="19" t="s">
        <v>238</v>
      </c>
      <c r="F307" s="19" t="s">
        <v>874</v>
      </c>
      <c r="G307" s="19"/>
      <c r="H307" s="19" t="s">
        <v>875</v>
      </c>
      <c r="I307" s="19"/>
      <c r="J307" s="19"/>
      <c r="K307" s="19"/>
      <c r="L307" s="19"/>
      <c r="M307" s="19"/>
      <c r="N307" s="19"/>
      <c r="O307" s="19"/>
      <c r="P307" s="19"/>
      <c r="Q307" s="19" t="s">
        <v>395</v>
      </c>
      <c r="R307" s="19">
        <v>1</v>
      </c>
      <c r="S307" s="19"/>
      <c r="T307" s="19">
        <v>3</v>
      </c>
      <c r="U307" s="20">
        <f t="shared" si="54"/>
        <v>0.18700000000000003</v>
      </c>
      <c r="V307" s="19" t="s">
        <v>889</v>
      </c>
      <c r="W307" s="19" t="s">
        <v>750</v>
      </c>
      <c r="X307" s="19"/>
      <c r="Y307" s="21">
        <v>0.17</v>
      </c>
      <c r="Z307" s="92">
        <v>2</v>
      </c>
      <c r="AA307" s="92">
        <v>1.5</v>
      </c>
    </row>
    <row r="308" spans="1:27" x14ac:dyDescent="0.25">
      <c r="A308" s="33">
        <f t="shared" si="47"/>
        <v>305</v>
      </c>
      <c r="B308" s="210" t="s">
        <v>890</v>
      </c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1"/>
      <c r="X308" s="19"/>
      <c r="Y308" s="74"/>
      <c r="Z308" s="76"/>
      <c r="AA308" s="76"/>
    </row>
    <row r="309" spans="1:27" x14ac:dyDescent="0.25">
      <c r="A309" s="33">
        <f t="shared" si="47"/>
        <v>306</v>
      </c>
      <c r="B309" s="19">
        <v>22012</v>
      </c>
      <c r="C309" t="s">
        <v>891</v>
      </c>
      <c r="D309" s="19" t="s">
        <v>800</v>
      </c>
      <c r="E309" s="19" t="s">
        <v>883</v>
      </c>
      <c r="F309" s="19" t="s">
        <v>851</v>
      </c>
      <c r="G309" s="19"/>
      <c r="H309" s="19" t="s">
        <v>872</v>
      </c>
      <c r="I309" s="19"/>
      <c r="J309" s="19"/>
      <c r="K309" s="19"/>
      <c r="L309" s="19"/>
      <c r="M309" s="19"/>
      <c r="N309" s="19"/>
      <c r="O309" s="19"/>
      <c r="P309" s="19"/>
      <c r="Q309" s="19" t="s">
        <v>395</v>
      </c>
      <c r="R309" s="19">
        <v>1</v>
      </c>
      <c r="S309" s="19"/>
      <c r="T309" s="19">
        <v>2</v>
      </c>
      <c r="U309" s="20">
        <f t="shared" ref="U309:U310" si="55">Y309*1.1</f>
        <v>0.16500000000000001</v>
      </c>
      <c r="V309" s="19" t="s">
        <v>892</v>
      </c>
      <c r="W309" s="19" t="s">
        <v>750</v>
      </c>
      <c r="X309" s="19"/>
      <c r="Y309" s="21">
        <v>0.15</v>
      </c>
      <c r="Z309" s="92">
        <v>2</v>
      </c>
      <c r="AA309" s="92">
        <v>1.5</v>
      </c>
    </row>
    <row r="310" spans="1:27" x14ac:dyDescent="0.25">
      <c r="A310" s="33">
        <f t="shared" si="47"/>
        <v>307</v>
      </c>
      <c r="B310" s="19">
        <v>22012</v>
      </c>
      <c r="C310" t="s">
        <v>891</v>
      </c>
      <c r="D310" s="19" t="s">
        <v>800</v>
      </c>
      <c r="E310" s="19" t="s">
        <v>883</v>
      </c>
      <c r="F310" s="19" t="s">
        <v>874</v>
      </c>
      <c r="G310" s="19"/>
      <c r="H310" s="19" t="s">
        <v>875</v>
      </c>
      <c r="I310" s="19"/>
      <c r="J310" s="19"/>
      <c r="K310" s="19"/>
      <c r="L310" s="19"/>
      <c r="M310" s="19"/>
      <c r="N310" s="19"/>
      <c r="O310" s="19"/>
      <c r="P310" s="19"/>
      <c r="Q310" s="19" t="s">
        <v>395</v>
      </c>
      <c r="R310" s="19">
        <v>1</v>
      </c>
      <c r="S310" s="19"/>
      <c r="T310" s="19">
        <v>3</v>
      </c>
      <c r="U310" s="20">
        <f t="shared" si="55"/>
        <v>0.16500000000000001</v>
      </c>
      <c r="V310" s="19" t="s">
        <v>892</v>
      </c>
      <c r="W310" s="19" t="s">
        <v>750</v>
      </c>
      <c r="X310" s="19"/>
      <c r="Y310" s="21">
        <v>0.15</v>
      </c>
      <c r="Z310" s="92">
        <v>2</v>
      </c>
      <c r="AA310" s="92">
        <v>1.5</v>
      </c>
    </row>
    <row r="311" spans="1:27" x14ac:dyDescent="0.25">
      <c r="A311" s="33">
        <f t="shared" si="47"/>
        <v>308</v>
      </c>
      <c r="B311" s="210" t="s">
        <v>893</v>
      </c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1"/>
      <c r="X311" s="19"/>
      <c r="Y311" s="74"/>
      <c r="Z311" s="76"/>
      <c r="AA311" s="76"/>
    </row>
    <row r="312" spans="1:27" x14ac:dyDescent="0.25">
      <c r="A312" s="33">
        <f t="shared" si="47"/>
        <v>309</v>
      </c>
      <c r="B312" s="19">
        <v>17096</v>
      </c>
      <c r="C312" s="19" t="s">
        <v>894</v>
      </c>
      <c r="D312" s="19" t="s">
        <v>393</v>
      </c>
      <c r="E312" s="19" t="s">
        <v>238</v>
      </c>
      <c r="F312" s="19" t="s">
        <v>874</v>
      </c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 t="s">
        <v>395</v>
      </c>
      <c r="R312" s="19">
        <v>1</v>
      </c>
      <c r="S312" s="19"/>
      <c r="T312" s="19" t="s">
        <v>895</v>
      </c>
      <c r="U312" s="20">
        <f t="shared" ref="U312" si="56">Y312*1.1</f>
        <v>1.1000000000000001E-2</v>
      </c>
      <c r="V312" s="19" t="s">
        <v>896</v>
      </c>
      <c r="W312" s="19"/>
      <c r="X312" s="19"/>
      <c r="Y312" s="21">
        <v>0.01</v>
      </c>
      <c r="Z312" s="92">
        <v>1.3</v>
      </c>
      <c r="AA312" s="92">
        <v>1</v>
      </c>
    </row>
    <row r="313" spans="1:27" x14ac:dyDescent="0.25">
      <c r="A313" s="33">
        <f t="shared" si="47"/>
        <v>310</v>
      </c>
      <c r="B313" s="210" t="s">
        <v>897</v>
      </c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1"/>
      <c r="X313" s="19"/>
      <c r="Y313" s="74"/>
      <c r="Z313" s="76"/>
      <c r="AA313" s="76"/>
    </row>
    <row r="314" spans="1:27" x14ac:dyDescent="0.25">
      <c r="A314" s="33">
        <f t="shared" si="47"/>
        <v>311</v>
      </c>
      <c r="B314" s="19" t="s">
        <v>898</v>
      </c>
      <c r="C314" s="19" t="s">
        <v>899</v>
      </c>
      <c r="D314" s="19" t="s">
        <v>630</v>
      </c>
      <c r="E314" s="19" t="s">
        <v>293</v>
      </c>
      <c r="F314" s="19" t="s">
        <v>874</v>
      </c>
      <c r="G314" s="19"/>
      <c r="H314" s="19">
        <v>12</v>
      </c>
      <c r="I314" s="19"/>
      <c r="J314" s="19"/>
      <c r="K314" s="19"/>
      <c r="L314" s="19"/>
      <c r="M314" s="19"/>
      <c r="N314" s="19"/>
      <c r="O314" s="19"/>
      <c r="P314" s="19"/>
      <c r="Q314" s="19" t="s">
        <v>395</v>
      </c>
      <c r="R314" s="19">
        <v>1</v>
      </c>
      <c r="S314" s="19"/>
      <c r="T314" s="19">
        <v>1</v>
      </c>
      <c r="U314" s="20">
        <f t="shared" ref="U314:U318" si="57">Y314*1.1</f>
        <v>0.35200000000000004</v>
      </c>
      <c r="V314" s="19" t="s">
        <v>900</v>
      </c>
      <c r="W314" s="19"/>
      <c r="X314" s="19"/>
      <c r="Y314" s="21">
        <v>0.32</v>
      </c>
      <c r="Z314" s="92">
        <v>1.3</v>
      </c>
      <c r="AA314" s="92">
        <v>1</v>
      </c>
    </row>
    <row r="315" spans="1:27" x14ac:dyDescent="0.25">
      <c r="A315" s="33">
        <f t="shared" si="47"/>
        <v>312</v>
      </c>
      <c r="B315" s="19" t="s">
        <v>898</v>
      </c>
      <c r="C315" s="19" t="s">
        <v>901</v>
      </c>
      <c r="D315" s="19" t="s">
        <v>630</v>
      </c>
      <c r="E315" s="19" t="s">
        <v>293</v>
      </c>
      <c r="F315" s="19" t="s">
        <v>874</v>
      </c>
      <c r="G315" s="19"/>
      <c r="H315" s="19">
        <v>24</v>
      </c>
      <c r="I315" s="19"/>
      <c r="J315" s="19"/>
      <c r="K315" s="19"/>
      <c r="L315" s="19"/>
      <c r="M315" s="19"/>
      <c r="N315" s="19"/>
      <c r="O315" s="19"/>
      <c r="P315" s="19"/>
      <c r="Q315" s="19" t="s">
        <v>395</v>
      </c>
      <c r="R315" s="19">
        <v>1</v>
      </c>
      <c r="S315" s="19"/>
      <c r="T315" s="19">
        <v>1</v>
      </c>
      <c r="U315" s="20">
        <f t="shared" si="57"/>
        <v>0.72600000000000009</v>
      </c>
      <c r="V315" s="19" t="s">
        <v>902</v>
      </c>
      <c r="W315" s="19"/>
      <c r="X315" s="19"/>
      <c r="Y315" s="21">
        <v>0.66</v>
      </c>
      <c r="Z315" s="92">
        <v>1.3</v>
      </c>
      <c r="AA315" s="92">
        <v>1</v>
      </c>
    </row>
    <row r="316" spans="1:27" x14ac:dyDescent="0.25">
      <c r="A316" s="33">
        <f t="shared" si="47"/>
        <v>313</v>
      </c>
      <c r="B316" s="19" t="s">
        <v>898</v>
      </c>
      <c r="C316" s="19" t="s">
        <v>903</v>
      </c>
      <c r="D316" s="19" t="s">
        <v>630</v>
      </c>
      <c r="E316" s="19" t="s">
        <v>293</v>
      </c>
      <c r="F316" s="19" t="s">
        <v>874</v>
      </c>
      <c r="G316" s="19"/>
      <c r="H316" s="19">
        <v>36</v>
      </c>
      <c r="I316" s="19"/>
      <c r="J316" s="19"/>
      <c r="K316" s="19"/>
      <c r="L316" s="19"/>
      <c r="M316" s="19"/>
      <c r="N316" s="19"/>
      <c r="O316" s="19"/>
      <c r="P316" s="19"/>
      <c r="Q316" s="19" t="s">
        <v>395</v>
      </c>
      <c r="R316" s="19">
        <v>1</v>
      </c>
      <c r="S316" s="19"/>
      <c r="T316" s="19">
        <v>1</v>
      </c>
      <c r="U316" s="20">
        <f t="shared" si="57"/>
        <v>1.1000000000000001</v>
      </c>
      <c r="V316" s="19" t="s">
        <v>904</v>
      </c>
      <c r="W316" s="19"/>
      <c r="X316" s="19"/>
      <c r="Y316" s="21">
        <v>1</v>
      </c>
      <c r="Z316" s="92">
        <v>1.3</v>
      </c>
      <c r="AA316" s="92">
        <v>1</v>
      </c>
    </row>
    <row r="317" spans="1:27" x14ac:dyDescent="0.25">
      <c r="A317" s="33">
        <f t="shared" si="47"/>
        <v>314</v>
      </c>
      <c r="B317" s="19" t="s">
        <v>898</v>
      </c>
      <c r="C317" s="19" t="s">
        <v>905</v>
      </c>
      <c r="D317" s="19" t="s">
        <v>630</v>
      </c>
      <c r="E317" s="19" t="s">
        <v>293</v>
      </c>
      <c r="F317" s="19" t="s">
        <v>874</v>
      </c>
      <c r="G317" s="19"/>
      <c r="H317" s="19">
        <v>48</v>
      </c>
      <c r="I317" s="19"/>
      <c r="J317" s="19"/>
      <c r="K317" s="19"/>
      <c r="L317" s="19"/>
      <c r="M317" s="19"/>
      <c r="N317" s="19"/>
      <c r="O317" s="19"/>
      <c r="P317" s="19"/>
      <c r="Q317" s="19" t="s">
        <v>395</v>
      </c>
      <c r="R317" s="19">
        <v>1</v>
      </c>
      <c r="S317" s="19"/>
      <c r="T317" s="19">
        <v>1</v>
      </c>
      <c r="U317" s="20">
        <f t="shared" si="57"/>
        <v>1.4740000000000002</v>
      </c>
      <c r="V317" s="19" t="s">
        <v>906</v>
      </c>
      <c r="W317" s="19"/>
      <c r="X317" s="19"/>
      <c r="Y317" s="21">
        <v>1.34</v>
      </c>
      <c r="Z317" s="92">
        <v>1.3</v>
      </c>
      <c r="AA317" s="92">
        <v>1</v>
      </c>
    </row>
    <row r="318" spans="1:27" x14ac:dyDescent="0.25">
      <c r="A318" s="33">
        <f t="shared" si="47"/>
        <v>315</v>
      </c>
      <c r="B318" s="19" t="s">
        <v>898</v>
      </c>
      <c r="C318" s="19" t="s">
        <v>907</v>
      </c>
      <c r="D318" s="19" t="s">
        <v>630</v>
      </c>
      <c r="E318" s="19" t="s">
        <v>293</v>
      </c>
      <c r="F318" s="19" t="s">
        <v>874</v>
      </c>
      <c r="G318" s="19"/>
      <c r="H318" s="19">
        <v>60</v>
      </c>
      <c r="I318" s="19"/>
      <c r="J318" s="19"/>
      <c r="K318" s="19"/>
      <c r="L318" s="19"/>
      <c r="M318" s="19"/>
      <c r="N318" s="19"/>
      <c r="O318" s="19"/>
      <c r="P318" s="19"/>
      <c r="Q318" s="19" t="s">
        <v>395</v>
      </c>
      <c r="R318" s="19">
        <v>1</v>
      </c>
      <c r="S318" s="19"/>
      <c r="T318" s="19">
        <v>1</v>
      </c>
      <c r="U318" s="20">
        <f t="shared" si="57"/>
        <v>1.8480000000000001</v>
      </c>
      <c r="V318" s="19" t="s">
        <v>908</v>
      </c>
      <c r="W318" s="19"/>
      <c r="X318" s="19"/>
      <c r="Y318" s="21">
        <v>1.68</v>
      </c>
      <c r="Z318" s="92">
        <v>1.3</v>
      </c>
      <c r="AA318" s="92">
        <v>1</v>
      </c>
    </row>
    <row r="319" spans="1:27" x14ac:dyDescent="0.25">
      <c r="A319" s="33">
        <f t="shared" si="47"/>
        <v>316</v>
      </c>
      <c r="B319" s="210" t="s">
        <v>909</v>
      </c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1"/>
      <c r="X319" s="19"/>
      <c r="Y319" s="74"/>
      <c r="Z319" s="76"/>
      <c r="AA319" s="76"/>
    </row>
    <row r="320" spans="1:27" x14ac:dyDescent="0.25">
      <c r="A320" s="33">
        <f t="shared" si="47"/>
        <v>317</v>
      </c>
      <c r="B320" s="19" t="s">
        <v>910</v>
      </c>
      <c r="C320" s="19" t="s">
        <v>911</v>
      </c>
      <c r="D320" s="19" t="s">
        <v>630</v>
      </c>
      <c r="E320" s="19" t="s">
        <v>912</v>
      </c>
      <c r="F320" s="19" t="s">
        <v>874</v>
      </c>
      <c r="G320" s="19"/>
      <c r="H320" s="19">
        <v>12</v>
      </c>
      <c r="I320" s="19"/>
      <c r="J320" s="19"/>
      <c r="K320" s="19"/>
      <c r="L320" s="19"/>
      <c r="M320" s="19"/>
      <c r="N320" s="19"/>
      <c r="O320" s="19"/>
      <c r="P320" s="19"/>
      <c r="Q320" s="19" t="s">
        <v>395</v>
      </c>
      <c r="R320" s="19">
        <v>1</v>
      </c>
      <c r="S320" s="19"/>
      <c r="T320" s="19">
        <v>1</v>
      </c>
      <c r="U320" s="20">
        <f t="shared" ref="U320:U328" si="58">Y320*1.1</f>
        <v>0.27500000000000002</v>
      </c>
      <c r="V320" s="19" t="s">
        <v>913</v>
      </c>
      <c r="W320" s="19"/>
      <c r="X320" s="19"/>
      <c r="Y320" s="21">
        <v>0.25</v>
      </c>
      <c r="Z320" s="92">
        <v>1.3</v>
      </c>
      <c r="AA320" s="92">
        <v>1</v>
      </c>
    </row>
    <row r="321" spans="1:27" x14ac:dyDescent="0.25">
      <c r="A321" s="33">
        <f t="shared" si="47"/>
        <v>318</v>
      </c>
      <c r="B321" s="19" t="s">
        <v>910</v>
      </c>
      <c r="C321" s="19" t="s">
        <v>914</v>
      </c>
      <c r="D321" s="19" t="s">
        <v>630</v>
      </c>
      <c r="E321" s="19" t="s">
        <v>912</v>
      </c>
      <c r="F321" s="19" t="s">
        <v>874</v>
      </c>
      <c r="G321" s="19"/>
      <c r="H321" s="19">
        <v>18</v>
      </c>
      <c r="I321" s="19"/>
      <c r="J321" s="19"/>
      <c r="K321" s="19"/>
      <c r="L321" s="19"/>
      <c r="M321" s="19"/>
      <c r="N321" s="19"/>
      <c r="O321" s="19"/>
      <c r="P321" s="19"/>
      <c r="Q321" s="19" t="s">
        <v>395</v>
      </c>
      <c r="R321" s="19">
        <v>1</v>
      </c>
      <c r="S321" s="19"/>
      <c r="T321" s="19">
        <v>1</v>
      </c>
      <c r="U321" s="20">
        <f t="shared" si="58"/>
        <v>0.40700000000000003</v>
      </c>
      <c r="V321" s="19" t="s">
        <v>915</v>
      </c>
      <c r="W321" s="19"/>
      <c r="X321" s="19"/>
      <c r="Y321" s="21">
        <v>0.37</v>
      </c>
      <c r="Z321" s="92">
        <v>1.3</v>
      </c>
      <c r="AA321" s="92">
        <v>1</v>
      </c>
    </row>
    <row r="322" spans="1:27" x14ac:dyDescent="0.25">
      <c r="A322" s="33">
        <f t="shared" si="47"/>
        <v>319</v>
      </c>
      <c r="B322" s="19" t="s">
        <v>910</v>
      </c>
      <c r="C322" s="19" t="s">
        <v>916</v>
      </c>
      <c r="D322" s="19" t="s">
        <v>630</v>
      </c>
      <c r="E322" s="19" t="s">
        <v>912</v>
      </c>
      <c r="F322" s="19" t="s">
        <v>874</v>
      </c>
      <c r="G322" s="19"/>
      <c r="H322" s="19">
        <v>24</v>
      </c>
      <c r="I322" s="19"/>
      <c r="J322" s="19"/>
      <c r="K322" s="19"/>
      <c r="L322" s="19"/>
      <c r="M322" s="19"/>
      <c r="N322" s="19"/>
      <c r="O322" s="19"/>
      <c r="P322" s="19"/>
      <c r="Q322" s="19" t="s">
        <v>395</v>
      </c>
      <c r="R322" s="19">
        <v>1</v>
      </c>
      <c r="S322" s="19"/>
      <c r="T322" s="19">
        <v>1</v>
      </c>
      <c r="U322" s="20">
        <f t="shared" si="58"/>
        <v>0.53900000000000003</v>
      </c>
      <c r="V322" s="19" t="s">
        <v>917</v>
      </c>
      <c r="W322" s="19"/>
      <c r="X322" s="19"/>
      <c r="Y322" s="21">
        <v>0.49</v>
      </c>
      <c r="Z322" s="92">
        <v>1.3</v>
      </c>
      <c r="AA322" s="92">
        <v>1</v>
      </c>
    </row>
    <row r="323" spans="1:27" x14ac:dyDescent="0.25">
      <c r="A323" s="33">
        <f t="shared" si="47"/>
        <v>320</v>
      </c>
      <c r="B323" s="19" t="s">
        <v>910</v>
      </c>
      <c r="C323" s="19" t="s">
        <v>918</v>
      </c>
      <c r="D323" s="19" t="s">
        <v>630</v>
      </c>
      <c r="E323" s="19" t="s">
        <v>912</v>
      </c>
      <c r="F323" s="19" t="s">
        <v>874</v>
      </c>
      <c r="G323" s="19"/>
      <c r="H323" s="19">
        <v>30</v>
      </c>
      <c r="I323" s="19"/>
      <c r="J323" s="19"/>
      <c r="K323" s="19"/>
      <c r="L323" s="19"/>
      <c r="M323" s="19"/>
      <c r="N323" s="19"/>
      <c r="O323" s="19"/>
      <c r="P323" s="19"/>
      <c r="Q323" s="19" t="s">
        <v>395</v>
      </c>
      <c r="R323" s="19">
        <v>1</v>
      </c>
      <c r="S323" s="19"/>
      <c r="T323" s="19">
        <v>1</v>
      </c>
      <c r="U323" s="20">
        <f t="shared" si="58"/>
        <v>0.67100000000000004</v>
      </c>
      <c r="V323" s="19" t="s">
        <v>919</v>
      </c>
      <c r="W323" s="19"/>
      <c r="X323" s="19"/>
      <c r="Y323" s="21">
        <v>0.61</v>
      </c>
      <c r="Z323" s="92">
        <v>1.3</v>
      </c>
      <c r="AA323" s="92">
        <v>1</v>
      </c>
    </row>
    <row r="324" spans="1:27" x14ac:dyDescent="0.25">
      <c r="A324" s="33">
        <f t="shared" si="47"/>
        <v>321</v>
      </c>
      <c r="B324" s="19" t="s">
        <v>910</v>
      </c>
      <c r="C324" s="19" t="s">
        <v>920</v>
      </c>
      <c r="D324" s="19" t="s">
        <v>630</v>
      </c>
      <c r="E324" s="19" t="s">
        <v>912</v>
      </c>
      <c r="F324" s="19" t="s">
        <v>874</v>
      </c>
      <c r="G324" s="19"/>
      <c r="H324" s="19">
        <v>36</v>
      </c>
      <c r="I324" s="19"/>
      <c r="J324" s="19"/>
      <c r="K324" s="19"/>
      <c r="L324" s="19"/>
      <c r="M324" s="19"/>
      <c r="N324" s="19"/>
      <c r="O324" s="19"/>
      <c r="P324" s="19"/>
      <c r="Q324" s="19" t="s">
        <v>395</v>
      </c>
      <c r="R324" s="19">
        <v>1</v>
      </c>
      <c r="S324" s="19"/>
      <c r="T324" s="19">
        <v>1</v>
      </c>
      <c r="U324" s="20">
        <f t="shared" si="58"/>
        <v>0.80300000000000005</v>
      </c>
      <c r="V324" s="19" t="s">
        <v>921</v>
      </c>
      <c r="W324" s="19"/>
      <c r="X324" s="19"/>
      <c r="Y324" s="21">
        <v>0.73</v>
      </c>
      <c r="Z324" s="92">
        <v>1.3</v>
      </c>
      <c r="AA324" s="92">
        <v>1</v>
      </c>
    </row>
    <row r="325" spans="1:27" x14ac:dyDescent="0.25">
      <c r="A325" s="33">
        <f t="shared" si="47"/>
        <v>322</v>
      </c>
      <c r="B325" s="19" t="s">
        <v>910</v>
      </c>
      <c r="C325" s="19" t="s">
        <v>922</v>
      </c>
      <c r="D325" s="19" t="s">
        <v>630</v>
      </c>
      <c r="E325" s="19" t="s">
        <v>912</v>
      </c>
      <c r="F325" s="19" t="s">
        <v>874</v>
      </c>
      <c r="G325" s="19"/>
      <c r="H325" s="19">
        <v>42</v>
      </c>
      <c r="I325" s="19"/>
      <c r="J325" s="19"/>
      <c r="K325" s="19"/>
      <c r="L325" s="19"/>
      <c r="M325" s="19"/>
      <c r="N325" s="19"/>
      <c r="O325" s="19"/>
      <c r="P325" s="19"/>
      <c r="Q325" s="19" t="s">
        <v>395</v>
      </c>
      <c r="R325" s="19">
        <v>1</v>
      </c>
      <c r="S325" s="19"/>
      <c r="T325" s="19">
        <v>1</v>
      </c>
      <c r="U325" s="20">
        <f t="shared" si="58"/>
        <v>0.93500000000000005</v>
      </c>
      <c r="V325" s="19" t="s">
        <v>923</v>
      </c>
      <c r="W325" s="19"/>
      <c r="X325" s="19"/>
      <c r="Y325" s="21">
        <v>0.85</v>
      </c>
      <c r="Z325" s="92">
        <v>1.3</v>
      </c>
      <c r="AA325" s="92">
        <v>1</v>
      </c>
    </row>
    <row r="326" spans="1:27" x14ac:dyDescent="0.25">
      <c r="A326" s="33">
        <f t="shared" si="47"/>
        <v>323</v>
      </c>
      <c r="B326" s="19" t="s">
        <v>910</v>
      </c>
      <c r="C326" s="19" t="s">
        <v>924</v>
      </c>
      <c r="D326" s="19" t="s">
        <v>630</v>
      </c>
      <c r="E326" s="19" t="s">
        <v>912</v>
      </c>
      <c r="F326" s="19" t="s">
        <v>874</v>
      </c>
      <c r="G326" s="19"/>
      <c r="H326" s="19">
        <v>48</v>
      </c>
      <c r="I326" s="19"/>
      <c r="J326" s="19"/>
      <c r="K326" s="19"/>
      <c r="L326" s="19"/>
      <c r="M326" s="19"/>
      <c r="N326" s="19"/>
      <c r="O326" s="19"/>
      <c r="P326" s="19"/>
      <c r="Q326" s="19" t="s">
        <v>395</v>
      </c>
      <c r="R326" s="19">
        <v>1</v>
      </c>
      <c r="S326" s="19"/>
      <c r="T326" s="19">
        <v>1</v>
      </c>
      <c r="U326" s="20">
        <f t="shared" si="58"/>
        <v>1.0669999999999999</v>
      </c>
      <c r="V326" s="19" t="s">
        <v>925</v>
      </c>
      <c r="W326" s="19"/>
      <c r="X326" s="19"/>
      <c r="Y326" s="21">
        <v>0.97</v>
      </c>
      <c r="Z326" s="92">
        <v>1.3</v>
      </c>
      <c r="AA326" s="92">
        <v>1</v>
      </c>
    </row>
    <row r="327" spans="1:27" x14ac:dyDescent="0.25">
      <c r="A327" s="33">
        <f t="shared" si="47"/>
        <v>324</v>
      </c>
      <c r="B327" s="19" t="s">
        <v>910</v>
      </c>
      <c r="C327" s="19" t="s">
        <v>926</v>
      </c>
      <c r="D327" s="19" t="s">
        <v>630</v>
      </c>
      <c r="E327" s="19" t="s">
        <v>912</v>
      </c>
      <c r="F327" s="19" t="s">
        <v>874</v>
      </c>
      <c r="G327" s="19"/>
      <c r="H327" s="19">
        <v>54</v>
      </c>
      <c r="I327" s="19"/>
      <c r="J327" s="19"/>
      <c r="K327" s="19"/>
      <c r="L327" s="19"/>
      <c r="M327" s="19"/>
      <c r="N327" s="19"/>
      <c r="O327" s="19"/>
      <c r="P327" s="19"/>
      <c r="Q327" s="19" t="s">
        <v>395</v>
      </c>
      <c r="R327" s="19">
        <v>1</v>
      </c>
      <c r="S327" s="19"/>
      <c r="T327" s="19">
        <v>1</v>
      </c>
      <c r="U327" s="20">
        <f t="shared" si="58"/>
        <v>1.1990000000000003</v>
      </c>
      <c r="V327" s="19" t="s">
        <v>927</v>
      </c>
      <c r="W327" s="19"/>
      <c r="X327" s="19"/>
      <c r="Y327" s="21">
        <v>1.0900000000000001</v>
      </c>
      <c r="Z327" s="92">
        <v>1.3</v>
      </c>
      <c r="AA327" s="92">
        <v>1</v>
      </c>
    </row>
    <row r="328" spans="1:27" x14ac:dyDescent="0.25">
      <c r="A328" s="33">
        <f t="shared" si="47"/>
        <v>325</v>
      </c>
      <c r="B328" s="19" t="s">
        <v>910</v>
      </c>
      <c r="C328" s="19" t="s">
        <v>928</v>
      </c>
      <c r="D328" s="19" t="s">
        <v>630</v>
      </c>
      <c r="E328" s="19" t="s">
        <v>912</v>
      </c>
      <c r="F328" s="19" t="s">
        <v>874</v>
      </c>
      <c r="G328" s="19"/>
      <c r="H328" s="19">
        <v>60</v>
      </c>
      <c r="I328" s="19"/>
      <c r="J328" s="19"/>
      <c r="K328" s="19"/>
      <c r="L328" s="19"/>
      <c r="M328" s="19"/>
      <c r="N328" s="19"/>
      <c r="O328" s="19"/>
      <c r="P328" s="19"/>
      <c r="Q328" s="19" t="s">
        <v>395</v>
      </c>
      <c r="R328" s="19">
        <v>1</v>
      </c>
      <c r="S328" s="19"/>
      <c r="T328" s="19">
        <v>1</v>
      </c>
      <c r="U328" s="20">
        <f t="shared" si="58"/>
        <v>1.331</v>
      </c>
      <c r="V328" s="19" t="s">
        <v>929</v>
      </c>
      <c r="W328" s="19"/>
      <c r="X328" s="19"/>
      <c r="Y328" s="21">
        <v>1.21</v>
      </c>
      <c r="Z328" s="92">
        <v>1.3</v>
      </c>
      <c r="AA328" s="92">
        <v>1</v>
      </c>
    </row>
    <row r="329" spans="1:27" x14ac:dyDescent="0.25">
      <c r="A329" s="33">
        <f t="shared" si="47"/>
        <v>326</v>
      </c>
      <c r="B329" s="210" t="s">
        <v>930</v>
      </c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1"/>
      <c r="X329" s="19"/>
      <c r="Y329" s="74"/>
      <c r="Z329" s="76"/>
      <c r="AA329" s="76"/>
    </row>
    <row r="330" spans="1:27" x14ac:dyDescent="0.25">
      <c r="A330" s="33">
        <f t="shared" si="47"/>
        <v>327</v>
      </c>
      <c r="B330" s="19">
        <v>22107</v>
      </c>
      <c r="C330" s="19" t="s">
        <v>931</v>
      </c>
      <c r="D330" s="19" t="s">
        <v>932</v>
      </c>
      <c r="E330" s="19" t="s">
        <v>933</v>
      </c>
      <c r="F330" s="19" t="s">
        <v>851</v>
      </c>
      <c r="G330" s="19" t="s">
        <v>764</v>
      </c>
      <c r="H330" s="19"/>
      <c r="I330" s="19"/>
      <c r="J330" s="19"/>
      <c r="K330" s="19"/>
      <c r="L330" s="19"/>
      <c r="M330" s="19"/>
      <c r="N330" s="19"/>
      <c r="O330" s="19"/>
      <c r="P330" s="19"/>
      <c r="Q330" s="19" t="s">
        <v>395</v>
      </c>
      <c r="R330" s="19">
        <v>1</v>
      </c>
      <c r="S330" s="19"/>
      <c r="T330" s="19">
        <v>2</v>
      </c>
      <c r="U330" s="20">
        <f t="shared" ref="U330" si="59">Y330*1.1</f>
        <v>2.2000000000000002E-2</v>
      </c>
      <c r="V330" s="19" t="s">
        <v>934</v>
      </c>
      <c r="W330" s="19"/>
      <c r="X330" s="19"/>
      <c r="Y330" s="21">
        <v>0.02</v>
      </c>
      <c r="Z330" s="92">
        <v>1.3</v>
      </c>
      <c r="AA330" s="92">
        <v>1</v>
      </c>
    </row>
    <row r="331" spans="1:27" x14ac:dyDescent="0.25">
      <c r="A331" s="33">
        <f t="shared" si="47"/>
        <v>328</v>
      </c>
      <c r="B331" s="210" t="s">
        <v>935</v>
      </c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1"/>
      <c r="X331" s="19"/>
      <c r="Y331" s="74"/>
      <c r="Z331" s="76"/>
      <c r="AA331" s="76"/>
    </row>
    <row r="332" spans="1:27" x14ac:dyDescent="0.25">
      <c r="A332" s="33">
        <f t="shared" si="47"/>
        <v>329</v>
      </c>
      <c r="B332" s="19">
        <v>22015</v>
      </c>
      <c r="C332" s="19" t="s">
        <v>936</v>
      </c>
      <c r="D332" s="19" t="s">
        <v>393</v>
      </c>
      <c r="E332" s="19" t="s">
        <v>933</v>
      </c>
      <c r="F332" s="19" t="s">
        <v>874</v>
      </c>
      <c r="G332" s="19" t="s">
        <v>764</v>
      </c>
      <c r="H332" s="19"/>
      <c r="I332" s="19"/>
      <c r="J332" s="19"/>
      <c r="K332" s="19"/>
      <c r="L332" s="19"/>
      <c r="M332" s="19"/>
      <c r="N332" s="19"/>
      <c r="O332" s="19"/>
      <c r="P332" s="19"/>
      <c r="Q332" s="19" t="s">
        <v>395</v>
      </c>
      <c r="R332" s="19">
        <v>1</v>
      </c>
      <c r="S332" s="19"/>
      <c r="T332" s="19">
        <v>1</v>
      </c>
      <c r="U332" s="20">
        <f t="shared" ref="U332" si="60">Y332*1.1</f>
        <v>2.2000000000000002E-2</v>
      </c>
      <c r="V332" s="19" t="s">
        <v>937</v>
      </c>
      <c r="W332" s="19"/>
      <c r="X332" s="19"/>
      <c r="Y332" s="21">
        <v>0.02</v>
      </c>
      <c r="Z332" s="92">
        <v>1.3</v>
      </c>
      <c r="AA332" s="92">
        <v>1</v>
      </c>
    </row>
    <row r="333" spans="1:27" x14ac:dyDescent="0.25">
      <c r="A333" s="33">
        <f t="shared" si="47"/>
        <v>330</v>
      </c>
      <c r="B333" s="210" t="s">
        <v>938</v>
      </c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1"/>
      <c r="X333" s="19"/>
      <c r="Y333" s="74"/>
      <c r="Z333" s="76"/>
      <c r="AA333" s="76"/>
    </row>
    <row r="334" spans="1:27" x14ac:dyDescent="0.25">
      <c r="A334" s="33">
        <f t="shared" si="47"/>
        <v>331</v>
      </c>
      <c r="B334" s="19">
        <v>22020</v>
      </c>
      <c r="C334" s="19" t="s">
        <v>939</v>
      </c>
      <c r="D334" s="19" t="s">
        <v>393</v>
      </c>
      <c r="E334" s="19" t="s">
        <v>933</v>
      </c>
      <c r="F334" s="19" t="s">
        <v>874</v>
      </c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 t="s">
        <v>395</v>
      </c>
      <c r="R334" s="19">
        <v>1</v>
      </c>
      <c r="S334" s="19"/>
      <c r="T334" s="19">
        <v>2</v>
      </c>
      <c r="U334" s="20">
        <f t="shared" ref="U334" si="61">Y334*1.1</f>
        <v>1.1000000000000001E-2</v>
      </c>
      <c r="V334" s="19" t="s">
        <v>940</v>
      </c>
      <c r="W334" s="19"/>
      <c r="X334" s="19"/>
      <c r="Y334" s="21">
        <v>0.01</v>
      </c>
      <c r="Z334" s="92">
        <v>1.3</v>
      </c>
      <c r="AA334" s="92">
        <v>1</v>
      </c>
    </row>
    <row r="335" spans="1:27" x14ac:dyDescent="0.25">
      <c r="A335" s="33">
        <f t="shared" si="47"/>
        <v>332</v>
      </c>
      <c r="B335" s="210" t="s">
        <v>941</v>
      </c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1"/>
      <c r="X335" s="19"/>
      <c r="Y335" s="74"/>
      <c r="Z335" s="76"/>
      <c r="AA335" s="76"/>
    </row>
    <row r="336" spans="1:27" x14ac:dyDescent="0.25">
      <c r="A336" s="33">
        <f t="shared" si="47"/>
        <v>333</v>
      </c>
      <c r="B336" s="19">
        <v>22010</v>
      </c>
      <c r="C336" s="19" t="s">
        <v>942</v>
      </c>
      <c r="D336" s="19" t="s">
        <v>748</v>
      </c>
      <c r="E336" s="19" t="s">
        <v>314</v>
      </c>
      <c r="F336" s="19" t="s">
        <v>943</v>
      </c>
      <c r="G336" s="19" t="s">
        <v>346</v>
      </c>
      <c r="H336" s="19"/>
      <c r="I336" s="19"/>
      <c r="J336" s="19"/>
      <c r="K336" s="19"/>
      <c r="L336" s="19"/>
      <c r="M336" s="19"/>
      <c r="N336" s="19"/>
      <c r="O336" s="19"/>
      <c r="P336" s="19"/>
      <c r="Q336" s="19" t="s">
        <v>395</v>
      </c>
      <c r="R336" s="19">
        <v>1</v>
      </c>
      <c r="S336" s="19"/>
      <c r="T336" s="19">
        <v>1</v>
      </c>
      <c r="U336" s="20">
        <f t="shared" ref="U336:U337" si="62">Y336*1.1</f>
        <v>0.90200000000000002</v>
      </c>
      <c r="V336" s="19" t="s">
        <v>944</v>
      </c>
      <c r="W336" s="19"/>
      <c r="X336" s="19"/>
      <c r="Y336" s="21">
        <v>0.82</v>
      </c>
      <c r="Z336" s="92">
        <v>1.77</v>
      </c>
      <c r="AA336" s="92">
        <v>1.58</v>
      </c>
    </row>
    <row r="337" spans="1:27" x14ac:dyDescent="0.25">
      <c r="A337" s="33">
        <f t="shared" si="47"/>
        <v>334</v>
      </c>
      <c r="B337" s="19">
        <v>22010</v>
      </c>
      <c r="C337" s="19" t="s">
        <v>942</v>
      </c>
      <c r="D337" s="19" t="s">
        <v>748</v>
      </c>
      <c r="E337" s="19" t="s">
        <v>314</v>
      </c>
      <c r="F337" s="19" t="s">
        <v>943</v>
      </c>
      <c r="G337" s="19" t="s">
        <v>110</v>
      </c>
      <c r="H337" s="19"/>
      <c r="I337" s="19"/>
      <c r="J337" s="19"/>
      <c r="K337" s="19"/>
      <c r="L337" s="19"/>
      <c r="M337" s="19"/>
      <c r="N337" s="19"/>
      <c r="O337" s="19"/>
      <c r="P337" s="19"/>
      <c r="Q337" s="19" t="s">
        <v>395</v>
      </c>
      <c r="R337" s="19">
        <v>1</v>
      </c>
      <c r="S337" s="19"/>
      <c r="T337" s="19">
        <v>2</v>
      </c>
      <c r="U337" s="20">
        <f t="shared" si="62"/>
        <v>0.90200000000000002</v>
      </c>
      <c r="V337" s="19" t="s">
        <v>944</v>
      </c>
      <c r="W337" s="19"/>
      <c r="X337" s="19"/>
      <c r="Y337" s="21">
        <v>0.82</v>
      </c>
      <c r="Z337" s="92">
        <v>1.77</v>
      </c>
      <c r="AA337" s="92">
        <v>1.58</v>
      </c>
    </row>
    <row r="338" spans="1:27" x14ac:dyDescent="0.25">
      <c r="A338" s="33">
        <f t="shared" ref="A338:A404" si="63">ROW()-3</f>
        <v>335</v>
      </c>
      <c r="B338" s="210" t="s">
        <v>945</v>
      </c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1"/>
      <c r="X338" s="19"/>
      <c r="Y338" s="74"/>
      <c r="Z338" s="76"/>
      <c r="AA338" s="76"/>
    </row>
    <row r="339" spans="1:27" x14ac:dyDescent="0.25">
      <c r="A339" s="33">
        <f t="shared" si="63"/>
        <v>336</v>
      </c>
      <c r="B339" s="19">
        <v>22013</v>
      </c>
      <c r="C339" s="19" t="s">
        <v>946</v>
      </c>
      <c r="D339" s="19" t="s">
        <v>947</v>
      </c>
      <c r="E339" s="19" t="s">
        <v>314</v>
      </c>
      <c r="F339" s="19" t="s">
        <v>943</v>
      </c>
      <c r="G339" s="19"/>
      <c r="H339" s="19" t="s">
        <v>872</v>
      </c>
      <c r="I339" s="19"/>
      <c r="J339" s="19"/>
      <c r="K339" s="19"/>
      <c r="L339" s="19"/>
      <c r="M339" s="19"/>
      <c r="N339" s="19"/>
      <c r="O339" s="19"/>
      <c r="P339" s="19"/>
      <c r="Q339" s="19" t="s">
        <v>395</v>
      </c>
      <c r="R339" s="19">
        <v>1</v>
      </c>
      <c r="S339" s="19"/>
      <c r="T339" s="19">
        <v>2</v>
      </c>
      <c r="U339" s="20">
        <f t="shared" ref="U339:U340" si="64">Y339*1.1</f>
        <v>0.55000000000000004</v>
      </c>
      <c r="V339" s="19" t="s">
        <v>948</v>
      </c>
      <c r="W339" s="19" t="s">
        <v>750</v>
      </c>
      <c r="X339" s="19"/>
      <c r="Y339" s="21">
        <v>0.5</v>
      </c>
      <c r="Z339" s="92">
        <v>1.8</v>
      </c>
      <c r="AA339" s="92">
        <v>1</v>
      </c>
    </row>
    <row r="340" spans="1:27" x14ac:dyDescent="0.25">
      <c r="A340" s="33">
        <f t="shared" si="63"/>
        <v>337</v>
      </c>
      <c r="B340" s="19">
        <v>22013</v>
      </c>
      <c r="C340" s="19" t="s">
        <v>946</v>
      </c>
      <c r="D340" s="19" t="s">
        <v>947</v>
      </c>
      <c r="E340" s="19" t="s">
        <v>314</v>
      </c>
      <c r="F340" s="19" t="s">
        <v>943</v>
      </c>
      <c r="G340" s="19"/>
      <c r="H340" s="19" t="s">
        <v>875</v>
      </c>
      <c r="I340" s="19"/>
      <c r="J340" s="19"/>
      <c r="K340" s="19"/>
      <c r="L340" s="19"/>
      <c r="M340" s="19"/>
      <c r="N340" s="19"/>
      <c r="O340" s="19"/>
      <c r="P340" s="19"/>
      <c r="Q340" s="19" t="s">
        <v>395</v>
      </c>
      <c r="R340" s="19">
        <v>1</v>
      </c>
      <c r="S340" s="19"/>
      <c r="T340" s="19">
        <v>3</v>
      </c>
      <c r="U340" s="20">
        <f t="shared" si="64"/>
        <v>0.55000000000000004</v>
      </c>
      <c r="V340" s="19" t="s">
        <v>948</v>
      </c>
      <c r="W340" s="19" t="s">
        <v>750</v>
      </c>
      <c r="X340" s="19"/>
      <c r="Y340" s="21">
        <v>0.5</v>
      </c>
      <c r="Z340" s="92">
        <v>1.8</v>
      </c>
      <c r="AA340" s="92">
        <v>1</v>
      </c>
    </row>
    <row r="341" spans="1:27" x14ac:dyDescent="0.25">
      <c r="A341" s="33">
        <f t="shared" si="63"/>
        <v>338</v>
      </c>
      <c r="B341" s="210" t="s">
        <v>949</v>
      </c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1"/>
      <c r="X341" s="19"/>
      <c r="Y341" s="74"/>
      <c r="Z341" s="76"/>
      <c r="AA341" s="76"/>
    </row>
    <row r="342" spans="1:27" x14ac:dyDescent="0.25">
      <c r="A342" s="33">
        <f t="shared" si="63"/>
        <v>339</v>
      </c>
      <c r="B342" s="19">
        <v>22014</v>
      </c>
      <c r="C342" s="19" t="s">
        <v>950</v>
      </c>
      <c r="D342" s="19" t="s">
        <v>947</v>
      </c>
      <c r="E342" s="19" t="s">
        <v>314</v>
      </c>
      <c r="F342" s="19" t="s">
        <v>943</v>
      </c>
      <c r="G342" s="19"/>
      <c r="H342" s="19" t="s">
        <v>872</v>
      </c>
      <c r="I342" s="19"/>
      <c r="J342" s="19"/>
      <c r="K342" s="19"/>
      <c r="L342" s="19"/>
      <c r="M342" s="19"/>
      <c r="N342" s="19"/>
      <c r="O342" s="19"/>
      <c r="P342" s="19"/>
      <c r="Q342" s="19" t="s">
        <v>395</v>
      </c>
      <c r="R342" s="19">
        <v>1</v>
      </c>
      <c r="S342" s="19"/>
      <c r="T342" s="19">
        <v>2</v>
      </c>
      <c r="U342" s="20">
        <f t="shared" ref="U342:U343" si="65">Y342*1.1</f>
        <v>0.51700000000000002</v>
      </c>
      <c r="V342" s="19" t="s">
        <v>951</v>
      </c>
      <c r="W342" s="19" t="s">
        <v>750</v>
      </c>
      <c r="X342" s="19"/>
      <c r="Y342" s="21">
        <v>0.47</v>
      </c>
      <c r="Z342" s="92">
        <v>1.8</v>
      </c>
      <c r="AA342" s="92">
        <v>1</v>
      </c>
    </row>
    <row r="343" spans="1:27" x14ac:dyDescent="0.25">
      <c r="A343" s="33">
        <f t="shared" si="63"/>
        <v>340</v>
      </c>
      <c r="B343" s="19">
        <v>22014</v>
      </c>
      <c r="C343" s="19" t="s">
        <v>950</v>
      </c>
      <c r="D343" s="19" t="s">
        <v>947</v>
      </c>
      <c r="E343" s="19" t="s">
        <v>314</v>
      </c>
      <c r="F343" s="19" t="s">
        <v>943</v>
      </c>
      <c r="G343" s="19"/>
      <c r="H343" s="19" t="s">
        <v>875</v>
      </c>
      <c r="I343" s="19"/>
      <c r="J343" s="19"/>
      <c r="K343" s="19"/>
      <c r="L343" s="19"/>
      <c r="M343" s="19"/>
      <c r="N343" s="19"/>
      <c r="O343" s="19"/>
      <c r="P343" s="19"/>
      <c r="Q343" s="19" t="s">
        <v>395</v>
      </c>
      <c r="R343" s="19">
        <v>1</v>
      </c>
      <c r="S343" s="19"/>
      <c r="T343" s="19">
        <v>3</v>
      </c>
      <c r="U343" s="20">
        <f t="shared" si="65"/>
        <v>0.51700000000000002</v>
      </c>
      <c r="V343" s="19" t="s">
        <v>951</v>
      </c>
      <c r="W343" s="19" t="s">
        <v>750</v>
      </c>
      <c r="X343" s="19"/>
      <c r="Y343" s="21">
        <v>0.47</v>
      </c>
      <c r="Z343" s="92">
        <v>1.8</v>
      </c>
      <c r="AA343" s="92">
        <v>1</v>
      </c>
    </row>
    <row r="344" spans="1:27" x14ac:dyDescent="0.25">
      <c r="A344" s="33">
        <f t="shared" si="63"/>
        <v>341</v>
      </c>
      <c r="B344" s="210" t="s">
        <v>952</v>
      </c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1"/>
      <c r="X344" s="19"/>
      <c r="Y344" s="74"/>
      <c r="Z344" s="76"/>
      <c r="AA344" s="76"/>
    </row>
    <row r="345" spans="1:27" x14ac:dyDescent="0.25">
      <c r="A345" s="33">
        <f t="shared" si="63"/>
        <v>342</v>
      </c>
      <c r="B345" s="19">
        <v>22213</v>
      </c>
      <c r="C345" s="19" t="s">
        <v>953</v>
      </c>
      <c r="D345" s="19" t="s">
        <v>393</v>
      </c>
      <c r="E345" s="19" t="s">
        <v>314</v>
      </c>
      <c r="F345" s="19" t="s">
        <v>943</v>
      </c>
      <c r="G345" s="19" t="s">
        <v>546</v>
      </c>
      <c r="H345" s="19"/>
      <c r="I345" s="19"/>
      <c r="J345" s="19"/>
      <c r="K345" s="19"/>
      <c r="L345" s="19"/>
      <c r="M345" s="19"/>
      <c r="N345" s="19"/>
      <c r="O345" s="19"/>
      <c r="P345" s="19"/>
      <c r="Q345" s="19" t="s">
        <v>395</v>
      </c>
      <c r="R345" s="19">
        <v>1</v>
      </c>
      <c r="S345" s="19"/>
      <c r="T345" s="19">
        <v>2</v>
      </c>
      <c r="U345" s="20">
        <f t="shared" ref="U345" si="66">Y345*1.1</f>
        <v>1.1000000000000001E-2</v>
      </c>
      <c r="V345" s="19" t="s">
        <v>954</v>
      </c>
      <c r="W345" s="19"/>
      <c r="X345" s="19"/>
      <c r="Y345" s="21">
        <v>0.01</v>
      </c>
      <c r="Z345" s="92">
        <v>1.3</v>
      </c>
      <c r="AA345" s="92">
        <v>1</v>
      </c>
    </row>
    <row r="346" spans="1:27" x14ac:dyDescent="0.25">
      <c r="A346" s="33">
        <f t="shared" si="63"/>
        <v>343</v>
      </c>
      <c r="B346" s="210" t="s">
        <v>955</v>
      </c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1"/>
      <c r="X346" s="19"/>
      <c r="Y346" s="74"/>
      <c r="Z346" s="76"/>
      <c r="AA346" s="76"/>
    </row>
    <row r="347" spans="1:27" x14ac:dyDescent="0.25">
      <c r="A347" s="33">
        <f t="shared" si="63"/>
        <v>344</v>
      </c>
      <c r="B347" s="19">
        <v>22106</v>
      </c>
      <c r="C347" s="19" t="s">
        <v>956</v>
      </c>
      <c r="D347" s="19" t="s">
        <v>792</v>
      </c>
      <c r="E347" s="19" t="s">
        <v>314</v>
      </c>
      <c r="F347" s="19" t="s">
        <v>943</v>
      </c>
      <c r="G347" s="19" t="s">
        <v>764</v>
      </c>
      <c r="H347" s="19"/>
      <c r="I347" s="19"/>
      <c r="J347" s="19"/>
      <c r="K347" s="19"/>
      <c r="L347" s="19"/>
      <c r="M347" s="19"/>
      <c r="N347" s="19"/>
      <c r="O347" s="19"/>
      <c r="P347" s="19"/>
      <c r="Q347" s="19" t="s">
        <v>395</v>
      </c>
      <c r="R347" s="19">
        <v>1</v>
      </c>
      <c r="S347" s="19"/>
      <c r="T347" s="19">
        <v>1</v>
      </c>
      <c r="U347" s="20">
        <f t="shared" ref="U347" si="67">Y347*1.1</f>
        <v>4.4000000000000004E-2</v>
      </c>
      <c r="V347" s="19" t="s">
        <v>957</v>
      </c>
      <c r="W347" s="19"/>
      <c r="X347" s="19"/>
      <c r="Y347" s="21">
        <v>0.04</v>
      </c>
      <c r="Z347" s="92">
        <v>1.3</v>
      </c>
      <c r="AA347" s="92">
        <v>1</v>
      </c>
    </row>
    <row r="348" spans="1:27" x14ac:dyDescent="0.25">
      <c r="A348" s="33">
        <f t="shared" si="63"/>
        <v>345</v>
      </c>
      <c r="B348" s="210" t="s">
        <v>958</v>
      </c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1"/>
      <c r="X348" s="19"/>
      <c r="Y348" s="74"/>
      <c r="Z348" s="76"/>
      <c r="AA348" s="76"/>
    </row>
    <row r="349" spans="1:27" x14ac:dyDescent="0.25">
      <c r="A349" s="33">
        <f t="shared" si="63"/>
        <v>346</v>
      </c>
      <c r="B349" s="19">
        <v>22101</v>
      </c>
      <c r="C349" s="19" t="s">
        <v>959</v>
      </c>
      <c r="D349" s="19" t="s">
        <v>393</v>
      </c>
      <c r="E349" s="22" t="s">
        <v>933</v>
      </c>
      <c r="F349" s="19" t="s">
        <v>960</v>
      </c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 t="s">
        <v>395</v>
      </c>
      <c r="R349" s="19">
        <v>1</v>
      </c>
      <c r="S349" s="19"/>
      <c r="T349" s="19">
        <v>2</v>
      </c>
      <c r="U349" s="20">
        <f t="shared" ref="U349" si="68">Y349*1.1</f>
        <v>8.8000000000000009E-2</v>
      </c>
      <c r="V349" s="19" t="s">
        <v>961</v>
      </c>
      <c r="W349" s="19"/>
      <c r="X349" s="19"/>
      <c r="Y349" s="21">
        <v>0.08</v>
      </c>
      <c r="Z349" s="92">
        <v>1.3</v>
      </c>
      <c r="AA349" s="92">
        <v>1</v>
      </c>
    </row>
    <row r="350" spans="1:27" x14ac:dyDescent="0.25">
      <c r="A350" s="33">
        <f t="shared" si="63"/>
        <v>347</v>
      </c>
      <c r="B350" s="210" t="s">
        <v>962</v>
      </c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1"/>
      <c r="X350" s="19"/>
      <c r="Y350" s="74"/>
      <c r="Z350" s="76"/>
      <c r="AA350" s="76"/>
    </row>
    <row r="351" spans="1:27" x14ac:dyDescent="0.25">
      <c r="A351" s="33">
        <f t="shared" si="63"/>
        <v>348</v>
      </c>
      <c r="B351" s="19">
        <v>22002</v>
      </c>
      <c r="C351" s="19" t="s">
        <v>963</v>
      </c>
      <c r="D351" s="19" t="s">
        <v>748</v>
      </c>
      <c r="E351" s="22" t="s">
        <v>933</v>
      </c>
      <c r="F351" s="19" t="s">
        <v>964</v>
      </c>
      <c r="G351" s="19" t="s">
        <v>110</v>
      </c>
      <c r="H351" s="19"/>
      <c r="I351" s="19"/>
      <c r="J351" s="19"/>
      <c r="K351" s="19"/>
      <c r="L351" s="19"/>
      <c r="M351" s="19"/>
      <c r="N351" s="19"/>
      <c r="O351" s="19"/>
      <c r="P351" s="19"/>
      <c r="Q351" s="19" t="s">
        <v>395</v>
      </c>
      <c r="R351" s="19">
        <v>1</v>
      </c>
      <c r="S351" s="19"/>
      <c r="T351" s="19">
        <v>2</v>
      </c>
      <c r="U351" s="20">
        <f t="shared" ref="U351:U352" si="69">Y351*1.1</f>
        <v>0.82500000000000007</v>
      </c>
      <c r="V351" s="19" t="s">
        <v>965</v>
      </c>
      <c r="W351" s="19" t="s">
        <v>750</v>
      </c>
      <c r="X351" s="19"/>
      <c r="Y351" s="21">
        <v>0.75</v>
      </c>
      <c r="Z351" s="92">
        <v>2.27</v>
      </c>
      <c r="AA351" s="92">
        <v>1.58</v>
      </c>
    </row>
    <row r="352" spans="1:27" x14ac:dyDescent="0.25">
      <c r="A352" s="33">
        <f t="shared" si="63"/>
        <v>349</v>
      </c>
      <c r="B352" s="19">
        <v>22002</v>
      </c>
      <c r="C352" s="19" t="s">
        <v>963</v>
      </c>
      <c r="D352" s="19" t="s">
        <v>748</v>
      </c>
      <c r="E352" s="22" t="s">
        <v>933</v>
      </c>
      <c r="F352" s="19" t="s">
        <v>964</v>
      </c>
      <c r="G352" s="19" t="s">
        <v>346</v>
      </c>
      <c r="H352" s="19"/>
      <c r="I352" s="19"/>
      <c r="J352" s="19"/>
      <c r="K352" s="19"/>
      <c r="L352" s="19"/>
      <c r="M352" s="19"/>
      <c r="N352" s="19"/>
      <c r="O352" s="19"/>
      <c r="P352" s="19"/>
      <c r="Q352" s="19" t="s">
        <v>395</v>
      </c>
      <c r="R352" s="19">
        <v>1</v>
      </c>
      <c r="S352" s="19"/>
      <c r="T352" s="19">
        <v>1</v>
      </c>
      <c r="U352" s="20">
        <f t="shared" si="69"/>
        <v>0.82500000000000007</v>
      </c>
      <c r="V352" s="19" t="s">
        <v>965</v>
      </c>
      <c r="W352" s="19" t="s">
        <v>750</v>
      </c>
      <c r="X352" s="19"/>
      <c r="Y352" s="21">
        <v>0.75</v>
      </c>
      <c r="Z352" s="92">
        <v>2.27</v>
      </c>
      <c r="AA352" s="92">
        <v>1.58</v>
      </c>
    </row>
    <row r="353" spans="1:27" x14ac:dyDescent="0.25">
      <c r="A353" s="33">
        <f t="shared" si="63"/>
        <v>350</v>
      </c>
      <c r="B353" s="210" t="s">
        <v>966</v>
      </c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1"/>
      <c r="X353" s="19"/>
      <c r="Y353" s="74"/>
      <c r="Z353" s="76"/>
      <c r="AA353" s="76"/>
    </row>
    <row r="354" spans="1:27" x14ac:dyDescent="0.25">
      <c r="A354" s="33">
        <f t="shared" si="63"/>
        <v>351</v>
      </c>
      <c r="B354" s="19">
        <v>22005</v>
      </c>
      <c r="C354" s="19" t="s">
        <v>967</v>
      </c>
      <c r="D354" s="19" t="s">
        <v>748</v>
      </c>
      <c r="E354" s="22" t="s">
        <v>933</v>
      </c>
      <c r="F354" s="19" t="s">
        <v>98</v>
      </c>
      <c r="G354" s="19" t="s">
        <v>110</v>
      </c>
      <c r="H354" s="19"/>
      <c r="I354" s="19"/>
      <c r="J354" s="19"/>
      <c r="K354" s="19"/>
      <c r="L354" s="19"/>
      <c r="M354" s="19"/>
      <c r="N354" s="19"/>
      <c r="O354" s="19"/>
      <c r="P354" s="19"/>
      <c r="Q354" s="19" t="s">
        <v>395</v>
      </c>
      <c r="R354" s="19">
        <v>1</v>
      </c>
      <c r="S354" s="19"/>
      <c r="T354" s="19">
        <v>2</v>
      </c>
      <c r="U354" s="20">
        <f t="shared" ref="U354:U355" si="70">Y354*1.1</f>
        <v>0.71500000000000008</v>
      </c>
      <c r="V354" s="19" t="s">
        <v>968</v>
      </c>
      <c r="W354" s="19" t="s">
        <v>750</v>
      </c>
      <c r="X354" s="19"/>
      <c r="Y354" s="21">
        <v>0.65</v>
      </c>
      <c r="Z354" s="92">
        <v>2.27</v>
      </c>
      <c r="AA354" s="92">
        <v>1.58</v>
      </c>
    </row>
    <row r="355" spans="1:27" x14ac:dyDescent="0.25">
      <c r="A355" s="33">
        <f t="shared" si="63"/>
        <v>352</v>
      </c>
      <c r="B355" s="19">
        <v>22005</v>
      </c>
      <c r="C355" s="19" t="s">
        <v>967</v>
      </c>
      <c r="D355" s="19" t="s">
        <v>748</v>
      </c>
      <c r="E355" s="22" t="s">
        <v>933</v>
      </c>
      <c r="F355" s="19" t="s">
        <v>98</v>
      </c>
      <c r="G355" s="19" t="s">
        <v>346</v>
      </c>
      <c r="H355" s="19"/>
      <c r="I355" s="19"/>
      <c r="J355" s="19"/>
      <c r="K355" s="19"/>
      <c r="L355" s="19"/>
      <c r="M355" s="19"/>
      <c r="N355" s="19"/>
      <c r="O355" s="19"/>
      <c r="P355" s="19"/>
      <c r="Q355" s="19" t="s">
        <v>395</v>
      </c>
      <c r="R355" s="19">
        <v>1</v>
      </c>
      <c r="S355" s="19"/>
      <c r="T355" s="19">
        <v>1</v>
      </c>
      <c r="U355" s="20">
        <f t="shared" si="70"/>
        <v>0.71500000000000008</v>
      </c>
      <c r="V355" s="19" t="s">
        <v>968</v>
      </c>
      <c r="W355" s="19" t="s">
        <v>750</v>
      </c>
      <c r="X355" s="19"/>
      <c r="Y355" s="21">
        <v>0.65</v>
      </c>
      <c r="Z355" s="92">
        <v>2.27</v>
      </c>
      <c r="AA355" s="92">
        <v>1.58</v>
      </c>
    </row>
    <row r="356" spans="1:27" x14ac:dyDescent="0.25">
      <c r="A356" s="33">
        <f t="shared" si="63"/>
        <v>353</v>
      </c>
      <c r="B356" s="210" t="s">
        <v>969</v>
      </c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1"/>
      <c r="X356" s="19"/>
      <c r="Y356" s="74"/>
      <c r="Z356" s="76"/>
      <c r="AA356" s="76"/>
    </row>
    <row r="357" spans="1:27" x14ac:dyDescent="0.25">
      <c r="A357" s="33">
        <f t="shared" si="63"/>
        <v>354</v>
      </c>
      <c r="B357" s="19">
        <v>22009</v>
      </c>
      <c r="C357" s="19" t="s">
        <v>970</v>
      </c>
      <c r="D357" s="19" t="s">
        <v>748</v>
      </c>
      <c r="E357" s="22" t="s">
        <v>933</v>
      </c>
      <c r="F357" s="19" t="s">
        <v>122</v>
      </c>
      <c r="G357" s="19" t="s">
        <v>110</v>
      </c>
      <c r="H357" s="19"/>
      <c r="I357" s="19"/>
      <c r="J357" s="19"/>
      <c r="K357" s="19"/>
      <c r="L357" s="19"/>
      <c r="M357" s="19"/>
      <c r="N357" s="19"/>
      <c r="O357" s="19"/>
      <c r="P357" s="19"/>
      <c r="Q357" s="19" t="s">
        <v>395</v>
      </c>
      <c r="R357" s="19">
        <v>1</v>
      </c>
      <c r="S357" s="19"/>
      <c r="T357" s="19">
        <v>2</v>
      </c>
      <c r="U357" s="20">
        <f t="shared" ref="U357:U358" si="71">Y357*1.1</f>
        <v>1.056</v>
      </c>
      <c r="V357" s="19" t="s">
        <v>971</v>
      </c>
      <c r="W357" s="19" t="s">
        <v>750</v>
      </c>
      <c r="X357" s="19"/>
      <c r="Y357" s="21">
        <v>0.96</v>
      </c>
      <c r="Z357" s="92">
        <v>2.27</v>
      </c>
      <c r="AA357" s="92">
        <v>1.58</v>
      </c>
    </row>
    <row r="358" spans="1:27" x14ac:dyDescent="0.25">
      <c r="A358" s="33">
        <f t="shared" si="63"/>
        <v>355</v>
      </c>
      <c r="B358" s="19">
        <v>22009</v>
      </c>
      <c r="C358" s="19" t="s">
        <v>970</v>
      </c>
      <c r="D358" s="19" t="s">
        <v>748</v>
      </c>
      <c r="E358" s="22" t="s">
        <v>933</v>
      </c>
      <c r="F358" s="19" t="s">
        <v>122</v>
      </c>
      <c r="G358" s="19" t="s">
        <v>346</v>
      </c>
      <c r="H358" s="19"/>
      <c r="I358" s="19"/>
      <c r="J358" s="19"/>
      <c r="K358" s="19"/>
      <c r="L358" s="19"/>
      <c r="M358" s="19"/>
      <c r="N358" s="19"/>
      <c r="O358" s="19"/>
      <c r="P358" s="19"/>
      <c r="Q358" s="19" t="s">
        <v>395</v>
      </c>
      <c r="R358" s="19">
        <v>1</v>
      </c>
      <c r="S358" s="19"/>
      <c r="T358" s="19">
        <v>1</v>
      </c>
      <c r="U358" s="20">
        <f t="shared" si="71"/>
        <v>1.056</v>
      </c>
      <c r="V358" s="19" t="s">
        <v>971</v>
      </c>
      <c r="W358" s="19" t="s">
        <v>750</v>
      </c>
      <c r="X358" s="19"/>
      <c r="Y358" s="21">
        <v>0.96</v>
      </c>
      <c r="Z358" s="92">
        <v>2.27</v>
      </c>
      <c r="AA358" s="92">
        <v>1.58</v>
      </c>
    </row>
    <row r="359" spans="1:27" x14ac:dyDescent="0.25">
      <c r="A359" s="33">
        <f t="shared" si="63"/>
        <v>356</v>
      </c>
      <c r="B359" s="210" t="s">
        <v>972</v>
      </c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1"/>
      <c r="X359" s="19"/>
      <c r="Y359" s="74"/>
      <c r="Z359" s="76"/>
      <c r="AA359" s="76"/>
    </row>
    <row r="360" spans="1:27" x14ac:dyDescent="0.25">
      <c r="A360" s="33">
        <f t="shared" si="63"/>
        <v>357</v>
      </c>
      <c r="B360" s="19" t="s">
        <v>973</v>
      </c>
      <c r="C360" s="19" t="s">
        <v>974</v>
      </c>
      <c r="D360" s="19" t="s">
        <v>972</v>
      </c>
      <c r="E360" s="19"/>
      <c r="F360" s="19" t="s">
        <v>975</v>
      </c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 t="s">
        <v>395</v>
      </c>
      <c r="R360" s="19">
        <v>1</v>
      </c>
      <c r="S360" s="19"/>
      <c r="T360" s="19">
        <v>2</v>
      </c>
      <c r="U360" s="20">
        <f t="shared" ref="U360" si="72">Y360*1.1</f>
        <v>0.13200000000000001</v>
      </c>
      <c r="V360" s="19" t="s">
        <v>976</v>
      </c>
      <c r="W360" s="19" t="s">
        <v>750</v>
      </c>
      <c r="X360" s="19"/>
      <c r="Y360" s="21">
        <v>0.12</v>
      </c>
      <c r="Z360" s="92">
        <v>2</v>
      </c>
      <c r="AA360" s="92">
        <v>1.5</v>
      </c>
    </row>
    <row r="361" spans="1:27" x14ac:dyDescent="0.25">
      <c r="A361" s="33">
        <f t="shared" si="63"/>
        <v>358</v>
      </c>
      <c r="B361" s="210" t="s">
        <v>977</v>
      </c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1"/>
      <c r="X361" s="19"/>
      <c r="Y361" s="74"/>
      <c r="Z361" s="76"/>
      <c r="AA361" s="76"/>
    </row>
    <row r="362" spans="1:27" x14ac:dyDescent="0.25">
      <c r="A362" s="33">
        <f t="shared" si="63"/>
        <v>359</v>
      </c>
      <c r="B362" s="19">
        <v>22041</v>
      </c>
      <c r="C362" s="19" t="s">
        <v>978</v>
      </c>
      <c r="D362" s="19" t="s">
        <v>738</v>
      </c>
      <c r="E362" s="19" t="s">
        <v>933</v>
      </c>
      <c r="F362" s="19" t="s">
        <v>22</v>
      </c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 t="s">
        <v>395</v>
      </c>
      <c r="R362" s="19">
        <v>1</v>
      </c>
      <c r="S362" s="19"/>
      <c r="T362" s="19">
        <v>2</v>
      </c>
      <c r="U362" s="20">
        <f t="shared" ref="U362:U363" si="73">Y362*1.1</f>
        <v>4.4000000000000004E-2</v>
      </c>
      <c r="V362" s="19" t="s">
        <v>979</v>
      </c>
      <c r="W362" s="19"/>
      <c r="X362" s="19"/>
      <c r="Y362" s="21">
        <v>0.04</v>
      </c>
      <c r="Z362" s="92">
        <v>1.3</v>
      </c>
      <c r="AA362" s="92">
        <v>1</v>
      </c>
    </row>
    <row r="363" spans="1:27" x14ac:dyDescent="0.25">
      <c r="A363" s="33">
        <f t="shared" si="63"/>
        <v>360</v>
      </c>
      <c r="B363" s="19">
        <v>22042</v>
      </c>
      <c r="C363" s="19" t="s">
        <v>980</v>
      </c>
      <c r="D363" s="19" t="s">
        <v>738</v>
      </c>
      <c r="E363" s="19" t="s">
        <v>933</v>
      </c>
      <c r="F363" s="19" t="s">
        <v>22</v>
      </c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 t="s">
        <v>395</v>
      </c>
      <c r="R363" s="19">
        <v>1</v>
      </c>
      <c r="S363" s="19"/>
      <c r="T363" s="19">
        <v>2</v>
      </c>
      <c r="U363" s="20">
        <f t="shared" si="73"/>
        <v>7.7000000000000013E-2</v>
      </c>
      <c r="V363" s="19" t="s">
        <v>981</v>
      </c>
      <c r="W363" s="19"/>
      <c r="X363" s="19"/>
      <c r="Y363" s="21">
        <v>7.0000000000000007E-2</v>
      </c>
      <c r="Z363" s="92">
        <v>1.3</v>
      </c>
      <c r="AA363" s="92">
        <v>1</v>
      </c>
    </row>
    <row r="364" spans="1:27" x14ac:dyDescent="0.25">
      <c r="A364" s="33">
        <f t="shared" si="63"/>
        <v>361</v>
      </c>
      <c r="B364" s="210" t="s">
        <v>982</v>
      </c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1"/>
      <c r="X364" s="19"/>
      <c r="Y364" s="74"/>
      <c r="Z364" s="76"/>
      <c r="AA364" s="76"/>
    </row>
    <row r="365" spans="1:27" x14ac:dyDescent="0.25">
      <c r="A365" s="33">
        <f t="shared" si="63"/>
        <v>362</v>
      </c>
      <c r="B365" s="19" t="s">
        <v>983</v>
      </c>
      <c r="C365" s="19" t="s">
        <v>984</v>
      </c>
      <c r="D365" s="19" t="s">
        <v>982</v>
      </c>
      <c r="E365" s="19" t="s">
        <v>985</v>
      </c>
      <c r="F365" s="19"/>
      <c r="G365" s="19"/>
      <c r="H365" s="19" t="s">
        <v>801</v>
      </c>
      <c r="I365" s="19" t="s">
        <v>129</v>
      </c>
      <c r="J365" s="19"/>
      <c r="K365" s="19" t="s">
        <v>986</v>
      </c>
      <c r="L365" s="19"/>
      <c r="M365" s="19"/>
      <c r="N365" s="19"/>
      <c r="O365" s="19" t="s">
        <v>200</v>
      </c>
      <c r="P365" s="19"/>
      <c r="Q365" s="19" t="s">
        <v>395</v>
      </c>
      <c r="R365" s="19"/>
      <c r="S365" s="19"/>
      <c r="T365" s="19">
        <v>1</v>
      </c>
      <c r="U365" s="20">
        <f t="shared" ref="U365:U430" si="74">Y365*1.1</f>
        <v>18.238</v>
      </c>
      <c r="V365" s="37" t="str">
        <f>VLOOKUP(C365,[1]Drivers!$O$3:$S$196,5,FALSE)</f>
        <v>BRIDGELUX , BXDR-46LT-C214A-01-A, Driver, 46W, 0-10V to 1% Dimming, Tunable White, Linear Form, Constant Current, 140-1400mA, 2 Channel, 120-347V Input Voltage</v>
      </c>
      <c r="W365" s="19"/>
      <c r="X365" s="19"/>
      <c r="Y365" s="21">
        <v>16.579999999999998</v>
      </c>
      <c r="Z365" s="92">
        <v>1.52</v>
      </c>
      <c r="AA365" s="92">
        <v>1.5</v>
      </c>
    </row>
    <row r="366" spans="1:27" x14ac:dyDescent="0.25">
      <c r="A366" s="33">
        <f t="shared" si="63"/>
        <v>363</v>
      </c>
      <c r="B366" s="19" t="s">
        <v>983</v>
      </c>
      <c r="C366" s="19" t="s">
        <v>984</v>
      </c>
      <c r="D366" s="19" t="s">
        <v>982</v>
      </c>
      <c r="E366" s="19" t="s">
        <v>985</v>
      </c>
      <c r="F366" s="19"/>
      <c r="G366" s="19"/>
      <c r="H366" s="19" t="s">
        <v>987</v>
      </c>
      <c r="I366" s="19" t="s">
        <v>129</v>
      </c>
      <c r="J366" s="19"/>
      <c r="K366" s="19" t="s">
        <v>986</v>
      </c>
      <c r="L366" s="19"/>
      <c r="M366" s="19"/>
      <c r="N366" s="19"/>
      <c r="O366" s="19" t="s">
        <v>200</v>
      </c>
      <c r="P366" s="19"/>
      <c r="Q366" s="19" t="s">
        <v>395</v>
      </c>
      <c r="R366" s="19"/>
      <c r="S366" s="19"/>
      <c r="T366" s="19">
        <v>2</v>
      </c>
      <c r="U366" s="20">
        <f t="shared" si="74"/>
        <v>18.238</v>
      </c>
      <c r="V366" s="37" t="str">
        <f>VLOOKUP(C366,[1]Drivers!$O$3:$S$196,5,FALSE)</f>
        <v>BRIDGELUX , BXDR-46LT-C214A-01-A, Driver, 46W, 0-10V to 1% Dimming, Tunable White, Linear Form, Constant Current, 140-1400mA, 2 Channel, 120-347V Input Voltage</v>
      </c>
      <c r="W366" s="19"/>
      <c r="X366" s="19"/>
      <c r="Y366" s="21">
        <v>16.579999999999998</v>
      </c>
      <c r="Z366" s="92">
        <v>1.52</v>
      </c>
      <c r="AA366" s="92">
        <v>1.5</v>
      </c>
    </row>
    <row r="367" spans="1:27" x14ac:dyDescent="0.25">
      <c r="A367" s="33">
        <f t="shared" si="63"/>
        <v>364</v>
      </c>
      <c r="B367" s="19" t="s">
        <v>983</v>
      </c>
      <c r="C367" s="19" t="s">
        <v>984</v>
      </c>
      <c r="D367" s="19" t="s">
        <v>982</v>
      </c>
      <c r="E367" s="19" t="s">
        <v>988</v>
      </c>
      <c r="F367" s="19"/>
      <c r="G367" s="19"/>
      <c r="H367" s="19" t="s">
        <v>989</v>
      </c>
      <c r="I367" s="19" t="s">
        <v>129</v>
      </c>
      <c r="J367" s="19"/>
      <c r="K367" s="19" t="s">
        <v>986</v>
      </c>
      <c r="L367" s="19"/>
      <c r="M367" s="19"/>
      <c r="N367" s="19"/>
      <c r="O367" s="19" t="s">
        <v>200</v>
      </c>
      <c r="P367" s="19"/>
      <c r="Q367" s="19" t="s">
        <v>395</v>
      </c>
      <c r="R367" s="19"/>
      <c r="S367" s="19"/>
      <c r="T367" s="19">
        <v>1</v>
      </c>
      <c r="U367" s="20">
        <f t="shared" si="74"/>
        <v>18.238</v>
      </c>
      <c r="V367" s="37" t="str">
        <f>VLOOKUP(C367,[1]Drivers!$O$3:$S$196,5,FALSE)</f>
        <v>BRIDGELUX , BXDR-46LT-C214A-01-A, Driver, 46W, 0-10V to 1% Dimming, Tunable White, Linear Form, Constant Current, 140-1400mA, 2 Channel, 120-347V Input Voltage</v>
      </c>
      <c r="W367" s="19"/>
      <c r="X367" s="19"/>
      <c r="Y367" s="21">
        <v>16.579999999999998</v>
      </c>
      <c r="Z367" s="92">
        <v>1.52</v>
      </c>
      <c r="AA367" s="92">
        <v>1.5</v>
      </c>
    </row>
    <row r="368" spans="1:27" x14ac:dyDescent="0.25">
      <c r="A368" s="33">
        <f t="shared" si="63"/>
        <v>365</v>
      </c>
      <c r="B368" s="19" t="s">
        <v>983</v>
      </c>
      <c r="C368" s="19" t="s">
        <v>984</v>
      </c>
      <c r="D368" s="19" t="s">
        <v>982</v>
      </c>
      <c r="E368" s="19" t="s">
        <v>988</v>
      </c>
      <c r="F368" s="19"/>
      <c r="G368" s="19"/>
      <c r="H368" s="19" t="s">
        <v>990</v>
      </c>
      <c r="I368" s="19" t="s">
        <v>129</v>
      </c>
      <c r="J368" s="19"/>
      <c r="K368" s="19" t="s">
        <v>986</v>
      </c>
      <c r="L368" s="19"/>
      <c r="M368" s="19"/>
      <c r="N368" s="19"/>
      <c r="O368" s="19" t="s">
        <v>200</v>
      </c>
      <c r="P368" s="19"/>
      <c r="Q368" s="19" t="s">
        <v>395</v>
      </c>
      <c r="R368" s="19"/>
      <c r="S368" s="19"/>
      <c r="T368" s="19">
        <v>2</v>
      </c>
      <c r="U368" s="20">
        <f t="shared" si="74"/>
        <v>18.238</v>
      </c>
      <c r="V368" s="37" t="str">
        <f>VLOOKUP(C368,[1]Drivers!$O$3:$S$196,5,FALSE)</f>
        <v>BRIDGELUX , BXDR-46LT-C214A-01-A, Driver, 46W, 0-10V to 1% Dimming, Tunable White, Linear Form, Constant Current, 140-1400mA, 2 Channel, 120-347V Input Voltage</v>
      </c>
      <c r="W368" s="19"/>
      <c r="X368" s="19"/>
      <c r="Y368" s="21">
        <v>16.579999999999998</v>
      </c>
      <c r="Z368" s="92">
        <v>1.52</v>
      </c>
      <c r="AA368" s="92">
        <v>1.5</v>
      </c>
    </row>
    <row r="369" spans="1:27" x14ac:dyDescent="0.25">
      <c r="A369" s="33">
        <f t="shared" si="63"/>
        <v>366</v>
      </c>
      <c r="B369" s="19" t="s">
        <v>983</v>
      </c>
      <c r="C369" s="19" t="s">
        <v>984</v>
      </c>
      <c r="D369" s="19" t="s">
        <v>982</v>
      </c>
      <c r="E369" s="19" t="s">
        <v>991</v>
      </c>
      <c r="F369" s="19"/>
      <c r="G369" s="19"/>
      <c r="H369" s="19" t="s">
        <v>992</v>
      </c>
      <c r="I369" s="19" t="s">
        <v>107</v>
      </c>
      <c r="J369" s="19"/>
      <c r="K369" s="19" t="s">
        <v>986</v>
      </c>
      <c r="L369" s="19"/>
      <c r="M369" s="19"/>
      <c r="N369" s="19"/>
      <c r="O369" s="19" t="s">
        <v>200</v>
      </c>
      <c r="P369" s="19"/>
      <c r="Q369" s="19" t="s">
        <v>395</v>
      </c>
      <c r="R369" s="19"/>
      <c r="S369" s="19"/>
      <c r="T369" s="19">
        <v>1</v>
      </c>
      <c r="U369" s="20">
        <f t="shared" si="74"/>
        <v>18.238</v>
      </c>
      <c r="V369" s="37" t="str">
        <f>VLOOKUP(C369,[1]Drivers!$O$3:$S$196,5,FALSE)</f>
        <v>BRIDGELUX , BXDR-46LT-C214A-01-A, Driver, 46W, 0-10V to 1% Dimming, Tunable White, Linear Form, Constant Current, 140-1400mA, 2 Channel, 120-347V Input Voltage</v>
      </c>
      <c r="W369" s="19"/>
      <c r="X369" s="19"/>
      <c r="Y369" s="21">
        <v>16.579999999999998</v>
      </c>
      <c r="Z369" s="92">
        <v>1.52</v>
      </c>
      <c r="AA369" s="92">
        <v>1.5</v>
      </c>
    </row>
    <row r="370" spans="1:27" x14ac:dyDescent="0.25">
      <c r="A370" s="33">
        <f t="shared" si="63"/>
        <v>367</v>
      </c>
      <c r="B370" s="19" t="s">
        <v>983</v>
      </c>
      <c r="C370" s="19" t="s">
        <v>984</v>
      </c>
      <c r="D370" s="19" t="s">
        <v>982</v>
      </c>
      <c r="E370" s="19" t="s">
        <v>991</v>
      </c>
      <c r="F370" s="19"/>
      <c r="G370" s="19"/>
      <c r="H370" s="19" t="s">
        <v>993</v>
      </c>
      <c r="I370" s="19" t="s">
        <v>107</v>
      </c>
      <c r="J370" s="19"/>
      <c r="K370" s="19" t="s">
        <v>986</v>
      </c>
      <c r="L370" s="19"/>
      <c r="M370" s="19"/>
      <c r="N370" s="19"/>
      <c r="O370" s="19" t="s">
        <v>200</v>
      </c>
      <c r="P370" s="19"/>
      <c r="Q370" s="19" t="s">
        <v>395</v>
      </c>
      <c r="R370" s="19"/>
      <c r="S370" s="19"/>
      <c r="T370" s="19">
        <v>2</v>
      </c>
      <c r="U370" s="20">
        <f t="shared" si="74"/>
        <v>18.238</v>
      </c>
      <c r="V370" s="37" t="str">
        <f>VLOOKUP(C370,[1]Drivers!$O$3:$S$196,5,FALSE)</f>
        <v>BRIDGELUX , BXDR-46LT-C214A-01-A, Driver, 46W, 0-10V to 1% Dimming, Tunable White, Linear Form, Constant Current, 140-1400mA, 2 Channel, 120-347V Input Voltage</v>
      </c>
      <c r="W370" s="19"/>
      <c r="X370" s="19"/>
      <c r="Y370" s="21">
        <v>16.579999999999998</v>
      </c>
      <c r="Z370" s="92">
        <v>1.52</v>
      </c>
      <c r="AA370" s="92">
        <v>1.5</v>
      </c>
    </row>
    <row r="371" spans="1:27" x14ac:dyDescent="0.25">
      <c r="A371" s="33">
        <f t="shared" si="63"/>
        <v>368</v>
      </c>
      <c r="B371" s="19" t="s">
        <v>983</v>
      </c>
      <c r="C371" s="19" t="s">
        <v>984</v>
      </c>
      <c r="D371" s="19" t="s">
        <v>982</v>
      </c>
      <c r="E371" s="19" t="s">
        <v>991</v>
      </c>
      <c r="F371" s="19"/>
      <c r="G371" s="19"/>
      <c r="H371" s="19" t="s">
        <v>389</v>
      </c>
      <c r="I371" s="19" t="s">
        <v>107</v>
      </c>
      <c r="J371" s="19"/>
      <c r="K371" s="19" t="s">
        <v>986</v>
      </c>
      <c r="L371" s="19"/>
      <c r="M371" s="19"/>
      <c r="N371" s="19"/>
      <c r="O371" s="19" t="s">
        <v>200</v>
      </c>
      <c r="P371" s="19"/>
      <c r="Q371" s="19" t="s">
        <v>395</v>
      </c>
      <c r="R371" s="19"/>
      <c r="S371" s="19"/>
      <c r="T371" s="19">
        <v>3</v>
      </c>
      <c r="U371" s="20">
        <f t="shared" si="74"/>
        <v>18.238</v>
      </c>
      <c r="V371" s="37" t="str">
        <f>VLOOKUP(C371,[1]Drivers!$O$3:$S$196,5,FALSE)</f>
        <v>BRIDGELUX , BXDR-46LT-C214A-01-A, Driver, 46W, 0-10V to 1% Dimming, Tunable White, Linear Form, Constant Current, 140-1400mA, 2 Channel, 120-347V Input Voltage</v>
      </c>
      <c r="W371" s="19"/>
      <c r="X371" s="19"/>
      <c r="Y371" s="21">
        <v>16.579999999999998</v>
      </c>
      <c r="Z371" s="92">
        <v>1.52</v>
      </c>
      <c r="AA371" s="92">
        <v>1.5</v>
      </c>
    </row>
    <row r="372" spans="1:27" x14ac:dyDescent="0.25">
      <c r="A372" s="33">
        <f t="shared" si="63"/>
        <v>369</v>
      </c>
      <c r="B372" s="19" t="s">
        <v>994</v>
      </c>
      <c r="C372" s="19" t="s">
        <v>995</v>
      </c>
      <c r="D372" s="19" t="s">
        <v>982</v>
      </c>
      <c r="E372" s="19" t="s">
        <v>996</v>
      </c>
      <c r="F372" s="19"/>
      <c r="G372" s="19" t="s">
        <v>546</v>
      </c>
      <c r="H372" s="19" t="s">
        <v>384</v>
      </c>
      <c r="I372" s="19" t="s">
        <v>103</v>
      </c>
      <c r="J372" s="19"/>
      <c r="K372" s="19" t="s">
        <v>997</v>
      </c>
      <c r="L372" s="19"/>
      <c r="M372" s="19"/>
      <c r="N372" s="19"/>
      <c r="O372" s="29" t="s">
        <v>998</v>
      </c>
      <c r="P372" s="19"/>
      <c r="Q372" s="19" t="s">
        <v>999</v>
      </c>
      <c r="R372" s="19"/>
      <c r="S372" s="19"/>
      <c r="T372" s="19">
        <v>1</v>
      </c>
      <c r="U372" s="20">
        <f t="shared" si="74"/>
        <v>18.700000000000003</v>
      </c>
      <c r="V372" s="37" t="str">
        <f>VLOOKUP(C372,[1]Drivers!$O$3:$S$196,5,FALSE)</f>
        <v>ACE LEDS , AC30CD700APT7L, Driver, 30W, 0-10V to 1% Dimming, Monochromatic, Linear Form, Constant Current, 125-700mA, 1 Channel, 120-277V Input Voltage</v>
      </c>
      <c r="W372" s="19"/>
      <c r="X372" s="19"/>
      <c r="Y372" s="21">
        <v>17</v>
      </c>
      <c r="Z372" s="92">
        <v>1.52</v>
      </c>
      <c r="AA372" s="92">
        <v>1.5</v>
      </c>
    </row>
    <row r="373" spans="1:27" x14ac:dyDescent="0.25">
      <c r="A373" s="33">
        <f t="shared" si="63"/>
        <v>370</v>
      </c>
      <c r="B373" s="19" t="s">
        <v>994</v>
      </c>
      <c r="C373" s="19" t="s">
        <v>995</v>
      </c>
      <c r="D373" s="19" t="s">
        <v>982</v>
      </c>
      <c r="E373" s="19" t="s">
        <v>988</v>
      </c>
      <c r="F373" s="19"/>
      <c r="G373" s="19" t="s">
        <v>546</v>
      </c>
      <c r="H373" s="19" t="s">
        <v>384</v>
      </c>
      <c r="I373" s="19" t="s">
        <v>168</v>
      </c>
      <c r="J373" s="19"/>
      <c r="K373" s="19" t="s">
        <v>997</v>
      </c>
      <c r="L373" s="19"/>
      <c r="M373" s="19"/>
      <c r="N373" s="19"/>
      <c r="O373" s="19" t="s">
        <v>187</v>
      </c>
      <c r="P373" s="19"/>
      <c r="Q373" s="19" t="s">
        <v>999</v>
      </c>
      <c r="R373" s="19"/>
      <c r="S373" s="19"/>
      <c r="T373" s="19">
        <v>1</v>
      </c>
      <c r="U373" s="20">
        <f t="shared" si="74"/>
        <v>18.700000000000003</v>
      </c>
      <c r="V373" s="37" t="str">
        <f>VLOOKUP(C373,[1]Drivers!$O$3:$S$196,5,FALSE)</f>
        <v>ACE LEDS , AC30CD700APT7L, Driver, 30W, 0-10V to 1% Dimming, Monochromatic, Linear Form, Constant Current, 125-700mA, 1 Channel, 120-277V Input Voltage</v>
      </c>
      <c r="W373" s="19"/>
      <c r="X373" s="19"/>
      <c r="Y373" s="21">
        <v>17</v>
      </c>
      <c r="Z373" s="92">
        <v>1.52</v>
      </c>
      <c r="AA373" s="92">
        <v>1.5</v>
      </c>
    </row>
    <row r="374" spans="1:27" x14ac:dyDescent="0.25">
      <c r="A374" s="33">
        <v>371</v>
      </c>
      <c r="B374" s="19" t="s">
        <v>1000</v>
      </c>
      <c r="C374" s="19" t="s">
        <v>1001</v>
      </c>
      <c r="D374" s="19" t="s">
        <v>982</v>
      </c>
      <c r="E374" s="127" t="s">
        <v>303</v>
      </c>
      <c r="F374" s="19"/>
      <c r="G374" s="19"/>
      <c r="H374" s="19">
        <v>12</v>
      </c>
      <c r="I374" s="19" t="s">
        <v>1002</v>
      </c>
      <c r="J374" s="19"/>
      <c r="K374" s="19" t="s">
        <v>997</v>
      </c>
      <c r="L374" s="19"/>
      <c r="M374" s="19"/>
      <c r="N374" s="19"/>
      <c r="O374" s="29" t="s">
        <v>998</v>
      </c>
      <c r="P374" s="19"/>
      <c r="Q374" s="19" t="s">
        <v>999</v>
      </c>
      <c r="R374" s="19"/>
      <c r="S374" s="19"/>
      <c r="T374" s="19">
        <v>1</v>
      </c>
      <c r="U374" s="20">
        <f t="shared" si="74"/>
        <v>12.111000000000001</v>
      </c>
      <c r="V374" s="37" t="s">
        <v>1003</v>
      </c>
      <c r="W374" s="19"/>
      <c r="X374" s="19"/>
      <c r="Y374" s="21">
        <v>11.01</v>
      </c>
      <c r="Z374" s="92">
        <v>1</v>
      </c>
      <c r="AA374" s="92">
        <v>1.5</v>
      </c>
    </row>
    <row r="375" spans="1:27" x14ac:dyDescent="0.25">
      <c r="A375" s="33">
        <f t="shared" si="63"/>
        <v>372</v>
      </c>
      <c r="B375" s="19" t="s">
        <v>1000</v>
      </c>
      <c r="C375" s="19" t="s">
        <v>1001</v>
      </c>
      <c r="D375" s="19" t="s">
        <v>982</v>
      </c>
      <c r="E375" s="19" t="s">
        <v>1004</v>
      </c>
      <c r="F375" s="19"/>
      <c r="G375" s="19"/>
      <c r="H375" s="19" t="s">
        <v>1005</v>
      </c>
      <c r="I375" s="19" t="s">
        <v>103</v>
      </c>
      <c r="J375" s="19"/>
      <c r="K375" s="19" t="s">
        <v>997</v>
      </c>
      <c r="L375" s="19"/>
      <c r="M375" s="19"/>
      <c r="N375" s="19"/>
      <c r="O375" s="29" t="s">
        <v>998</v>
      </c>
      <c r="P375" s="19"/>
      <c r="Q375" s="19" t="s">
        <v>395</v>
      </c>
      <c r="R375" s="19"/>
      <c r="S375" s="19"/>
      <c r="T375" s="19">
        <v>1</v>
      </c>
      <c r="U375" s="20">
        <f t="shared" si="74"/>
        <v>12.111000000000001</v>
      </c>
      <c r="V375" s="37" t="str">
        <f>VLOOKUP(C375,[1]Drivers!$O$3:$S$196,5,FALSE)</f>
        <v>Tridonic Inc., LC 35 W 150–1050mA/28004443, Driver, 35W, 0-10V to 1% Dimming, Monochromatic, Linear Form, Constant Current, 150-1050mA, 1 Channel, 100-240V Input Voltage</v>
      </c>
      <c r="W375" s="19"/>
      <c r="X375" s="19"/>
      <c r="Y375" s="72">
        <v>11.01</v>
      </c>
      <c r="Z375" s="92">
        <v>1</v>
      </c>
      <c r="AA375" s="92">
        <v>1.5</v>
      </c>
    </row>
    <row r="376" spans="1:27" x14ac:dyDescent="0.25">
      <c r="A376" s="33">
        <f t="shared" si="63"/>
        <v>373</v>
      </c>
      <c r="B376" s="19" t="s">
        <v>1000</v>
      </c>
      <c r="C376" s="19" t="s">
        <v>1001</v>
      </c>
      <c r="D376" s="19" t="s">
        <v>982</v>
      </c>
      <c r="E376" s="19" t="s">
        <v>1004</v>
      </c>
      <c r="F376" s="19"/>
      <c r="G376" s="19"/>
      <c r="H376" s="19">
        <v>60</v>
      </c>
      <c r="I376" s="19" t="s">
        <v>103</v>
      </c>
      <c r="J376" s="19"/>
      <c r="K376" s="19" t="s">
        <v>997</v>
      </c>
      <c r="L376" s="19"/>
      <c r="M376" s="19"/>
      <c r="N376" s="19"/>
      <c r="O376" s="29" t="s">
        <v>998</v>
      </c>
      <c r="P376" s="19"/>
      <c r="Q376" s="19" t="s">
        <v>395</v>
      </c>
      <c r="R376" s="19"/>
      <c r="S376" s="19"/>
      <c r="T376" s="19">
        <v>1</v>
      </c>
      <c r="U376" s="20">
        <f t="shared" si="74"/>
        <v>12.111000000000001</v>
      </c>
      <c r="V376" s="37" t="str">
        <f>VLOOKUP(C376,[1]Drivers!$O$3:$S$196,5,FALSE)</f>
        <v>Tridonic Inc., LC 35 W 150–1050mA/28004443, Driver, 35W, 0-10V to 1% Dimming, Monochromatic, Linear Form, Constant Current, 150-1050mA, 1 Channel, 100-240V Input Voltage</v>
      </c>
      <c r="W376" s="19"/>
      <c r="X376" s="19"/>
      <c r="Y376" s="72">
        <v>11.01</v>
      </c>
      <c r="Z376" s="92">
        <v>1</v>
      </c>
      <c r="AA376" s="92">
        <v>1.5</v>
      </c>
    </row>
    <row r="377" spans="1:27" x14ac:dyDescent="0.25">
      <c r="A377" s="33">
        <f t="shared" si="63"/>
        <v>374</v>
      </c>
      <c r="B377" s="19" t="s">
        <v>1000</v>
      </c>
      <c r="C377" s="19" t="s">
        <v>1001</v>
      </c>
      <c r="D377" s="19" t="s">
        <v>982</v>
      </c>
      <c r="E377" s="19" t="s">
        <v>1006</v>
      </c>
      <c r="F377" s="19"/>
      <c r="G377" s="19"/>
      <c r="H377" s="19">
        <v>12</v>
      </c>
      <c r="I377" s="19" t="s">
        <v>126</v>
      </c>
      <c r="J377" s="19"/>
      <c r="K377" s="19" t="s">
        <v>997</v>
      </c>
      <c r="L377" s="19"/>
      <c r="M377" s="19"/>
      <c r="N377" s="19"/>
      <c r="O377" s="29" t="s">
        <v>998</v>
      </c>
      <c r="P377" s="19"/>
      <c r="Q377" s="19" t="s">
        <v>395</v>
      </c>
      <c r="R377" s="19"/>
      <c r="S377" s="19"/>
      <c r="T377" s="19">
        <v>1</v>
      </c>
      <c r="U377" s="20">
        <f t="shared" ref="U377" si="75">Y377*1.1</f>
        <v>12.111000000000001</v>
      </c>
      <c r="V377" s="37" t="str">
        <f>VLOOKUP(C377,[1]Drivers!$O$3:$S$196,5,FALSE)</f>
        <v>Tridonic Inc., LC 35 W 150–1050mA/28004443, Driver, 35W, 0-10V to 1% Dimming, Monochromatic, Linear Form, Constant Current, 150-1050mA, 1 Channel, 100-240V Input Voltage</v>
      </c>
      <c r="W377" s="19"/>
      <c r="X377" s="19"/>
      <c r="Y377" s="72">
        <v>11.01</v>
      </c>
      <c r="Z377" s="92">
        <v>1</v>
      </c>
      <c r="AA377" s="92">
        <v>1.5</v>
      </c>
    </row>
    <row r="378" spans="1:27" x14ac:dyDescent="0.25">
      <c r="A378" s="33">
        <f t="shared" si="63"/>
        <v>375</v>
      </c>
      <c r="B378" s="19" t="s">
        <v>1000</v>
      </c>
      <c r="C378" s="19" t="s">
        <v>1001</v>
      </c>
      <c r="D378" s="19" t="s">
        <v>982</v>
      </c>
      <c r="E378" s="19" t="s">
        <v>1004</v>
      </c>
      <c r="F378" s="19"/>
      <c r="G378" s="19"/>
      <c r="H378" s="19" t="s">
        <v>1007</v>
      </c>
      <c r="I378" s="19" t="s">
        <v>126</v>
      </c>
      <c r="J378" s="19"/>
      <c r="K378" s="19" t="s">
        <v>997</v>
      </c>
      <c r="L378" s="19"/>
      <c r="M378" s="19"/>
      <c r="N378" s="19"/>
      <c r="O378" s="29" t="s">
        <v>998</v>
      </c>
      <c r="P378" s="19"/>
      <c r="Q378" s="19" t="s">
        <v>395</v>
      </c>
      <c r="R378" s="19"/>
      <c r="S378" s="19"/>
      <c r="T378" s="19">
        <v>1</v>
      </c>
      <c r="U378" s="20">
        <f t="shared" si="74"/>
        <v>12.111000000000001</v>
      </c>
      <c r="V378" s="37" t="str">
        <f>VLOOKUP(C378,[1]Drivers!$O$3:$S$196,5,FALSE)</f>
        <v>Tridonic Inc., LC 35 W 150–1050mA/28004443, Driver, 35W, 0-10V to 1% Dimming, Monochromatic, Linear Form, Constant Current, 150-1050mA, 1 Channel, 100-240V Input Voltage</v>
      </c>
      <c r="W378" s="19"/>
      <c r="X378" s="19"/>
      <c r="Y378" s="72">
        <v>11.01</v>
      </c>
      <c r="Z378" s="92">
        <v>1</v>
      </c>
      <c r="AA378" s="92">
        <v>1.5</v>
      </c>
    </row>
    <row r="379" spans="1:27" x14ac:dyDescent="0.25">
      <c r="A379" s="33">
        <f t="shared" si="63"/>
        <v>376</v>
      </c>
      <c r="B379" s="19" t="s">
        <v>1000</v>
      </c>
      <c r="C379" s="19" t="s">
        <v>1001</v>
      </c>
      <c r="D379" s="19" t="s">
        <v>982</v>
      </c>
      <c r="E379" s="19" t="s">
        <v>985</v>
      </c>
      <c r="F379" s="19"/>
      <c r="G379" s="19"/>
      <c r="H379" s="19" t="s">
        <v>1008</v>
      </c>
      <c r="I379" s="19" t="s">
        <v>103</v>
      </c>
      <c r="J379" s="19"/>
      <c r="K379" s="19" t="s">
        <v>997</v>
      </c>
      <c r="L379" s="19"/>
      <c r="M379" s="19"/>
      <c r="N379" s="19"/>
      <c r="O379" s="29" t="s">
        <v>998</v>
      </c>
      <c r="P379" s="19"/>
      <c r="Q379" s="19" t="s">
        <v>395</v>
      </c>
      <c r="R379" s="19"/>
      <c r="S379" s="19"/>
      <c r="T379" s="19">
        <v>1</v>
      </c>
      <c r="U379" s="20">
        <f t="shared" si="74"/>
        <v>12.111000000000001</v>
      </c>
      <c r="V379" s="37" t="str">
        <f>VLOOKUP(C379,[1]Drivers!$O$3:$S$196,5,FALSE)</f>
        <v>Tridonic Inc., LC 35 W 150–1050mA/28004443, Driver, 35W, 0-10V to 1% Dimming, Monochromatic, Linear Form, Constant Current, 150-1050mA, 1 Channel, 100-240V Input Voltage</v>
      </c>
      <c r="W379" s="19"/>
      <c r="X379" s="19"/>
      <c r="Y379" s="72">
        <v>11.01</v>
      </c>
      <c r="Z379" s="92">
        <v>1</v>
      </c>
      <c r="AA379" s="92">
        <v>1.5</v>
      </c>
    </row>
    <row r="380" spans="1:27" x14ac:dyDescent="0.25">
      <c r="A380" s="33">
        <f t="shared" si="63"/>
        <v>377</v>
      </c>
      <c r="B380" s="19" t="s">
        <v>1000</v>
      </c>
      <c r="C380" s="19" t="s">
        <v>1001</v>
      </c>
      <c r="D380" s="19" t="s">
        <v>982</v>
      </c>
      <c r="E380" s="19" t="s">
        <v>985</v>
      </c>
      <c r="F380" s="19"/>
      <c r="G380" s="19"/>
      <c r="H380" s="19" t="s">
        <v>1009</v>
      </c>
      <c r="I380" s="19" t="s">
        <v>126</v>
      </c>
      <c r="J380" s="19"/>
      <c r="K380" s="19" t="s">
        <v>997</v>
      </c>
      <c r="L380" s="19"/>
      <c r="M380" s="19"/>
      <c r="N380" s="19"/>
      <c r="O380" s="29" t="s">
        <v>998</v>
      </c>
      <c r="P380" s="19"/>
      <c r="Q380" s="19" t="s">
        <v>395</v>
      </c>
      <c r="R380" s="19"/>
      <c r="S380" s="19"/>
      <c r="T380" s="19">
        <v>1</v>
      </c>
      <c r="U380" s="20">
        <f t="shared" si="74"/>
        <v>12.111000000000001</v>
      </c>
      <c r="V380" s="37" t="str">
        <f>VLOOKUP(C380,[1]Drivers!$O$3:$S$196,5,FALSE)</f>
        <v>Tridonic Inc., LC 35 W 150–1050mA/28004443, Driver, 35W, 0-10V to 1% Dimming, Monochromatic, Linear Form, Constant Current, 150-1050mA, 1 Channel, 100-240V Input Voltage</v>
      </c>
      <c r="W380" s="19"/>
      <c r="X380" s="19"/>
      <c r="Y380" s="72">
        <v>11.01</v>
      </c>
      <c r="Z380" s="92">
        <v>1</v>
      </c>
      <c r="AA380" s="92">
        <v>1.5</v>
      </c>
    </row>
    <row r="381" spans="1:27" x14ac:dyDescent="0.25">
      <c r="A381" s="33">
        <f t="shared" si="63"/>
        <v>378</v>
      </c>
      <c r="B381" s="19" t="s">
        <v>1000</v>
      </c>
      <c r="C381" s="19" t="s">
        <v>1001</v>
      </c>
      <c r="D381" s="19" t="s">
        <v>982</v>
      </c>
      <c r="E381" s="19" t="s">
        <v>985</v>
      </c>
      <c r="F381" s="19"/>
      <c r="G381" s="19"/>
      <c r="H381" s="19">
        <v>60</v>
      </c>
      <c r="I381" s="19" t="s">
        <v>126</v>
      </c>
      <c r="J381" s="19"/>
      <c r="K381" s="19" t="s">
        <v>997</v>
      </c>
      <c r="L381" s="19"/>
      <c r="M381" s="19"/>
      <c r="N381" s="19"/>
      <c r="O381" s="29" t="s">
        <v>998</v>
      </c>
      <c r="P381" s="19"/>
      <c r="Q381" s="19" t="s">
        <v>395</v>
      </c>
      <c r="R381" s="19"/>
      <c r="S381" s="19"/>
      <c r="T381" s="19">
        <v>2</v>
      </c>
      <c r="U381" s="20">
        <f t="shared" si="74"/>
        <v>12.111000000000001</v>
      </c>
      <c r="V381" s="37" t="str">
        <f>VLOOKUP(C381,[1]Drivers!$O$3:$S$196,5,FALSE)</f>
        <v>Tridonic Inc., LC 35 W 150–1050mA/28004443, Driver, 35W, 0-10V to 1% Dimming, Monochromatic, Linear Form, Constant Current, 150-1050mA, 1 Channel, 100-240V Input Voltage</v>
      </c>
      <c r="W381" s="29"/>
      <c r="X381" s="29"/>
      <c r="Y381" s="72">
        <v>11.01</v>
      </c>
      <c r="Z381" s="92">
        <v>1</v>
      </c>
      <c r="AA381" s="92">
        <v>1.5</v>
      </c>
    </row>
    <row r="382" spans="1:27" x14ac:dyDescent="0.25">
      <c r="A382" s="33">
        <f t="shared" si="63"/>
        <v>379</v>
      </c>
      <c r="B382" s="19" t="s">
        <v>1000</v>
      </c>
      <c r="C382" s="19" t="s">
        <v>1001</v>
      </c>
      <c r="D382" s="19" t="s">
        <v>982</v>
      </c>
      <c r="E382" s="19" t="s">
        <v>985</v>
      </c>
      <c r="F382" s="19"/>
      <c r="G382" s="19"/>
      <c r="H382" s="19">
        <v>24</v>
      </c>
      <c r="I382" s="19" t="s">
        <v>144</v>
      </c>
      <c r="J382" s="19"/>
      <c r="K382" s="19" t="s">
        <v>997</v>
      </c>
      <c r="L382" s="19"/>
      <c r="M382" s="19"/>
      <c r="N382" s="19"/>
      <c r="O382" s="29" t="s">
        <v>998</v>
      </c>
      <c r="P382" s="19"/>
      <c r="Q382" s="19" t="s">
        <v>395</v>
      </c>
      <c r="R382" s="19"/>
      <c r="S382" s="19"/>
      <c r="T382" s="19">
        <v>1</v>
      </c>
      <c r="U382" s="20">
        <f t="shared" si="74"/>
        <v>12.111000000000001</v>
      </c>
      <c r="V382" s="37" t="str">
        <f>VLOOKUP(C382,[1]Drivers!$O$3:$S$196,5,FALSE)</f>
        <v>Tridonic Inc., LC 35 W 150–1050mA/28004443, Driver, 35W, 0-10V to 1% Dimming, Monochromatic, Linear Form, Constant Current, 150-1050mA, 1 Channel, 100-240V Input Voltage</v>
      </c>
      <c r="W382" s="19"/>
      <c r="X382" s="19"/>
      <c r="Y382" s="72">
        <v>11.01</v>
      </c>
      <c r="Z382" s="92">
        <v>1</v>
      </c>
      <c r="AA382" s="92">
        <v>1.5</v>
      </c>
    </row>
    <row r="383" spans="1:27" x14ac:dyDescent="0.25">
      <c r="A383" s="33">
        <f t="shared" si="63"/>
        <v>380</v>
      </c>
      <c r="B383" s="19" t="s">
        <v>1000</v>
      </c>
      <c r="C383" s="19" t="s">
        <v>1001</v>
      </c>
      <c r="D383" s="19" t="s">
        <v>982</v>
      </c>
      <c r="E383" s="19" t="s">
        <v>985</v>
      </c>
      <c r="F383" s="19"/>
      <c r="G383" s="19"/>
      <c r="H383" s="19">
        <v>60</v>
      </c>
      <c r="I383" s="19" t="s">
        <v>103</v>
      </c>
      <c r="J383" s="19"/>
      <c r="K383" s="19" t="s">
        <v>997</v>
      </c>
      <c r="L383" s="19"/>
      <c r="M383" s="19"/>
      <c r="N383" s="19"/>
      <c r="O383" s="29" t="s">
        <v>998</v>
      </c>
      <c r="P383" s="19"/>
      <c r="Q383" s="19" t="s">
        <v>395</v>
      </c>
      <c r="R383" s="19"/>
      <c r="S383" s="19"/>
      <c r="T383" s="19">
        <v>2</v>
      </c>
      <c r="U383" s="20">
        <f t="shared" si="74"/>
        <v>12.111000000000001</v>
      </c>
      <c r="V383" s="37" t="str">
        <f>VLOOKUP(C383,[1]Drivers!$O$3:$S$196,5,FALSE)</f>
        <v>Tridonic Inc., LC 35 W 150–1050mA/28004443, Driver, 35W, 0-10V to 1% Dimming, Monochromatic, Linear Form, Constant Current, 150-1050mA, 1 Channel, 100-240V Input Voltage</v>
      </c>
      <c r="W383" s="19"/>
      <c r="X383" s="19"/>
      <c r="Y383" s="72">
        <v>11.01</v>
      </c>
      <c r="Z383" s="92">
        <v>1</v>
      </c>
      <c r="AA383" s="92">
        <v>1.5</v>
      </c>
    </row>
    <row r="384" spans="1:27" x14ac:dyDescent="0.25">
      <c r="A384" s="33">
        <f t="shared" si="63"/>
        <v>381</v>
      </c>
      <c r="B384" s="19" t="s">
        <v>1000</v>
      </c>
      <c r="C384" s="19" t="s">
        <v>1001</v>
      </c>
      <c r="D384" s="19" t="s">
        <v>982</v>
      </c>
      <c r="E384" s="19" t="s">
        <v>988</v>
      </c>
      <c r="F384" s="19"/>
      <c r="G384" s="19"/>
      <c r="H384" s="19" t="s">
        <v>1009</v>
      </c>
      <c r="I384" s="19" t="s">
        <v>168</v>
      </c>
      <c r="J384" s="19"/>
      <c r="K384" s="19" t="s">
        <v>997</v>
      </c>
      <c r="L384" s="19"/>
      <c r="M384" s="19"/>
      <c r="N384" s="19"/>
      <c r="O384" s="29" t="s">
        <v>187</v>
      </c>
      <c r="P384" s="19"/>
      <c r="Q384" s="19" t="s">
        <v>395</v>
      </c>
      <c r="R384" s="19"/>
      <c r="S384" s="19"/>
      <c r="T384" s="19">
        <v>1</v>
      </c>
      <c r="U384" s="20">
        <f t="shared" si="74"/>
        <v>12.111000000000001</v>
      </c>
      <c r="V384" s="37" t="str">
        <f>VLOOKUP(C384,[1]Drivers!$O$3:$S$196,5,FALSE)</f>
        <v>Tridonic Inc., LC 35 W 150–1050mA/28004443, Driver, 35W, 0-10V to 1% Dimming, Monochromatic, Linear Form, Constant Current, 150-1050mA, 1 Channel, 100-240V Input Voltage</v>
      </c>
      <c r="W384" s="19"/>
      <c r="X384" s="19"/>
      <c r="Y384" s="72">
        <v>11.01</v>
      </c>
      <c r="Z384" s="92">
        <v>1</v>
      </c>
      <c r="AA384" s="92">
        <v>1.5</v>
      </c>
    </row>
    <row r="385" spans="1:27" x14ac:dyDescent="0.25">
      <c r="A385" s="33">
        <f t="shared" si="63"/>
        <v>382</v>
      </c>
      <c r="B385" s="19" t="s">
        <v>1010</v>
      </c>
      <c r="C385" s="19" t="s">
        <v>1011</v>
      </c>
      <c r="D385" s="19" t="s">
        <v>982</v>
      </c>
      <c r="E385" s="19" t="s">
        <v>1004</v>
      </c>
      <c r="F385" s="19"/>
      <c r="G385" s="19"/>
      <c r="H385" s="19" t="s">
        <v>1012</v>
      </c>
      <c r="I385" s="19" t="s">
        <v>126</v>
      </c>
      <c r="J385" s="19"/>
      <c r="K385" s="19" t="s">
        <v>997</v>
      </c>
      <c r="L385" s="19"/>
      <c r="M385" s="19"/>
      <c r="N385" s="19"/>
      <c r="O385" s="29" t="s">
        <v>998</v>
      </c>
      <c r="P385" s="19"/>
      <c r="Q385" s="19" t="s">
        <v>395</v>
      </c>
      <c r="R385" s="19"/>
      <c r="S385" s="19"/>
      <c r="T385" s="19">
        <v>1</v>
      </c>
      <c r="U385" s="20">
        <f t="shared" si="74"/>
        <v>12.111000000000001</v>
      </c>
      <c r="V385" s="37" t="str">
        <f>VLOOKUP(C385,[1]Drivers!$O$3:$S$196,5,FALSE)</f>
        <v>Tridonic Inc., LC 50-400–1400mA/28004444, Driver, 50W, 0-10V to 1% Dimming, Monochromatic, Linear Form, Constant Current, 400-1400mA, 1 Channel, 100-240V Input Voltage</v>
      </c>
      <c r="W385" s="19"/>
      <c r="X385" s="19"/>
      <c r="Y385" s="72">
        <v>11.01</v>
      </c>
      <c r="Z385" s="92">
        <v>1</v>
      </c>
      <c r="AA385" s="92">
        <v>1.5</v>
      </c>
    </row>
    <row r="386" spans="1:27" x14ac:dyDescent="0.25">
      <c r="A386" s="33">
        <f t="shared" si="63"/>
        <v>383</v>
      </c>
      <c r="B386" s="19" t="s">
        <v>1010</v>
      </c>
      <c r="C386" s="19" t="s">
        <v>1011</v>
      </c>
      <c r="D386" s="19" t="s">
        <v>982</v>
      </c>
      <c r="E386" s="19" t="s">
        <v>1004</v>
      </c>
      <c r="F386" s="19"/>
      <c r="G386" s="19"/>
      <c r="H386" s="19" t="s">
        <v>1007</v>
      </c>
      <c r="I386" s="19" t="s">
        <v>144</v>
      </c>
      <c r="J386" s="19"/>
      <c r="K386" s="19" t="s">
        <v>997</v>
      </c>
      <c r="L386" s="19"/>
      <c r="M386" s="19"/>
      <c r="N386" s="19"/>
      <c r="O386" s="29" t="s">
        <v>998</v>
      </c>
      <c r="P386" s="19"/>
      <c r="Q386" s="19" t="s">
        <v>395</v>
      </c>
      <c r="R386" s="19"/>
      <c r="S386" s="19"/>
      <c r="T386" s="19">
        <v>1</v>
      </c>
      <c r="U386" s="20">
        <f t="shared" si="74"/>
        <v>12.111000000000001</v>
      </c>
      <c r="V386" s="37" t="str">
        <f>VLOOKUP(C386,[1]Drivers!$O$3:$S$196,5,FALSE)</f>
        <v>Tridonic Inc., LC 50-400–1400mA/28004444, Driver, 50W, 0-10V to 1% Dimming, Monochromatic, Linear Form, Constant Current, 400-1400mA, 1 Channel, 100-240V Input Voltage</v>
      </c>
      <c r="W386" s="19"/>
      <c r="X386" s="19"/>
      <c r="Y386" s="72">
        <v>11.01</v>
      </c>
      <c r="Z386" s="92">
        <v>1</v>
      </c>
      <c r="AA386" s="92">
        <v>1.5</v>
      </c>
    </row>
    <row r="387" spans="1:27" x14ac:dyDescent="0.25">
      <c r="A387" s="33">
        <f t="shared" si="63"/>
        <v>384</v>
      </c>
      <c r="B387" s="19" t="s">
        <v>1010</v>
      </c>
      <c r="C387" s="19" t="s">
        <v>1011</v>
      </c>
      <c r="D387" s="19" t="s">
        <v>982</v>
      </c>
      <c r="E387" s="19" t="s">
        <v>1004</v>
      </c>
      <c r="F387" s="19"/>
      <c r="G387" s="19"/>
      <c r="H387" s="19">
        <v>24</v>
      </c>
      <c r="I387" s="19" t="s">
        <v>165</v>
      </c>
      <c r="J387" s="19"/>
      <c r="K387" s="19" t="s">
        <v>997</v>
      </c>
      <c r="L387" s="19"/>
      <c r="M387" s="19"/>
      <c r="N387" s="19"/>
      <c r="O387" s="29" t="s">
        <v>998</v>
      </c>
      <c r="P387" s="19"/>
      <c r="Q387" s="19" t="s">
        <v>395</v>
      </c>
      <c r="R387" s="19"/>
      <c r="S387" s="19"/>
      <c r="T387" s="19">
        <v>1</v>
      </c>
      <c r="U387" s="20">
        <f t="shared" si="74"/>
        <v>12.111000000000001</v>
      </c>
      <c r="V387" s="37" t="str">
        <f>VLOOKUP(C387,[1]Drivers!$O$3:$S$196,5,FALSE)</f>
        <v>Tridonic Inc., LC 50-400–1400mA/28004444, Driver, 50W, 0-10V to 1% Dimming, Monochromatic, Linear Form, Constant Current, 400-1400mA, 1 Channel, 100-240V Input Voltage</v>
      </c>
      <c r="W387" s="19"/>
      <c r="X387" s="19"/>
      <c r="Y387" s="72">
        <v>11.01</v>
      </c>
      <c r="Z387" s="92">
        <v>1</v>
      </c>
      <c r="AA387" s="92">
        <v>1.5</v>
      </c>
    </row>
    <row r="388" spans="1:27" x14ac:dyDescent="0.25">
      <c r="A388" s="33">
        <f t="shared" si="63"/>
        <v>385</v>
      </c>
      <c r="B388" s="19" t="s">
        <v>1010</v>
      </c>
      <c r="C388" s="19" t="s">
        <v>1011</v>
      </c>
      <c r="D388" s="19" t="s">
        <v>982</v>
      </c>
      <c r="E388" s="19" t="s">
        <v>1004</v>
      </c>
      <c r="F388" s="19"/>
      <c r="G388" s="19"/>
      <c r="H388" s="19">
        <v>60</v>
      </c>
      <c r="I388" s="19" t="s">
        <v>144</v>
      </c>
      <c r="J388" s="19"/>
      <c r="K388" s="19" t="s">
        <v>997</v>
      </c>
      <c r="L388" s="19"/>
      <c r="M388" s="19"/>
      <c r="N388" s="19"/>
      <c r="O388" s="29" t="s">
        <v>998</v>
      </c>
      <c r="P388" s="19"/>
      <c r="Q388" s="19" t="s">
        <v>395</v>
      </c>
      <c r="R388" s="19"/>
      <c r="S388" s="19"/>
      <c r="T388" s="19">
        <v>2</v>
      </c>
      <c r="U388" s="20">
        <f t="shared" si="74"/>
        <v>12.111000000000001</v>
      </c>
      <c r="V388" s="37" t="str">
        <f>VLOOKUP(C388,[1]Drivers!$O$3:$S$196,5,FALSE)</f>
        <v>Tridonic Inc., LC 50-400–1400mA/28004444, Driver, 50W, 0-10V to 1% Dimming, Monochromatic, Linear Form, Constant Current, 400-1400mA, 1 Channel, 100-240V Input Voltage</v>
      </c>
      <c r="W388" s="19"/>
      <c r="X388" s="19"/>
      <c r="Y388" s="72">
        <v>11.01</v>
      </c>
      <c r="Z388" s="92">
        <v>1</v>
      </c>
      <c r="AA388" s="92">
        <v>1.5</v>
      </c>
    </row>
    <row r="389" spans="1:27" x14ac:dyDescent="0.25">
      <c r="A389" s="33">
        <f t="shared" si="63"/>
        <v>386</v>
      </c>
      <c r="B389" s="19" t="s">
        <v>1010</v>
      </c>
      <c r="C389" s="19" t="s">
        <v>1011</v>
      </c>
      <c r="D389" s="19" t="s">
        <v>982</v>
      </c>
      <c r="E389" s="19" t="s">
        <v>985</v>
      </c>
      <c r="F389" s="19"/>
      <c r="G389" s="19"/>
      <c r="H389" s="19">
        <v>48</v>
      </c>
      <c r="I389" s="19" t="s">
        <v>126</v>
      </c>
      <c r="J389" s="19"/>
      <c r="K389" s="19" t="s">
        <v>997</v>
      </c>
      <c r="L389" s="19"/>
      <c r="M389" s="19"/>
      <c r="N389" s="19"/>
      <c r="O389" s="29" t="s">
        <v>998</v>
      </c>
      <c r="P389" s="19"/>
      <c r="Q389" s="19" t="s">
        <v>395</v>
      </c>
      <c r="R389" s="19"/>
      <c r="S389" s="19"/>
      <c r="T389" s="19">
        <v>1</v>
      </c>
      <c r="U389" s="20">
        <f t="shared" si="74"/>
        <v>12.111000000000001</v>
      </c>
      <c r="V389" s="37" t="str">
        <f>VLOOKUP(C389,[1]Drivers!$O$3:$S$196,5,FALSE)</f>
        <v>Tridonic Inc., LC 50-400–1400mA/28004444, Driver, 50W, 0-10V to 1% Dimming, Monochromatic, Linear Form, Constant Current, 400-1400mA, 1 Channel, 100-240V Input Voltage</v>
      </c>
      <c r="W389" s="19"/>
      <c r="X389" s="19"/>
      <c r="Y389" s="72">
        <v>11.01</v>
      </c>
      <c r="Z389" s="92">
        <v>1</v>
      </c>
      <c r="AA389" s="92">
        <v>1.5</v>
      </c>
    </row>
    <row r="390" spans="1:27" x14ac:dyDescent="0.25">
      <c r="A390" s="33">
        <f t="shared" si="63"/>
        <v>387</v>
      </c>
      <c r="B390" s="19" t="s">
        <v>1010</v>
      </c>
      <c r="C390" s="19" t="s">
        <v>1011</v>
      </c>
      <c r="D390" s="19" t="s">
        <v>982</v>
      </c>
      <c r="E390" s="19" t="s">
        <v>985</v>
      </c>
      <c r="F390" s="19"/>
      <c r="G390" s="19"/>
      <c r="H390" s="19">
        <v>36</v>
      </c>
      <c r="I390" s="19" t="s">
        <v>144</v>
      </c>
      <c r="J390" s="19"/>
      <c r="K390" s="19" t="s">
        <v>997</v>
      </c>
      <c r="L390" s="19"/>
      <c r="M390" s="19"/>
      <c r="N390" s="19"/>
      <c r="O390" s="29" t="s">
        <v>998</v>
      </c>
      <c r="P390" s="19"/>
      <c r="Q390" s="19" t="s">
        <v>395</v>
      </c>
      <c r="R390" s="19"/>
      <c r="S390" s="19"/>
      <c r="T390" s="19">
        <v>1</v>
      </c>
      <c r="U390" s="20">
        <f t="shared" si="74"/>
        <v>12.111000000000001</v>
      </c>
      <c r="V390" s="37" t="str">
        <f>VLOOKUP(C390,[1]Drivers!$O$3:$S$196,5,FALSE)</f>
        <v>Tridonic Inc., LC 50-400–1400mA/28004444, Driver, 50W, 0-10V to 1% Dimming, Monochromatic, Linear Form, Constant Current, 400-1400mA, 1 Channel, 100-240V Input Voltage</v>
      </c>
      <c r="W390" s="19"/>
      <c r="X390" s="19"/>
      <c r="Y390" s="72">
        <v>11.01</v>
      </c>
      <c r="Z390" s="92">
        <v>1</v>
      </c>
      <c r="AA390" s="92">
        <v>1.5</v>
      </c>
    </row>
    <row r="391" spans="1:27" x14ac:dyDescent="0.25">
      <c r="A391" s="33">
        <f t="shared" si="63"/>
        <v>388</v>
      </c>
      <c r="B391" s="19" t="s">
        <v>1010</v>
      </c>
      <c r="C391" s="19" t="s">
        <v>1011</v>
      </c>
      <c r="D391" s="19" t="s">
        <v>982</v>
      </c>
      <c r="E391" s="19" t="s">
        <v>985</v>
      </c>
      <c r="F391" s="19"/>
      <c r="G391" s="19"/>
      <c r="H391" s="19">
        <v>60</v>
      </c>
      <c r="I391" s="19" t="s">
        <v>144</v>
      </c>
      <c r="J391" s="19"/>
      <c r="K391" s="19" t="s">
        <v>997</v>
      </c>
      <c r="L391" s="19"/>
      <c r="M391" s="19"/>
      <c r="N391" s="19"/>
      <c r="O391" s="29" t="s">
        <v>998</v>
      </c>
      <c r="P391" s="19"/>
      <c r="Q391" s="19" t="s">
        <v>395</v>
      </c>
      <c r="R391" s="19"/>
      <c r="S391" s="19"/>
      <c r="T391" s="19">
        <v>2</v>
      </c>
      <c r="U391" s="20">
        <f t="shared" si="74"/>
        <v>12.111000000000001</v>
      </c>
      <c r="V391" s="37" t="str">
        <f>VLOOKUP(C391,[1]Drivers!$O$3:$S$196,5,FALSE)</f>
        <v>Tridonic Inc., LC 50-400–1400mA/28004444, Driver, 50W, 0-10V to 1% Dimming, Monochromatic, Linear Form, Constant Current, 400-1400mA, 1 Channel, 100-240V Input Voltage</v>
      </c>
      <c r="W391" s="19"/>
      <c r="X391" s="19"/>
      <c r="Y391" s="72">
        <v>11.01</v>
      </c>
      <c r="Z391" s="92">
        <v>1</v>
      </c>
      <c r="AA391" s="92">
        <v>1.5</v>
      </c>
    </row>
    <row r="392" spans="1:27" x14ac:dyDescent="0.25">
      <c r="A392" s="33">
        <f t="shared" si="63"/>
        <v>389</v>
      </c>
      <c r="B392" s="19" t="s">
        <v>1010</v>
      </c>
      <c r="C392" s="19" t="s">
        <v>1011</v>
      </c>
      <c r="D392" s="19" t="s">
        <v>982</v>
      </c>
      <c r="E392" s="19" t="s">
        <v>985</v>
      </c>
      <c r="F392" s="19"/>
      <c r="G392" s="19"/>
      <c r="H392" s="19">
        <v>48</v>
      </c>
      <c r="I392" s="19" t="s">
        <v>165</v>
      </c>
      <c r="J392" s="19"/>
      <c r="K392" s="19" t="s">
        <v>997</v>
      </c>
      <c r="L392" s="19"/>
      <c r="M392" s="19"/>
      <c r="N392" s="19"/>
      <c r="O392" s="29" t="s">
        <v>1013</v>
      </c>
      <c r="P392" s="19"/>
      <c r="Q392" s="19" t="s">
        <v>395</v>
      </c>
      <c r="R392" s="19"/>
      <c r="S392" s="19"/>
      <c r="T392" s="19">
        <v>2</v>
      </c>
      <c r="U392" s="20">
        <f t="shared" si="74"/>
        <v>12.111000000000001</v>
      </c>
      <c r="V392" s="37" t="str">
        <f>VLOOKUP(C392,[1]Drivers!$O$3:$S$196,5,FALSE)</f>
        <v>Tridonic Inc., LC 50-400–1400mA/28004444, Driver, 50W, 0-10V to 1% Dimming, Monochromatic, Linear Form, Constant Current, 400-1400mA, 1 Channel, 100-240V Input Voltage</v>
      </c>
      <c r="W392" s="29"/>
      <c r="X392" s="29"/>
      <c r="Y392" s="72">
        <v>11.01</v>
      </c>
      <c r="Z392" s="92">
        <v>1</v>
      </c>
      <c r="AA392" s="92">
        <v>1.5</v>
      </c>
    </row>
    <row r="393" spans="1:27" x14ac:dyDescent="0.25">
      <c r="A393" s="33">
        <f t="shared" si="63"/>
        <v>390</v>
      </c>
      <c r="B393" s="19" t="s">
        <v>1010</v>
      </c>
      <c r="C393" s="19" t="s">
        <v>1011</v>
      </c>
      <c r="D393" s="19" t="s">
        <v>982</v>
      </c>
      <c r="E393" s="19" t="s">
        <v>985</v>
      </c>
      <c r="F393" s="19"/>
      <c r="G393" s="19"/>
      <c r="H393" s="19" t="s">
        <v>1009</v>
      </c>
      <c r="I393" s="19" t="s">
        <v>165</v>
      </c>
      <c r="J393" s="19"/>
      <c r="K393" s="19" t="s">
        <v>997</v>
      </c>
      <c r="L393" s="19"/>
      <c r="M393" s="19"/>
      <c r="N393" s="19"/>
      <c r="O393" s="29" t="s">
        <v>998</v>
      </c>
      <c r="P393" s="19"/>
      <c r="Q393" s="19" t="s">
        <v>395</v>
      </c>
      <c r="R393" s="19"/>
      <c r="S393" s="19"/>
      <c r="T393" s="19">
        <v>1</v>
      </c>
      <c r="U393" s="20">
        <f t="shared" si="74"/>
        <v>12.111000000000001</v>
      </c>
      <c r="V393" s="37" t="str">
        <f>VLOOKUP(C393,[1]Drivers!$O$3:$S$196,5,FALSE)</f>
        <v>Tridonic Inc., LC 50-400–1400mA/28004444, Driver, 50W, 0-10V to 1% Dimming, Monochromatic, Linear Form, Constant Current, 400-1400mA, 1 Channel, 100-240V Input Voltage</v>
      </c>
      <c r="W393" s="29"/>
      <c r="X393" s="29"/>
      <c r="Y393" s="72">
        <v>11.01</v>
      </c>
      <c r="Z393" s="92">
        <v>1</v>
      </c>
      <c r="AA393" s="92">
        <v>1.5</v>
      </c>
    </row>
    <row r="394" spans="1:27" x14ac:dyDescent="0.25">
      <c r="A394" s="33">
        <f t="shared" si="63"/>
        <v>391</v>
      </c>
      <c r="B394" s="19" t="s">
        <v>1010</v>
      </c>
      <c r="C394" s="19" t="s">
        <v>1011</v>
      </c>
      <c r="D394" s="19" t="s">
        <v>982</v>
      </c>
      <c r="E394" s="19" t="s">
        <v>988</v>
      </c>
      <c r="F394" s="19"/>
      <c r="G394" s="19"/>
      <c r="H394" s="19" t="s">
        <v>1014</v>
      </c>
      <c r="I394" s="19" t="s">
        <v>168</v>
      </c>
      <c r="J394" s="19"/>
      <c r="K394" s="19" t="s">
        <v>997</v>
      </c>
      <c r="L394" s="19"/>
      <c r="M394" s="19"/>
      <c r="N394" s="19"/>
      <c r="O394" s="29" t="s">
        <v>187</v>
      </c>
      <c r="P394" s="19"/>
      <c r="Q394" s="19" t="s">
        <v>395</v>
      </c>
      <c r="R394" s="19"/>
      <c r="S394" s="19"/>
      <c r="T394" s="19">
        <v>1</v>
      </c>
      <c r="U394" s="20">
        <f t="shared" si="74"/>
        <v>12.111000000000001</v>
      </c>
      <c r="V394" s="37" t="str">
        <f>VLOOKUP(C394,[1]Drivers!$O$3:$S$196,5,FALSE)</f>
        <v>Tridonic Inc., LC 50-400–1400mA/28004444, Driver, 50W, 0-10V to 1% Dimming, Monochromatic, Linear Form, Constant Current, 400-1400mA, 1 Channel, 100-240V Input Voltage</v>
      </c>
      <c r="W394" s="29"/>
      <c r="X394" s="29"/>
      <c r="Y394" s="72">
        <v>11.01</v>
      </c>
      <c r="Z394" s="92">
        <v>1</v>
      </c>
      <c r="AA394" s="92">
        <v>1.5</v>
      </c>
    </row>
    <row r="395" spans="1:27" x14ac:dyDescent="0.25">
      <c r="A395" s="33">
        <f t="shared" si="63"/>
        <v>392</v>
      </c>
      <c r="B395" s="19" t="s">
        <v>1010</v>
      </c>
      <c r="C395" s="19" t="s">
        <v>1011</v>
      </c>
      <c r="D395" s="19" t="s">
        <v>982</v>
      </c>
      <c r="E395" s="19" t="s">
        <v>988</v>
      </c>
      <c r="F395" s="19"/>
      <c r="G395" s="19"/>
      <c r="H395" s="19">
        <v>24</v>
      </c>
      <c r="I395" s="19" t="s">
        <v>22</v>
      </c>
      <c r="J395" s="19"/>
      <c r="K395" s="19" t="s">
        <v>997</v>
      </c>
      <c r="L395" s="19"/>
      <c r="M395" s="19"/>
      <c r="N395" s="19"/>
      <c r="O395" s="29" t="s">
        <v>187</v>
      </c>
      <c r="P395" s="19"/>
      <c r="Q395" s="19" t="s">
        <v>395</v>
      </c>
      <c r="R395" s="19"/>
      <c r="S395" s="19"/>
      <c r="T395" s="19">
        <v>1</v>
      </c>
      <c r="U395" s="20">
        <f t="shared" si="74"/>
        <v>12.111000000000001</v>
      </c>
      <c r="V395" s="37" t="str">
        <f>VLOOKUP(C395,[1]Drivers!$O$3:$S$196,5,FALSE)</f>
        <v>Tridonic Inc., LC 50-400–1400mA/28004444, Driver, 50W, 0-10V to 1% Dimming, Monochromatic, Linear Form, Constant Current, 400-1400mA, 1 Channel, 100-240V Input Voltage</v>
      </c>
      <c r="W395" s="19"/>
      <c r="X395" s="19"/>
      <c r="Y395" s="72">
        <v>11.01</v>
      </c>
      <c r="Z395" s="92">
        <v>1</v>
      </c>
      <c r="AA395" s="92">
        <v>1.5</v>
      </c>
    </row>
    <row r="396" spans="1:27" x14ac:dyDescent="0.25">
      <c r="A396" s="33">
        <f t="shared" si="63"/>
        <v>393</v>
      </c>
      <c r="B396" s="19" t="s">
        <v>1010</v>
      </c>
      <c r="C396" s="19" t="s">
        <v>1011</v>
      </c>
      <c r="D396" s="19" t="s">
        <v>982</v>
      </c>
      <c r="E396" s="19" t="s">
        <v>988</v>
      </c>
      <c r="F396" s="19"/>
      <c r="G396" s="19"/>
      <c r="H396" s="19">
        <v>60</v>
      </c>
      <c r="I396" s="19" t="s">
        <v>22</v>
      </c>
      <c r="J396" s="19"/>
      <c r="K396" s="19" t="s">
        <v>997</v>
      </c>
      <c r="L396" s="19"/>
      <c r="M396" s="19"/>
      <c r="N396" s="19"/>
      <c r="O396" s="29" t="s">
        <v>187</v>
      </c>
      <c r="P396" s="19"/>
      <c r="Q396" s="19" t="s">
        <v>395</v>
      </c>
      <c r="R396" s="19"/>
      <c r="S396" s="19"/>
      <c r="T396" s="19">
        <v>2</v>
      </c>
      <c r="U396" s="20">
        <f t="shared" si="74"/>
        <v>12.111000000000001</v>
      </c>
      <c r="V396" s="37" t="str">
        <f>VLOOKUP(C396,[1]Drivers!$O$3:$S$196,5,FALSE)</f>
        <v>Tridonic Inc., LC 50-400–1400mA/28004444, Driver, 50W, 0-10V to 1% Dimming, Monochromatic, Linear Form, Constant Current, 400-1400mA, 1 Channel, 100-240V Input Voltage</v>
      </c>
      <c r="W396" s="19"/>
      <c r="X396" s="19"/>
      <c r="Y396" s="72">
        <v>11.01</v>
      </c>
      <c r="Z396" s="92">
        <v>1</v>
      </c>
      <c r="AA396" s="92">
        <v>1.5</v>
      </c>
    </row>
    <row r="397" spans="1:27" x14ac:dyDescent="0.25">
      <c r="A397" s="33">
        <f t="shared" si="63"/>
        <v>394</v>
      </c>
      <c r="B397" s="19" t="s">
        <v>1015</v>
      </c>
      <c r="C397" s="19" t="s">
        <v>1016</v>
      </c>
      <c r="D397" s="19" t="s">
        <v>982</v>
      </c>
      <c r="E397" s="19" t="s">
        <v>1004</v>
      </c>
      <c r="F397" s="19"/>
      <c r="G397" s="19"/>
      <c r="H397" s="19">
        <v>60</v>
      </c>
      <c r="I397" s="19" t="s">
        <v>126</v>
      </c>
      <c r="J397" s="19"/>
      <c r="K397" s="19" t="s">
        <v>997</v>
      </c>
      <c r="L397" s="19"/>
      <c r="M397" s="19"/>
      <c r="N397" s="19"/>
      <c r="O397" s="29" t="s">
        <v>998</v>
      </c>
      <c r="P397" s="19"/>
      <c r="Q397" s="19" t="s">
        <v>395</v>
      </c>
      <c r="R397" s="19"/>
      <c r="S397" s="19"/>
      <c r="T397" s="19">
        <v>1</v>
      </c>
      <c r="U397" s="20">
        <f t="shared" si="74"/>
        <v>16.984000000000002</v>
      </c>
      <c r="V397" s="37" t="str">
        <f>VLOOKUP(C397,[1]Drivers!$O$3:$S$196,5,FALSE)</f>
        <v>Tridonic Inc., LC 85-700–2300mA/28004445, Driver, 85W, 0-10V to 1% Dimming, Monochromatic, Linear Form, Constant Current, 700-2300mA, 1 Channel, 100-240V Input Voltage</v>
      </c>
      <c r="W397" s="19"/>
      <c r="X397" s="19"/>
      <c r="Y397" s="72">
        <v>15.44</v>
      </c>
      <c r="Z397" s="92">
        <v>1</v>
      </c>
      <c r="AA397" s="92">
        <v>1.5</v>
      </c>
    </row>
    <row r="398" spans="1:27" x14ac:dyDescent="0.25">
      <c r="A398" s="33">
        <f t="shared" si="63"/>
        <v>395</v>
      </c>
      <c r="B398" s="19" t="s">
        <v>1015</v>
      </c>
      <c r="C398" s="19" t="s">
        <v>1016</v>
      </c>
      <c r="D398" s="19" t="s">
        <v>982</v>
      </c>
      <c r="E398" s="19" t="s">
        <v>1004</v>
      </c>
      <c r="F398" s="19"/>
      <c r="G398" s="19"/>
      <c r="H398" s="19" t="s">
        <v>1012</v>
      </c>
      <c r="I398" s="19" t="s">
        <v>144</v>
      </c>
      <c r="J398" s="19"/>
      <c r="K398" s="19" t="s">
        <v>997</v>
      </c>
      <c r="L398" s="19"/>
      <c r="M398" s="19"/>
      <c r="N398" s="19"/>
      <c r="O398" s="29" t="s">
        <v>998</v>
      </c>
      <c r="P398" s="19"/>
      <c r="Q398" s="19" t="s">
        <v>395</v>
      </c>
      <c r="R398" s="19"/>
      <c r="S398" s="19"/>
      <c r="T398" s="19">
        <v>1</v>
      </c>
      <c r="U398" s="20">
        <f t="shared" si="74"/>
        <v>16.984000000000002</v>
      </c>
      <c r="V398" s="37" t="str">
        <f>VLOOKUP(C398,[1]Drivers!$O$3:$S$196,5,FALSE)</f>
        <v>Tridonic Inc., LC 85-700–2300mA/28004445, Driver, 85W, 0-10V to 1% Dimming, Monochromatic, Linear Form, Constant Current, 700-2300mA, 1 Channel, 100-240V Input Voltage</v>
      </c>
      <c r="W398" s="19"/>
      <c r="X398" s="19"/>
      <c r="Y398" s="72">
        <v>15.44</v>
      </c>
      <c r="Z398" s="92">
        <v>1</v>
      </c>
      <c r="AA398" s="92">
        <v>1.5</v>
      </c>
    </row>
    <row r="399" spans="1:27" x14ac:dyDescent="0.25">
      <c r="A399" s="33">
        <f t="shared" si="63"/>
        <v>396</v>
      </c>
      <c r="B399" s="19" t="s">
        <v>1015</v>
      </c>
      <c r="C399" s="19" t="s">
        <v>1016</v>
      </c>
      <c r="D399" s="19" t="s">
        <v>982</v>
      </c>
      <c r="E399" s="19" t="s">
        <v>1004</v>
      </c>
      <c r="F399" s="19"/>
      <c r="G399" s="19"/>
      <c r="H399" s="19" t="s">
        <v>993</v>
      </c>
      <c r="I399" s="19" t="s">
        <v>165</v>
      </c>
      <c r="J399" s="19"/>
      <c r="K399" s="19" t="s">
        <v>997</v>
      </c>
      <c r="L399" s="19"/>
      <c r="M399" s="19"/>
      <c r="N399" s="19"/>
      <c r="O399" s="29" t="s">
        <v>998</v>
      </c>
      <c r="P399" s="19"/>
      <c r="Q399" s="19" t="s">
        <v>395</v>
      </c>
      <c r="R399" s="19"/>
      <c r="S399" s="19"/>
      <c r="T399" s="19">
        <v>1</v>
      </c>
      <c r="U399" s="20">
        <f t="shared" si="74"/>
        <v>16.984000000000002</v>
      </c>
      <c r="V399" s="37" t="str">
        <f>VLOOKUP(C399,[1]Drivers!$O$3:$S$196,5,FALSE)</f>
        <v>Tridonic Inc., LC 85-700–2300mA/28004445, Driver, 85W, 0-10V to 1% Dimming, Monochromatic, Linear Form, Constant Current, 700-2300mA, 1 Channel, 100-240V Input Voltage</v>
      </c>
      <c r="W399" s="19"/>
      <c r="X399" s="19"/>
      <c r="Y399" s="72">
        <v>15.44</v>
      </c>
      <c r="Z399" s="92">
        <v>1</v>
      </c>
      <c r="AA399" s="92">
        <v>1.5</v>
      </c>
    </row>
    <row r="400" spans="1:27" x14ac:dyDescent="0.25">
      <c r="A400" s="33">
        <f t="shared" si="63"/>
        <v>397</v>
      </c>
      <c r="B400" s="19" t="s">
        <v>1015</v>
      </c>
      <c r="C400" s="19" t="s">
        <v>1016</v>
      </c>
      <c r="D400" s="19" t="s">
        <v>982</v>
      </c>
      <c r="E400" s="19" t="s">
        <v>1004</v>
      </c>
      <c r="F400" s="19"/>
      <c r="G400" s="19"/>
      <c r="H400" s="19" t="s">
        <v>389</v>
      </c>
      <c r="I400" s="19" t="s">
        <v>165</v>
      </c>
      <c r="J400" s="19"/>
      <c r="K400" s="19" t="s">
        <v>997</v>
      </c>
      <c r="L400" s="19"/>
      <c r="M400" s="19"/>
      <c r="N400" s="19"/>
      <c r="O400" s="29" t="s">
        <v>998</v>
      </c>
      <c r="P400" s="19"/>
      <c r="Q400" s="19" t="s">
        <v>395</v>
      </c>
      <c r="R400" s="19"/>
      <c r="S400" s="19"/>
      <c r="T400" s="19">
        <v>2</v>
      </c>
      <c r="U400" s="20">
        <f t="shared" si="74"/>
        <v>16.984000000000002</v>
      </c>
      <c r="V400" s="37" t="str">
        <f>VLOOKUP(C400,[1]Drivers!$O$3:$S$196,5,FALSE)</f>
        <v>Tridonic Inc., LC 85-700–2300mA/28004445, Driver, 85W, 0-10V to 1% Dimming, Monochromatic, Linear Form, Constant Current, 700-2300mA, 1 Channel, 100-240V Input Voltage</v>
      </c>
      <c r="W400" s="19"/>
      <c r="X400" s="19"/>
      <c r="Y400" s="72">
        <v>15.44</v>
      </c>
      <c r="Z400" s="92">
        <v>1</v>
      </c>
      <c r="AA400" s="92">
        <v>1.5</v>
      </c>
    </row>
    <row r="401" spans="1:27" x14ac:dyDescent="0.25">
      <c r="A401" s="33">
        <f t="shared" si="63"/>
        <v>398</v>
      </c>
      <c r="B401" s="19" t="s">
        <v>1015</v>
      </c>
      <c r="C401" s="19" t="s">
        <v>1016</v>
      </c>
      <c r="D401" s="19" t="s">
        <v>982</v>
      </c>
      <c r="E401" s="19" t="s">
        <v>985</v>
      </c>
      <c r="F401" s="19"/>
      <c r="G401" s="19"/>
      <c r="H401" s="19">
        <v>48</v>
      </c>
      <c r="I401" s="19" t="s">
        <v>144</v>
      </c>
      <c r="J401" s="19"/>
      <c r="K401" s="19" t="s">
        <v>997</v>
      </c>
      <c r="L401" s="19"/>
      <c r="M401" s="19"/>
      <c r="N401" s="19"/>
      <c r="O401" s="29" t="s">
        <v>998</v>
      </c>
      <c r="P401" s="19"/>
      <c r="Q401" s="19" t="s">
        <v>395</v>
      </c>
      <c r="R401" s="19"/>
      <c r="S401" s="19"/>
      <c r="T401" s="19">
        <v>1</v>
      </c>
      <c r="U401" s="20">
        <f t="shared" si="74"/>
        <v>16.984000000000002</v>
      </c>
      <c r="V401" s="37" t="str">
        <f>VLOOKUP(C401,[1]Drivers!$O$3:$S$196,5,FALSE)</f>
        <v>Tridonic Inc., LC 85-700–2300mA/28004445, Driver, 85W, 0-10V to 1% Dimming, Monochromatic, Linear Form, Constant Current, 700-2300mA, 1 Channel, 100-240V Input Voltage</v>
      </c>
      <c r="W401" s="19"/>
      <c r="X401" s="19"/>
      <c r="Y401" s="72">
        <v>15.44</v>
      </c>
      <c r="Z401" s="92">
        <v>1</v>
      </c>
      <c r="AA401" s="92">
        <v>1.5</v>
      </c>
    </row>
    <row r="402" spans="1:27" x14ac:dyDescent="0.25">
      <c r="A402" s="33">
        <f t="shared" si="63"/>
        <v>399</v>
      </c>
      <c r="B402" s="19" t="s">
        <v>1015</v>
      </c>
      <c r="C402" s="19" t="s">
        <v>1016</v>
      </c>
      <c r="D402" s="19" t="s">
        <v>982</v>
      </c>
      <c r="E402" s="19" t="s">
        <v>985</v>
      </c>
      <c r="F402" s="19"/>
      <c r="G402" s="19"/>
      <c r="H402" s="19">
        <v>60</v>
      </c>
      <c r="I402" s="19" t="s">
        <v>165</v>
      </c>
      <c r="J402" s="19"/>
      <c r="K402" s="19" t="s">
        <v>997</v>
      </c>
      <c r="L402" s="19"/>
      <c r="M402" s="19"/>
      <c r="N402" s="19"/>
      <c r="O402" s="29" t="s">
        <v>998</v>
      </c>
      <c r="P402" s="19"/>
      <c r="Q402" s="19" t="s">
        <v>395</v>
      </c>
      <c r="R402" s="19"/>
      <c r="S402" s="19"/>
      <c r="T402" s="19">
        <v>2</v>
      </c>
      <c r="U402" s="20">
        <f t="shared" si="74"/>
        <v>16.984000000000002</v>
      </c>
      <c r="V402" s="37" t="str">
        <f>VLOOKUP(C402,[1]Drivers!$O$3:$S$196,5,FALSE)</f>
        <v>Tridonic Inc., LC 85-700–2300mA/28004445, Driver, 85W, 0-10V to 1% Dimming, Monochromatic, Linear Form, Constant Current, 700-2300mA, 1 Channel, 100-240V Input Voltage</v>
      </c>
      <c r="W402" s="19"/>
      <c r="X402" s="19"/>
      <c r="Y402" s="72">
        <v>15.44</v>
      </c>
      <c r="Z402" s="92">
        <v>1</v>
      </c>
      <c r="AA402" s="92">
        <v>1.5</v>
      </c>
    </row>
    <row r="403" spans="1:27" x14ac:dyDescent="0.25">
      <c r="A403" s="33">
        <f t="shared" si="63"/>
        <v>400</v>
      </c>
      <c r="B403" s="19" t="s">
        <v>1015</v>
      </c>
      <c r="C403" s="19" t="s">
        <v>1016</v>
      </c>
      <c r="D403" s="19" t="s">
        <v>982</v>
      </c>
      <c r="E403" s="19" t="s">
        <v>988</v>
      </c>
      <c r="F403" s="19"/>
      <c r="G403" s="19"/>
      <c r="H403" s="19" t="s">
        <v>1017</v>
      </c>
      <c r="I403" s="19" t="s">
        <v>22</v>
      </c>
      <c r="J403" s="19"/>
      <c r="K403" s="19" t="s">
        <v>997</v>
      </c>
      <c r="L403" s="19"/>
      <c r="M403" s="19"/>
      <c r="N403" s="19"/>
      <c r="O403" s="29" t="s">
        <v>187</v>
      </c>
      <c r="P403" s="19"/>
      <c r="Q403" s="19" t="s">
        <v>395</v>
      </c>
      <c r="R403" s="19"/>
      <c r="S403" s="19"/>
      <c r="T403" s="19">
        <v>1</v>
      </c>
      <c r="U403" s="20">
        <f t="shared" si="74"/>
        <v>16.984000000000002</v>
      </c>
      <c r="V403" s="37" t="str">
        <f>VLOOKUP(C403,[1]Drivers!$O$3:$S$196,5,FALSE)</f>
        <v>Tridonic Inc., LC 85-700–2300mA/28004445, Driver, 85W, 0-10V to 1% Dimming, Monochromatic, Linear Form, Constant Current, 700-2300mA, 1 Channel, 100-240V Input Voltage</v>
      </c>
      <c r="W403" s="19"/>
      <c r="X403" s="19"/>
      <c r="Y403" s="72">
        <v>15.44</v>
      </c>
      <c r="Z403" s="92">
        <v>1</v>
      </c>
      <c r="AA403" s="92">
        <v>1.5</v>
      </c>
    </row>
    <row r="404" spans="1:27" x14ac:dyDescent="0.25">
      <c r="A404" s="33">
        <f t="shared" si="63"/>
        <v>401</v>
      </c>
      <c r="B404" s="19" t="s">
        <v>1018</v>
      </c>
      <c r="C404" s="19" t="s">
        <v>1019</v>
      </c>
      <c r="D404" s="19" t="s">
        <v>982</v>
      </c>
      <c r="E404" s="19" t="s">
        <v>1020</v>
      </c>
      <c r="F404" s="19"/>
      <c r="G404" s="19"/>
      <c r="H404" s="19">
        <v>12</v>
      </c>
      <c r="I404" s="19" t="s">
        <v>1021</v>
      </c>
      <c r="J404" s="19"/>
      <c r="K404" s="19" t="s">
        <v>1022</v>
      </c>
      <c r="L404" s="19"/>
      <c r="M404" s="19"/>
      <c r="N404" s="19"/>
      <c r="O404" s="29" t="s">
        <v>998</v>
      </c>
      <c r="P404" s="19"/>
      <c r="Q404" s="19" t="s">
        <v>395</v>
      </c>
      <c r="R404" s="19"/>
      <c r="S404" s="19"/>
      <c r="T404" s="19">
        <v>1</v>
      </c>
      <c r="U404" s="20">
        <f t="shared" si="74"/>
        <v>11.165000000000001</v>
      </c>
      <c r="V404" s="37" t="str">
        <f>VLOOKUP(C404,[1]Drivers!$O$3:$S$196,5,FALSE)</f>
        <v>Ningbo Euchips Intelligent Technology Co., Ltd., PUP20T-1LMC, Driver, 20W, ELV Dimming, Monochromatic, Puck Form, Constant Current, 350-700mA, 1 Channel, 120-277V Input Voltage</v>
      </c>
      <c r="W404" s="19"/>
      <c r="X404" s="19"/>
      <c r="Y404" s="72">
        <v>10.15</v>
      </c>
      <c r="Z404" s="92">
        <v>1.52</v>
      </c>
      <c r="AA404" s="92">
        <v>1.5</v>
      </c>
    </row>
    <row r="405" spans="1:27" x14ac:dyDescent="0.25">
      <c r="A405" s="33">
        <f t="shared" ref="A405:A478" si="76">ROW()-3</f>
        <v>402</v>
      </c>
      <c r="B405" s="19" t="s">
        <v>1018</v>
      </c>
      <c r="C405" s="19" t="s">
        <v>1019</v>
      </c>
      <c r="D405" s="19" t="s">
        <v>982</v>
      </c>
      <c r="E405" s="19" t="s">
        <v>1020</v>
      </c>
      <c r="F405" s="19"/>
      <c r="G405" s="19"/>
      <c r="H405" s="19" t="s">
        <v>1023</v>
      </c>
      <c r="I405" s="19" t="s">
        <v>1021</v>
      </c>
      <c r="J405" s="19"/>
      <c r="K405" s="19" t="s">
        <v>1024</v>
      </c>
      <c r="L405" s="19"/>
      <c r="M405" s="19"/>
      <c r="N405" s="19"/>
      <c r="O405" s="29" t="s">
        <v>998</v>
      </c>
      <c r="P405" s="19"/>
      <c r="Q405" s="19" t="s">
        <v>395</v>
      </c>
      <c r="R405" s="19"/>
      <c r="S405" s="19"/>
      <c r="T405" s="19">
        <v>1</v>
      </c>
      <c r="U405" s="20">
        <f t="shared" si="74"/>
        <v>11.165000000000001</v>
      </c>
      <c r="V405" s="37" t="str">
        <f>VLOOKUP(C405,[1]Drivers!$O$3:$S$196,5,FALSE)</f>
        <v>Ningbo Euchips Intelligent Technology Co., Ltd., PUP20T-1LMC, Driver, 20W, ELV Dimming, Monochromatic, Puck Form, Constant Current, 350-700mA, 1 Channel, 120-277V Input Voltage</v>
      </c>
      <c r="W405" s="19"/>
      <c r="X405" s="19"/>
      <c r="Y405" s="21">
        <v>10.15</v>
      </c>
      <c r="Z405" s="92">
        <v>1.52</v>
      </c>
      <c r="AA405" s="92">
        <v>1.5</v>
      </c>
    </row>
    <row r="406" spans="1:27" x14ac:dyDescent="0.25">
      <c r="A406" s="33">
        <f t="shared" si="76"/>
        <v>403</v>
      </c>
      <c r="B406" s="19" t="s">
        <v>1018</v>
      </c>
      <c r="C406" s="19" t="s">
        <v>1019</v>
      </c>
      <c r="D406" s="19" t="s">
        <v>982</v>
      </c>
      <c r="E406" s="19" t="s">
        <v>1020</v>
      </c>
      <c r="F406" s="19"/>
      <c r="G406" s="19"/>
      <c r="H406" s="19" t="s">
        <v>1025</v>
      </c>
      <c r="I406" s="19" t="s">
        <v>103</v>
      </c>
      <c r="J406" s="19"/>
      <c r="K406" s="19" t="s">
        <v>1024</v>
      </c>
      <c r="L406" s="19"/>
      <c r="M406" s="19"/>
      <c r="N406" s="19"/>
      <c r="O406" s="29" t="s">
        <v>998</v>
      </c>
      <c r="P406" s="19"/>
      <c r="Q406" s="19" t="s">
        <v>395</v>
      </c>
      <c r="R406" s="19"/>
      <c r="S406" s="19"/>
      <c r="T406" s="19">
        <v>1</v>
      </c>
      <c r="U406" s="20">
        <f t="shared" si="74"/>
        <v>11.165000000000001</v>
      </c>
      <c r="V406" s="37" t="str">
        <f>VLOOKUP(C406,[1]Drivers!$O$3:$S$196,5,FALSE)</f>
        <v>Ningbo Euchips Intelligent Technology Co., Ltd., PUP20T-1LMC, Driver, 20W, ELV Dimming, Monochromatic, Puck Form, Constant Current, 350-700mA, 1 Channel, 120-277V Input Voltage</v>
      </c>
      <c r="W406" s="19"/>
      <c r="X406" s="19"/>
      <c r="Y406" s="21">
        <v>10.15</v>
      </c>
      <c r="Z406" s="92">
        <v>1.52</v>
      </c>
      <c r="AA406" s="92">
        <v>1.5</v>
      </c>
    </row>
    <row r="407" spans="1:27" x14ac:dyDescent="0.25">
      <c r="A407" s="33">
        <f t="shared" si="76"/>
        <v>404</v>
      </c>
      <c r="B407" s="19" t="s">
        <v>1018</v>
      </c>
      <c r="C407" s="19" t="s">
        <v>1019</v>
      </c>
      <c r="D407" s="19" t="s">
        <v>982</v>
      </c>
      <c r="E407" s="19" t="s">
        <v>1020</v>
      </c>
      <c r="F407" s="19"/>
      <c r="G407" s="19"/>
      <c r="H407" s="19" t="s">
        <v>993</v>
      </c>
      <c r="I407" s="19" t="s">
        <v>126</v>
      </c>
      <c r="J407" s="19"/>
      <c r="K407" s="19" t="s">
        <v>1024</v>
      </c>
      <c r="L407" s="19"/>
      <c r="M407" s="19"/>
      <c r="N407" s="19"/>
      <c r="O407" s="29" t="s">
        <v>998</v>
      </c>
      <c r="P407" s="19"/>
      <c r="Q407" s="19" t="s">
        <v>395</v>
      </c>
      <c r="R407" s="19"/>
      <c r="S407" s="19"/>
      <c r="T407" s="19">
        <v>2</v>
      </c>
      <c r="U407" s="20">
        <f t="shared" si="74"/>
        <v>11.165000000000001</v>
      </c>
      <c r="V407" s="37" t="str">
        <f>VLOOKUP(C407,[1]Drivers!$O$3:$S$196,5,FALSE)</f>
        <v>Ningbo Euchips Intelligent Technology Co., Ltd., PUP20T-1LMC, Driver, 20W, ELV Dimming, Monochromatic, Puck Form, Constant Current, 350-700mA, 1 Channel, 120-277V Input Voltage</v>
      </c>
      <c r="W407" s="19"/>
      <c r="X407" s="19"/>
      <c r="Y407" s="21">
        <v>10.15</v>
      </c>
      <c r="Z407" s="92">
        <v>1.52</v>
      </c>
      <c r="AA407" s="92">
        <v>1.5</v>
      </c>
    </row>
    <row r="408" spans="1:27" x14ac:dyDescent="0.25">
      <c r="A408" s="33">
        <f t="shared" si="76"/>
        <v>405</v>
      </c>
      <c r="B408" s="19" t="s">
        <v>1018</v>
      </c>
      <c r="C408" s="19" t="s">
        <v>1019</v>
      </c>
      <c r="D408" s="19" t="s">
        <v>982</v>
      </c>
      <c r="E408" s="19" t="s">
        <v>1020</v>
      </c>
      <c r="F408" s="19"/>
      <c r="G408" s="19"/>
      <c r="H408" s="19">
        <v>48</v>
      </c>
      <c r="I408" s="19" t="s">
        <v>103</v>
      </c>
      <c r="J408" s="19"/>
      <c r="K408" s="19" t="s">
        <v>1024</v>
      </c>
      <c r="L408" s="19"/>
      <c r="M408" s="19"/>
      <c r="N408" s="19"/>
      <c r="O408" s="29" t="s">
        <v>998</v>
      </c>
      <c r="P408" s="19"/>
      <c r="Q408" s="19" t="s">
        <v>395</v>
      </c>
      <c r="R408" s="19"/>
      <c r="S408" s="19"/>
      <c r="T408" s="19">
        <v>1</v>
      </c>
      <c r="U408" s="20">
        <f t="shared" si="74"/>
        <v>11.165000000000001</v>
      </c>
      <c r="V408" s="37" t="str">
        <f>VLOOKUP(C408,[1]Drivers!$O$3:$S$196,5,FALSE)</f>
        <v>Ningbo Euchips Intelligent Technology Co., Ltd., PUP20T-1LMC, Driver, 20W, ELV Dimming, Monochromatic, Puck Form, Constant Current, 350-700mA, 1 Channel, 120-277V Input Voltage</v>
      </c>
      <c r="W408" s="19"/>
      <c r="X408" s="19"/>
      <c r="Y408" s="21">
        <v>10.15</v>
      </c>
      <c r="Z408" s="92">
        <v>1.52</v>
      </c>
      <c r="AA408" s="92">
        <v>1.5</v>
      </c>
    </row>
    <row r="409" spans="1:27" x14ac:dyDescent="0.25">
      <c r="A409" s="33">
        <f t="shared" si="76"/>
        <v>406</v>
      </c>
      <c r="B409" s="19" t="s">
        <v>1018</v>
      </c>
      <c r="C409" s="19" t="s">
        <v>1019</v>
      </c>
      <c r="D409" s="19" t="s">
        <v>982</v>
      </c>
      <c r="E409" s="19" t="s">
        <v>1020</v>
      </c>
      <c r="F409" s="19"/>
      <c r="G409" s="19"/>
      <c r="H409" s="19" t="s">
        <v>389</v>
      </c>
      <c r="I409" s="19" t="s">
        <v>103</v>
      </c>
      <c r="J409" s="19"/>
      <c r="K409" s="19" t="s">
        <v>1024</v>
      </c>
      <c r="L409" s="19"/>
      <c r="M409" s="19"/>
      <c r="N409" s="19"/>
      <c r="O409" s="29" t="s">
        <v>998</v>
      </c>
      <c r="P409" s="19"/>
      <c r="Q409" s="19" t="s">
        <v>395</v>
      </c>
      <c r="R409" s="19"/>
      <c r="S409" s="19"/>
      <c r="T409" s="19">
        <v>2</v>
      </c>
      <c r="U409" s="20">
        <f t="shared" si="74"/>
        <v>11.165000000000001</v>
      </c>
      <c r="V409" s="37" t="str">
        <f>VLOOKUP(C409,[1]Drivers!$O$3:$S$196,5,FALSE)</f>
        <v>Ningbo Euchips Intelligent Technology Co., Ltd., PUP20T-1LMC, Driver, 20W, ELV Dimming, Monochromatic, Puck Form, Constant Current, 350-700mA, 1 Channel, 120-277V Input Voltage</v>
      </c>
      <c r="W409" s="19"/>
      <c r="X409" s="19"/>
      <c r="Y409" s="21">
        <v>10.15</v>
      </c>
      <c r="Z409" s="92">
        <v>1.52</v>
      </c>
      <c r="AA409" s="92">
        <v>1.5</v>
      </c>
    </row>
    <row r="410" spans="1:27" x14ac:dyDescent="0.25">
      <c r="A410" s="33">
        <f t="shared" si="76"/>
        <v>407</v>
      </c>
      <c r="B410" s="19" t="s">
        <v>1018</v>
      </c>
      <c r="C410" s="19" t="s">
        <v>1019</v>
      </c>
      <c r="D410" s="19" t="s">
        <v>982</v>
      </c>
      <c r="E410" s="19" t="s">
        <v>1020</v>
      </c>
      <c r="F410" s="19"/>
      <c r="G410" s="19"/>
      <c r="H410" s="19" t="s">
        <v>389</v>
      </c>
      <c r="I410" s="19" t="s">
        <v>126</v>
      </c>
      <c r="J410" s="19"/>
      <c r="K410" s="19" t="s">
        <v>1024</v>
      </c>
      <c r="L410" s="19"/>
      <c r="M410" s="19"/>
      <c r="N410" s="19"/>
      <c r="O410" s="29" t="s">
        <v>998</v>
      </c>
      <c r="P410" s="19"/>
      <c r="Q410" s="19" t="s">
        <v>395</v>
      </c>
      <c r="R410" s="19"/>
      <c r="S410" s="19"/>
      <c r="T410" s="19">
        <v>3</v>
      </c>
      <c r="U410" s="20">
        <f t="shared" si="74"/>
        <v>11.165000000000001</v>
      </c>
      <c r="V410" s="37" t="str">
        <f>VLOOKUP(C410,[1]Drivers!$O$3:$S$196,5,FALSE)</f>
        <v>Ningbo Euchips Intelligent Technology Co., Ltd., PUP20T-1LMC, Driver, 20W, ELV Dimming, Monochromatic, Puck Form, Constant Current, 350-700mA, 1 Channel, 120-277V Input Voltage</v>
      </c>
      <c r="W410" s="29"/>
      <c r="X410" s="29"/>
      <c r="Y410" s="21">
        <v>10.15</v>
      </c>
      <c r="Z410" s="92">
        <v>1.52</v>
      </c>
      <c r="AA410" s="92">
        <v>1.5</v>
      </c>
    </row>
    <row r="411" spans="1:27" x14ac:dyDescent="0.25">
      <c r="A411" s="33">
        <f t="shared" si="76"/>
        <v>408</v>
      </c>
      <c r="B411" s="19" t="s">
        <v>1026</v>
      </c>
      <c r="C411" s="19" t="s">
        <v>1027</v>
      </c>
      <c r="D411" s="19" t="s">
        <v>982</v>
      </c>
      <c r="E411" s="19" t="s">
        <v>996</v>
      </c>
      <c r="F411" s="19"/>
      <c r="G411" s="19"/>
      <c r="H411" s="19" t="s">
        <v>1028</v>
      </c>
      <c r="I411" s="19" t="s">
        <v>1029</v>
      </c>
      <c r="J411" s="19"/>
      <c r="K411" s="19" t="s">
        <v>1030</v>
      </c>
      <c r="L411" s="19"/>
      <c r="M411" s="19"/>
      <c r="N411" s="19"/>
      <c r="O411" s="29" t="s">
        <v>998</v>
      </c>
      <c r="P411" s="19"/>
      <c r="Q411" s="19" t="s">
        <v>395</v>
      </c>
      <c r="R411" s="19"/>
      <c r="S411" s="19"/>
      <c r="T411" s="19">
        <v>1</v>
      </c>
      <c r="U411" s="20">
        <f t="shared" si="74"/>
        <v>15.312000000000001</v>
      </c>
      <c r="V411" s="37" t="str">
        <f>VLOOKUP(C411,[1]Drivers!$O$3:$S$196,5,FALSE)</f>
        <v>Ningbo Euchips Intelligent Technology Co., Ltd., PUP40T-1LMC-1200, Driver, 40W, ELV Dimming, Monochromatic, Puck Form, Constant Current, 850-1200mA, 1 Channel, 120V Input Voltage</v>
      </c>
      <c r="W411" s="29"/>
      <c r="X411" s="29"/>
      <c r="Y411" s="21">
        <v>13.92</v>
      </c>
      <c r="Z411" s="92">
        <v>1.52</v>
      </c>
      <c r="AA411" s="92">
        <v>1.5</v>
      </c>
    </row>
    <row r="412" spans="1:27" x14ac:dyDescent="0.25">
      <c r="A412" s="33">
        <f t="shared" si="76"/>
        <v>409</v>
      </c>
      <c r="B412" s="19" t="s">
        <v>1026</v>
      </c>
      <c r="C412" s="19" t="s">
        <v>1027</v>
      </c>
      <c r="D412" s="19" t="s">
        <v>982</v>
      </c>
      <c r="E412" s="19" t="s">
        <v>996</v>
      </c>
      <c r="F412" s="19"/>
      <c r="G412" s="19"/>
      <c r="H412" s="19">
        <v>60</v>
      </c>
      <c r="I412" s="19" t="s">
        <v>144</v>
      </c>
      <c r="J412" s="19"/>
      <c r="K412" s="19" t="s">
        <v>1024</v>
      </c>
      <c r="L412" s="19"/>
      <c r="M412" s="19"/>
      <c r="N412" s="19"/>
      <c r="O412" s="29" t="s">
        <v>998</v>
      </c>
      <c r="P412" s="19"/>
      <c r="Q412" s="19" t="s">
        <v>395</v>
      </c>
      <c r="R412" s="19"/>
      <c r="S412" s="19"/>
      <c r="T412" s="19">
        <v>2</v>
      </c>
      <c r="U412" s="20">
        <f t="shared" si="74"/>
        <v>15.312000000000001</v>
      </c>
      <c r="V412" s="37" t="str">
        <f>VLOOKUP(C412,[1]Drivers!$O$3:$S$196,5,FALSE)</f>
        <v>Ningbo Euchips Intelligent Technology Co., Ltd., PUP40T-1LMC-1200, Driver, 40W, ELV Dimming, Monochromatic, Puck Form, Constant Current, 850-1200mA, 1 Channel, 120V Input Voltage</v>
      </c>
      <c r="W412" s="29"/>
      <c r="X412" s="29"/>
      <c r="Y412" s="21">
        <v>13.92</v>
      </c>
      <c r="Z412" s="92">
        <v>1.52</v>
      </c>
      <c r="AA412" s="92">
        <v>1.5</v>
      </c>
    </row>
    <row r="413" spans="1:27" x14ac:dyDescent="0.25">
      <c r="A413" s="33">
        <f t="shared" si="76"/>
        <v>410</v>
      </c>
      <c r="B413" s="19" t="s">
        <v>1026</v>
      </c>
      <c r="C413" s="19" t="s">
        <v>1027</v>
      </c>
      <c r="D413" s="19" t="s">
        <v>982</v>
      </c>
      <c r="E413" s="19" t="s">
        <v>985</v>
      </c>
      <c r="F413" s="19"/>
      <c r="G413" s="19"/>
      <c r="H413" s="19" t="s">
        <v>1031</v>
      </c>
      <c r="I413" s="19" t="s">
        <v>144</v>
      </c>
      <c r="J413" s="19"/>
      <c r="K413" s="19" t="s">
        <v>1024</v>
      </c>
      <c r="L413" s="19"/>
      <c r="M413" s="19"/>
      <c r="N413" s="19"/>
      <c r="O413" s="29" t="s">
        <v>998</v>
      </c>
      <c r="P413" s="19"/>
      <c r="Q413" s="19" t="s">
        <v>395</v>
      </c>
      <c r="R413" s="19"/>
      <c r="S413" s="19"/>
      <c r="T413" s="19">
        <v>1</v>
      </c>
      <c r="U413" s="20">
        <f t="shared" si="74"/>
        <v>15.312000000000001</v>
      </c>
      <c r="V413" s="37" t="str">
        <f>VLOOKUP(C413,[1]Drivers!$O$3:$S$196,5,FALSE)</f>
        <v>Ningbo Euchips Intelligent Technology Co., Ltd., PUP40T-1LMC-1200, Driver, 40W, ELV Dimming, Monochromatic, Puck Form, Constant Current, 850-1200mA, 1 Channel, 120V Input Voltage</v>
      </c>
      <c r="W413" s="29"/>
      <c r="X413" s="29"/>
      <c r="Y413" s="21">
        <v>13.92</v>
      </c>
      <c r="Z413" s="92">
        <v>1.52</v>
      </c>
      <c r="AA413" s="92">
        <v>1.5</v>
      </c>
    </row>
    <row r="414" spans="1:27" x14ac:dyDescent="0.25">
      <c r="A414" s="33">
        <f t="shared" si="76"/>
        <v>411</v>
      </c>
      <c r="B414" s="19" t="s">
        <v>1026</v>
      </c>
      <c r="C414" s="19" t="s">
        <v>1027</v>
      </c>
      <c r="D414" s="19" t="s">
        <v>982</v>
      </c>
      <c r="E414" s="19" t="s">
        <v>985</v>
      </c>
      <c r="F414" s="19"/>
      <c r="G414" s="19"/>
      <c r="H414" s="19" t="s">
        <v>1032</v>
      </c>
      <c r="I414" s="19" t="s">
        <v>144</v>
      </c>
      <c r="J414" s="19"/>
      <c r="K414" s="19" t="s">
        <v>1024</v>
      </c>
      <c r="L414" s="19"/>
      <c r="M414" s="19"/>
      <c r="N414" s="19"/>
      <c r="O414" s="29" t="s">
        <v>998</v>
      </c>
      <c r="P414" s="19"/>
      <c r="Q414" s="19" t="s">
        <v>395</v>
      </c>
      <c r="R414" s="19"/>
      <c r="S414" s="19"/>
      <c r="T414" s="19">
        <v>2</v>
      </c>
      <c r="U414" s="20">
        <f t="shared" si="74"/>
        <v>15.312000000000001</v>
      </c>
      <c r="V414" s="37" t="str">
        <f>VLOOKUP(C414,[1]Drivers!$O$3:$S$196,5,FALSE)</f>
        <v>Ningbo Euchips Intelligent Technology Co., Ltd., PUP40T-1LMC-1200, Driver, 40W, ELV Dimming, Monochromatic, Puck Form, Constant Current, 850-1200mA, 1 Channel, 120V Input Voltage</v>
      </c>
      <c r="W414" s="29"/>
      <c r="X414" s="29"/>
      <c r="Y414" s="21">
        <v>13.92</v>
      </c>
      <c r="Z414" s="92">
        <v>1.52</v>
      </c>
      <c r="AA414" s="92">
        <v>1.5</v>
      </c>
    </row>
    <row r="415" spans="1:27" x14ac:dyDescent="0.25">
      <c r="A415" s="33">
        <f t="shared" si="76"/>
        <v>412</v>
      </c>
      <c r="B415" s="19" t="s">
        <v>1026</v>
      </c>
      <c r="C415" s="19" t="s">
        <v>1027</v>
      </c>
      <c r="D415" s="19" t="s">
        <v>982</v>
      </c>
      <c r="E415" s="19" t="s">
        <v>988</v>
      </c>
      <c r="F415" s="19"/>
      <c r="G415" s="19"/>
      <c r="H415" s="19" t="s">
        <v>989</v>
      </c>
      <c r="I415" s="19" t="s">
        <v>168</v>
      </c>
      <c r="J415" s="19"/>
      <c r="K415" s="19" t="s">
        <v>1024</v>
      </c>
      <c r="L415" s="19"/>
      <c r="M415" s="19"/>
      <c r="N415" s="19"/>
      <c r="O415" s="19" t="s">
        <v>187</v>
      </c>
      <c r="P415" s="19"/>
      <c r="Q415" s="19" t="s">
        <v>395</v>
      </c>
      <c r="R415" s="19"/>
      <c r="S415" s="19"/>
      <c r="T415" s="19">
        <v>1</v>
      </c>
      <c r="U415" s="20">
        <f t="shared" si="74"/>
        <v>15.312000000000001</v>
      </c>
      <c r="V415" s="37" t="str">
        <f>VLOOKUP(C415,[1]Drivers!$O$3:$S$196,5,FALSE)</f>
        <v>Ningbo Euchips Intelligent Technology Co., Ltd., PUP40T-1LMC-1200, Driver, 40W, ELV Dimming, Monochromatic, Puck Form, Constant Current, 850-1200mA, 1 Channel, 120V Input Voltage</v>
      </c>
      <c r="W415" s="29"/>
      <c r="X415" s="29"/>
      <c r="Y415" s="21">
        <v>13.92</v>
      </c>
      <c r="Z415" s="92">
        <v>1.52</v>
      </c>
      <c r="AA415" s="92">
        <v>1.5</v>
      </c>
    </row>
    <row r="416" spans="1:27" x14ac:dyDescent="0.25">
      <c r="A416" s="33">
        <f t="shared" si="76"/>
        <v>413</v>
      </c>
      <c r="B416" s="19" t="s">
        <v>1026</v>
      </c>
      <c r="C416" s="19" t="s">
        <v>1027</v>
      </c>
      <c r="D416" s="19" t="s">
        <v>982</v>
      </c>
      <c r="E416" s="19" t="s">
        <v>988</v>
      </c>
      <c r="F416" s="19"/>
      <c r="G416" s="19"/>
      <c r="H416" s="19" t="s">
        <v>990</v>
      </c>
      <c r="I416" s="19" t="s">
        <v>168</v>
      </c>
      <c r="J416" s="19"/>
      <c r="K416" s="19" t="s">
        <v>1024</v>
      </c>
      <c r="L416" s="19"/>
      <c r="M416" s="19"/>
      <c r="N416" s="19"/>
      <c r="O416" s="19" t="s">
        <v>187</v>
      </c>
      <c r="P416" s="19"/>
      <c r="Q416" s="19" t="s">
        <v>395</v>
      </c>
      <c r="R416" s="19"/>
      <c r="S416" s="19"/>
      <c r="T416" s="19">
        <v>2</v>
      </c>
      <c r="U416" s="20">
        <f t="shared" si="74"/>
        <v>15.312000000000001</v>
      </c>
      <c r="V416" s="37" t="str">
        <f>VLOOKUP(C416,[1]Drivers!$O$3:$S$196,5,FALSE)</f>
        <v>Ningbo Euchips Intelligent Technology Co., Ltd., PUP40T-1LMC-1200, Driver, 40W, ELV Dimming, Monochromatic, Puck Form, Constant Current, 850-1200mA, 1 Channel, 120V Input Voltage</v>
      </c>
      <c r="W416" s="29"/>
      <c r="X416" s="29"/>
      <c r="Y416" s="21">
        <v>13.92</v>
      </c>
      <c r="Z416" s="92">
        <v>1.52</v>
      </c>
      <c r="AA416" s="92">
        <v>1.5</v>
      </c>
    </row>
    <row r="417" spans="1:29" x14ac:dyDescent="0.25">
      <c r="A417" s="33">
        <f t="shared" si="76"/>
        <v>414</v>
      </c>
      <c r="B417" s="19" t="s">
        <v>1026</v>
      </c>
      <c r="C417" s="19" t="s">
        <v>1027</v>
      </c>
      <c r="D417" s="19" t="s">
        <v>982</v>
      </c>
      <c r="E417" s="19" t="s">
        <v>988</v>
      </c>
      <c r="F417" s="19"/>
      <c r="G417" s="19"/>
      <c r="H417" s="19" t="s">
        <v>992</v>
      </c>
      <c r="I417" s="19" t="s">
        <v>22</v>
      </c>
      <c r="J417" s="19"/>
      <c r="K417" s="19" t="s">
        <v>1024</v>
      </c>
      <c r="L417" s="19"/>
      <c r="M417" s="19"/>
      <c r="N417" s="19"/>
      <c r="O417" s="19" t="s">
        <v>187</v>
      </c>
      <c r="P417" s="19"/>
      <c r="Q417" s="19" t="s">
        <v>395</v>
      </c>
      <c r="R417" s="19"/>
      <c r="S417" s="19"/>
      <c r="T417" s="19">
        <v>1</v>
      </c>
      <c r="U417" s="20">
        <f t="shared" si="74"/>
        <v>15.312000000000001</v>
      </c>
      <c r="V417" s="37" t="str">
        <f>VLOOKUP(C417,[1]Drivers!$O$3:$S$196,5,FALSE)</f>
        <v>Ningbo Euchips Intelligent Technology Co., Ltd., PUP40T-1LMC-1200, Driver, 40W, ELV Dimming, Monochromatic, Puck Form, Constant Current, 850-1200mA, 1 Channel, 120V Input Voltage</v>
      </c>
      <c r="W417" s="29"/>
      <c r="X417" s="29"/>
      <c r="Y417" s="21">
        <v>13.92</v>
      </c>
      <c r="Z417" s="92">
        <v>1.52</v>
      </c>
      <c r="AA417" s="92">
        <v>1.5</v>
      </c>
    </row>
    <row r="418" spans="1:29" x14ac:dyDescent="0.25">
      <c r="A418" s="33">
        <f t="shared" si="76"/>
        <v>415</v>
      </c>
      <c r="B418" s="19" t="s">
        <v>1026</v>
      </c>
      <c r="C418" s="19" t="s">
        <v>1027</v>
      </c>
      <c r="D418" s="19" t="s">
        <v>982</v>
      </c>
      <c r="E418" s="19" t="s">
        <v>988</v>
      </c>
      <c r="F418" s="19"/>
      <c r="G418" s="19"/>
      <c r="H418" s="19" t="s">
        <v>993</v>
      </c>
      <c r="I418" s="19" t="s">
        <v>22</v>
      </c>
      <c r="J418" s="19"/>
      <c r="K418" s="19" t="s">
        <v>1024</v>
      </c>
      <c r="L418" s="19"/>
      <c r="M418" s="19"/>
      <c r="N418" s="19"/>
      <c r="O418" s="19" t="s">
        <v>187</v>
      </c>
      <c r="P418" s="19"/>
      <c r="Q418" s="19" t="s">
        <v>395</v>
      </c>
      <c r="R418" s="19"/>
      <c r="S418" s="19"/>
      <c r="T418" s="19">
        <v>2</v>
      </c>
      <c r="U418" s="20">
        <f t="shared" si="74"/>
        <v>15.312000000000001</v>
      </c>
      <c r="V418" s="37" t="str">
        <f>VLOOKUP(C418,[1]Drivers!$O$3:$S$196,5,FALSE)</f>
        <v>Ningbo Euchips Intelligent Technology Co., Ltd., PUP40T-1LMC-1200, Driver, 40W, ELV Dimming, Monochromatic, Puck Form, Constant Current, 850-1200mA, 1 Channel, 120V Input Voltage</v>
      </c>
      <c r="W418" s="29"/>
      <c r="X418" s="29"/>
      <c r="Y418" s="21">
        <v>13.92</v>
      </c>
      <c r="Z418" s="92">
        <v>1.52</v>
      </c>
      <c r="AA418" s="92">
        <v>1.5</v>
      </c>
    </row>
    <row r="419" spans="1:29" x14ac:dyDescent="0.25">
      <c r="A419" s="33">
        <f t="shared" si="76"/>
        <v>416</v>
      </c>
      <c r="B419" s="19" t="s">
        <v>1026</v>
      </c>
      <c r="C419" s="19" t="s">
        <v>1027</v>
      </c>
      <c r="D419" s="19" t="s">
        <v>982</v>
      </c>
      <c r="E419" s="19" t="s">
        <v>988</v>
      </c>
      <c r="F419" s="19"/>
      <c r="G419" s="19"/>
      <c r="H419" s="19" t="s">
        <v>389</v>
      </c>
      <c r="I419" s="19" t="s">
        <v>22</v>
      </c>
      <c r="J419" s="19"/>
      <c r="K419" s="19" t="s">
        <v>1024</v>
      </c>
      <c r="L419" s="19"/>
      <c r="M419" s="19"/>
      <c r="N419" s="19"/>
      <c r="O419" s="19" t="s">
        <v>187</v>
      </c>
      <c r="P419" s="19"/>
      <c r="Q419" s="19" t="s">
        <v>395</v>
      </c>
      <c r="R419" s="19"/>
      <c r="S419" s="19"/>
      <c r="T419" s="19">
        <v>3</v>
      </c>
      <c r="U419" s="20">
        <f t="shared" si="74"/>
        <v>15.312000000000001</v>
      </c>
      <c r="V419" s="37" t="str">
        <f>VLOOKUP(C419,[1]Drivers!$O$3:$S$196,5,FALSE)</f>
        <v>Ningbo Euchips Intelligent Technology Co., Ltd., PUP40T-1LMC-1200, Driver, 40W, ELV Dimming, Monochromatic, Puck Form, Constant Current, 850-1200mA, 1 Channel, 120V Input Voltage</v>
      </c>
      <c r="W419" s="29"/>
      <c r="X419" s="29"/>
      <c r="Y419" s="21">
        <v>13.92</v>
      </c>
      <c r="Z419" s="92">
        <v>1.52</v>
      </c>
      <c r="AA419" s="92">
        <v>1.5</v>
      </c>
    </row>
    <row r="420" spans="1:29" x14ac:dyDescent="0.25">
      <c r="A420" s="33">
        <f t="shared" si="76"/>
        <v>417</v>
      </c>
      <c r="B420" s="29" t="s">
        <v>1033</v>
      </c>
      <c r="C420" s="29" t="s">
        <v>1034</v>
      </c>
      <c r="D420" s="19" t="s">
        <v>982</v>
      </c>
      <c r="E420" s="29" t="s">
        <v>1035</v>
      </c>
      <c r="F420" s="29"/>
      <c r="G420" s="29"/>
      <c r="H420" s="29" t="s">
        <v>1031</v>
      </c>
      <c r="I420" s="29" t="s">
        <v>1036</v>
      </c>
      <c r="J420" s="29"/>
      <c r="K420" s="29" t="s">
        <v>1037</v>
      </c>
      <c r="L420" s="29"/>
      <c r="M420" s="29"/>
      <c r="N420" s="29"/>
      <c r="O420" s="29" t="s">
        <v>1038</v>
      </c>
      <c r="P420" s="29"/>
      <c r="Q420" s="29" t="s">
        <v>395</v>
      </c>
      <c r="R420" s="29"/>
      <c r="S420" s="29"/>
      <c r="T420" s="29">
        <v>1</v>
      </c>
      <c r="U420" s="20">
        <f t="shared" si="74"/>
        <v>14.850000000000001</v>
      </c>
      <c r="V420" s="37" t="str">
        <f>VLOOKUP(C420,[1]Drivers!$O$3:$S$196,5,FALSE)</f>
        <v>Shenzhen Sunricher Technology Co. Ltd, SRPL-2305N-50CC650-1300U, Driver, 50W, Dali DT6 Dimming, Monochromatic, Linear Form, Constant Current, 650-1300mA, 1 Channel, 220-240V Input Voltage</v>
      </c>
      <c r="W420" s="29"/>
      <c r="X420" s="29"/>
      <c r="Y420" s="21">
        <v>13.5</v>
      </c>
      <c r="Z420" s="92">
        <v>1.52</v>
      </c>
      <c r="AA420" s="92">
        <v>1.5</v>
      </c>
    </row>
    <row r="421" spans="1:29" customFormat="1" x14ac:dyDescent="0.25">
      <c r="A421" s="33">
        <f t="shared" si="76"/>
        <v>418</v>
      </c>
      <c r="B421" s="29" t="s">
        <v>1033</v>
      </c>
      <c r="C421" s="29" t="s">
        <v>1034</v>
      </c>
      <c r="D421" s="19" t="s">
        <v>982</v>
      </c>
      <c r="E421" s="29" t="s">
        <v>1035</v>
      </c>
      <c r="F421" s="29"/>
      <c r="G421" s="29"/>
      <c r="H421" s="29">
        <v>36</v>
      </c>
      <c r="I421" s="29" t="s">
        <v>1039</v>
      </c>
      <c r="J421" s="29"/>
      <c r="K421" s="29" t="s">
        <v>1037</v>
      </c>
      <c r="L421" s="29"/>
      <c r="M421" s="29"/>
      <c r="N421" s="29"/>
      <c r="O421" s="29" t="s">
        <v>1038</v>
      </c>
      <c r="P421" s="29"/>
      <c r="Q421" s="29" t="s">
        <v>395</v>
      </c>
      <c r="R421" s="29"/>
      <c r="S421" s="29"/>
      <c r="T421" s="29">
        <v>1</v>
      </c>
      <c r="U421" s="20">
        <f t="shared" si="74"/>
        <v>14.850000000000001</v>
      </c>
      <c r="V421" s="37" t="str">
        <f>VLOOKUP(C421,[1]Drivers!$O$3:$S$196,5,FALSE)</f>
        <v>Shenzhen Sunricher Technology Co. Ltd, SRPL-2305N-50CC650-1300U, Driver, 50W, Dali DT6 Dimming, Monochromatic, Linear Form, Constant Current, 650-1300mA, 1 Channel, 220-240V Input Voltage</v>
      </c>
      <c r="W421" s="61"/>
      <c r="X421" s="61"/>
      <c r="Y421" s="21">
        <v>13.5</v>
      </c>
      <c r="Z421" s="92">
        <v>1.52</v>
      </c>
      <c r="AA421" s="92">
        <v>1.5</v>
      </c>
      <c r="AB421" s="1"/>
      <c r="AC421" s="1"/>
    </row>
    <row r="422" spans="1:29" customFormat="1" x14ac:dyDescent="0.25">
      <c r="A422" s="33">
        <f t="shared" si="76"/>
        <v>419</v>
      </c>
      <c r="B422" s="29" t="s">
        <v>1033</v>
      </c>
      <c r="C422" s="29" t="s">
        <v>1034</v>
      </c>
      <c r="D422" s="19" t="s">
        <v>982</v>
      </c>
      <c r="E422" s="29" t="s">
        <v>1035</v>
      </c>
      <c r="F422" s="29"/>
      <c r="G422" s="29"/>
      <c r="H422" s="29">
        <v>36</v>
      </c>
      <c r="I422" s="29" t="s">
        <v>1040</v>
      </c>
      <c r="J422" s="29"/>
      <c r="K422" s="29" t="s">
        <v>1037</v>
      </c>
      <c r="L422" s="29"/>
      <c r="M422" s="29"/>
      <c r="N422" s="29"/>
      <c r="O422" s="29" t="s">
        <v>1038</v>
      </c>
      <c r="P422" s="29"/>
      <c r="Q422" s="29" t="s">
        <v>395</v>
      </c>
      <c r="R422" s="29"/>
      <c r="S422" s="29"/>
      <c r="T422" s="29">
        <v>2</v>
      </c>
      <c r="U422" s="20">
        <f t="shared" si="74"/>
        <v>14.850000000000001</v>
      </c>
      <c r="V422" s="37" t="str">
        <f>VLOOKUP(C422,[1]Drivers!$O$3:$S$196,5,FALSE)</f>
        <v>Shenzhen Sunricher Technology Co. Ltd, SRPL-2305N-50CC650-1300U, Driver, 50W, Dali DT6 Dimming, Monochromatic, Linear Form, Constant Current, 650-1300mA, 1 Channel, 220-240V Input Voltage</v>
      </c>
      <c r="W422" s="61"/>
      <c r="X422" s="61"/>
      <c r="Y422" s="21">
        <v>13.5</v>
      </c>
      <c r="Z422" s="92">
        <v>1.52</v>
      </c>
      <c r="AA422" s="92">
        <v>1.5</v>
      </c>
      <c r="AB422" s="1"/>
      <c r="AC422" s="1"/>
    </row>
    <row r="423" spans="1:29" customFormat="1" x14ac:dyDescent="0.25">
      <c r="A423" s="33">
        <f t="shared" si="76"/>
        <v>420</v>
      </c>
      <c r="B423" s="29" t="s">
        <v>1033</v>
      </c>
      <c r="C423" s="29" t="s">
        <v>1034</v>
      </c>
      <c r="D423" s="19" t="s">
        <v>982</v>
      </c>
      <c r="E423" s="29" t="s">
        <v>1035</v>
      </c>
      <c r="F423" s="29"/>
      <c r="G423" s="29"/>
      <c r="H423" s="29">
        <v>42</v>
      </c>
      <c r="I423" s="29" t="s">
        <v>1041</v>
      </c>
      <c r="J423" s="29"/>
      <c r="K423" s="29" t="s">
        <v>1037</v>
      </c>
      <c r="L423" s="29"/>
      <c r="M423" s="29"/>
      <c r="N423" s="29"/>
      <c r="O423" s="29" t="s">
        <v>1038</v>
      </c>
      <c r="P423" s="29"/>
      <c r="Q423" s="29" t="s">
        <v>395</v>
      </c>
      <c r="R423" s="29"/>
      <c r="S423" s="29"/>
      <c r="T423" s="29">
        <v>1</v>
      </c>
      <c r="U423" s="20">
        <f t="shared" si="74"/>
        <v>14.850000000000001</v>
      </c>
      <c r="V423" s="37" t="str">
        <f>VLOOKUP(C423,[1]Drivers!$O$3:$S$196,5,FALSE)</f>
        <v>Shenzhen Sunricher Technology Co. Ltd, SRPL-2305N-50CC650-1300U, Driver, 50W, Dali DT6 Dimming, Monochromatic, Linear Form, Constant Current, 650-1300mA, 1 Channel, 220-240V Input Voltage</v>
      </c>
      <c r="W423" s="61"/>
      <c r="X423" s="61"/>
      <c r="Y423" s="21">
        <v>13.5</v>
      </c>
      <c r="Z423" s="92">
        <v>1.52</v>
      </c>
      <c r="AA423" s="92">
        <v>1.5</v>
      </c>
      <c r="AB423" s="1"/>
      <c r="AC423" s="1"/>
    </row>
    <row r="424" spans="1:29" customFormat="1" x14ac:dyDescent="0.25">
      <c r="A424" s="33">
        <f t="shared" si="76"/>
        <v>421</v>
      </c>
      <c r="B424" s="29" t="s">
        <v>1033</v>
      </c>
      <c r="C424" s="29" t="s">
        <v>1034</v>
      </c>
      <c r="D424" s="19" t="s">
        <v>982</v>
      </c>
      <c r="E424" s="29" t="s">
        <v>1035</v>
      </c>
      <c r="F424" s="29"/>
      <c r="G424" s="29"/>
      <c r="H424" s="29">
        <v>42</v>
      </c>
      <c r="I424" s="29" t="s">
        <v>1042</v>
      </c>
      <c r="J424" s="29"/>
      <c r="K424" s="29" t="s">
        <v>1037</v>
      </c>
      <c r="L424" s="29"/>
      <c r="M424" s="29"/>
      <c r="N424" s="29"/>
      <c r="O424" s="29" t="s">
        <v>1038</v>
      </c>
      <c r="P424" s="29"/>
      <c r="Q424" s="29" t="s">
        <v>395</v>
      </c>
      <c r="R424" s="29"/>
      <c r="S424" s="29"/>
      <c r="T424" s="29">
        <v>2</v>
      </c>
      <c r="U424" s="20">
        <f t="shared" si="74"/>
        <v>14.850000000000001</v>
      </c>
      <c r="V424" s="37" t="str">
        <f>VLOOKUP(C424,[1]Drivers!$O$3:$S$196,5,FALSE)</f>
        <v>Shenzhen Sunricher Technology Co. Ltd, SRPL-2305N-50CC650-1300U, Driver, 50W, Dali DT6 Dimming, Monochromatic, Linear Form, Constant Current, 650-1300mA, 1 Channel, 220-240V Input Voltage</v>
      </c>
      <c r="W424" s="61"/>
      <c r="X424" s="61"/>
      <c r="Y424" s="21">
        <v>13.5</v>
      </c>
      <c r="Z424" s="92">
        <v>1.52</v>
      </c>
      <c r="AA424" s="92">
        <v>1.5</v>
      </c>
      <c r="AB424" s="1"/>
      <c r="AC424" s="1"/>
    </row>
    <row r="425" spans="1:29" customFormat="1" x14ac:dyDescent="0.25">
      <c r="A425" s="33">
        <f t="shared" si="76"/>
        <v>422</v>
      </c>
      <c r="B425" s="29" t="s">
        <v>1033</v>
      </c>
      <c r="C425" s="29" t="s">
        <v>1034</v>
      </c>
      <c r="D425" s="19" t="s">
        <v>982</v>
      </c>
      <c r="E425" s="29" t="s">
        <v>1035</v>
      </c>
      <c r="F425" s="29"/>
      <c r="G425" s="29"/>
      <c r="H425" s="29" t="s">
        <v>1043</v>
      </c>
      <c r="I425" s="29" t="s">
        <v>1044</v>
      </c>
      <c r="J425" s="29"/>
      <c r="K425" s="29" t="s">
        <v>1037</v>
      </c>
      <c r="L425" s="29"/>
      <c r="M425" s="29"/>
      <c r="N425" s="29"/>
      <c r="O425" s="29" t="s">
        <v>1038</v>
      </c>
      <c r="P425" s="29"/>
      <c r="Q425" s="29" t="s">
        <v>395</v>
      </c>
      <c r="R425" s="29"/>
      <c r="S425" s="29"/>
      <c r="T425" s="29">
        <v>1</v>
      </c>
      <c r="U425" s="20">
        <f t="shared" si="74"/>
        <v>14.850000000000001</v>
      </c>
      <c r="V425" s="37" t="str">
        <f>VLOOKUP(C425,[1]Drivers!$O$3:$S$196,5,FALSE)</f>
        <v>Shenzhen Sunricher Technology Co. Ltd, SRPL-2305N-50CC650-1300U, Driver, 50W, Dali DT6 Dimming, Monochromatic, Linear Form, Constant Current, 650-1300mA, 1 Channel, 220-240V Input Voltage</v>
      </c>
      <c r="W425" s="61"/>
      <c r="X425" s="61"/>
      <c r="Y425" s="21">
        <v>13.5</v>
      </c>
      <c r="Z425" s="92">
        <v>1.52</v>
      </c>
      <c r="AA425" s="92">
        <v>1.5</v>
      </c>
      <c r="AB425" s="1"/>
      <c r="AC425" s="1"/>
    </row>
    <row r="426" spans="1:29" customFormat="1" x14ac:dyDescent="0.25">
      <c r="A426" s="33">
        <f t="shared" si="76"/>
        <v>423</v>
      </c>
      <c r="B426" s="29" t="s">
        <v>1033</v>
      </c>
      <c r="C426" s="29" t="s">
        <v>1034</v>
      </c>
      <c r="D426" s="19" t="s">
        <v>982</v>
      </c>
      <c r="E426" s="29" t="s">
        <v>1035</v>
      </c>
      <c r="F426" s="29"/>
      <c r="G426" s="29"/>
      <c r="H426" s="29">
        <v>48</v>
      </c>
      <c r="I426" s="29" t="s">
        <v>1042</v>
      </c>
      <c r="J426" s="29"/>
      <c r="K426" s="29" t="s">
        <v>1037</v>
      </c>
      <c r="L426" s="29"/>
      <c r="M426" s="29"/>
      <c r="N426" s="29"/>
      <c r="O426" s="29" t="s">
        <v>1038</v>
      </c>
      <c r="P426" s="29"/>
      <c r="Q426" s="29" t="s">
        <v>395</v>
      </c>
      <c r="R426" s="29"/>
      <c r="S426" s="29"/>
      <c r="T426" s="29">
        <v>2</v>
      </c>
      <c r="U426" s="20">
        <f t="shared" si="74"/>
        <v>14.850000000000001</v>
      </c>
      <c r="V426" s="37" t="str">
        <f>VLOOKUP(C426,[1]Drivers!$O$3:$S$196,5,FALSE)</f>
        <v>Shenzhen Sunricher Technology Co. Ltd, SRPL-2305N-50CC650-1300U, Driver, 50W, Dali DT6 Dimming, Monochromatic, Linear Form, Constant Current, 650-1300mA, 1 Channel, 220-240V Input Voltage</v>
      </c>
      <c r="W426" s="61"/>
      <c r="X426" s="61"/>
      <c r="Y426" s="21">
        <v>13.5</v>
      </c>
      <c r="Z426" s="92">
        <v>1.52</v>
      </c>
      <c r="AA426" s="92">
        <v>1.5</v>
      </c>
      <c r="AB426" s="1"/>
      <c r="AC426" s="1"/>
    </row>
    <row r="427" spans="1:29" customFormat="1" x14ac:dyDescent="0.25">
      <c r="A427" s="33">
        <f t="shared" si="76"/>
        <v>424</v>
      </c>
      <c r="B427" s="29" t="s">
        <v>1033</v>
      </c>
      <c r="C427" s="29" t="s">
        <v>1034</v>
      </c>
      <c r="D427" s="19" t="s">
        <v>982</v>
      </c>
      <c r="E427" s="29" t="s">
        <v>1035</v>
      </c>
      <c r="F427" s="29"/>
      <c r="G427" s="29"/>
      <c r="H427" s="29">
        <v>54</v>
      </c>
      <c r="I427" s="29" t="s">
        <v>1045</v>
      </c>
      <c r="J427" s="29"/>
      <c r="K427" s="29" t="s">
        <v>1037</v>
      </c>
      <c r="L427" s="29"/>
      <c r="M427" s="29"/>
      <c r="N427" s="29"/>
      <c r="O427" s="29" t="s">
        <v>1038</v>
      </c>
      <c r="P427" s="29"/>
      <c r="Q427" s="29" t="s">
        <v>395</v>
      </c>
      <c r="R427" s="29"/>
      <c r="S427" s="29"/>
      <c r="T427" s="29">
        <v>2</v>
      </c>
      <c r="U427" s="20">
        <f t="shared" si="74"/>
        <v>14.850000000000001</v>
      </c>
      <c r="V427" s="37" t="str">
        <f>VLOOKUP(C427,[1]Drivers!$O$3:$S$196,5,FALSE)</f>
        <v>Shenzhen Sunricher Technology Co. Ltd, SRPL-2305N-50CC650-1300U, Driver, 50W, Dali DT6 Dimming, Monochromatic, Linear Form, Constant Current, 650-1300mA, 1 Channel, 220-240V Input Voltage</v>
      </c>
      <c r="W427" s="61"/>
      <c r="X427" s="61"/>
      <c r="Y427" s="21">
        <v>13.5</v>
      </c>
      <c r="Z427" s="92">
        <v>1.52</v>
      </c>
      <c r="AA427" s="92">
        <v>1.5</v>
      </c>
      <c r="AB427" s="1"/>
      <c r="AC427" s="1"/>
    </row>
    <row r="428" spans="1:29" x14ac:dyDescent="0.25">
      <c r="A428" s="33">
        <f t="shared" si="76"/>
        <v>425</v>
      </c>
      <c r="B428" s="29" t="s">
        <v>1033</v>
      </c>
      <c r="C428" s="29" t="s">
        <v>1034</v>
      </c>
      <c r="D428" s="19" t="s">
        <v>982</v>
      </c>
      <c r="E428" s="29" t="s">
        <v>1035</v>
      </c>
      <c r="F428" s="29"/>
      <c r="G428" s="29"/>
      <c r="H428" s="29">
        <v>54</v>
      </c>
      <c r="I428" s="29" t="s">
        <v>1040</v>
      </c>
      <c r="J428" s="29"/>
      <c r="K428" s="29" t="s">
        <v>1037</v>
      </c>
      <c r="L428" s="29"/>
      <c r="M428" s="29"/>
      <c r="N428" s="29"/>
      <c r="O428" s="29" t="s">
        <v>1038</v>
      </c>
      <c r="P428" s="29"/>
      <c r="Q428" s="29" t="s">
        <v>395</v>
      </c>
      <c r="R428" s="29"/>
      <c r="S428" s="29"/>
      <c r="T428" s="29">
        <v>3</v>
      </c>
      <c r="U428" s="20">
        <f t="shared" si="74"/>
        <v>14.850000000000001</v>
      </c>
      <c r="V428" s="37" t="str">
        <f>VLOOKUP(C428,[1]Drivers!$O$3:$S$196,5,FALSE)</f>
        <v>Shenzhen Sunricher Technology Co. Ltd, SRPL-2305N-50CC650-1300U, Driver, 50W, Dali DT6 Dimming, Monochromatic, Linear Form, Constant Current, 650-1300mA, 1 Channel, 220-240V Input Voltage</v>
      </c>
      <c r="W428" s="29"/>
      <c r="X428" s="29"/>
      <c r="Y428" s="21">
        <v>13.5</v>
      </c>
      <c r="Z428" s="92">
        <v>1.52</v>
      </c>
      <c r="AA428" s="92">
        <v>1.5</v>
      </c>
    </row>
    <row r="429" spans="1:29" x14ac:dyDescent="0.25">
      <c r="A429" s="33">
        <f t="shared" si="76"/>
        <v>426</v>
      </c>
      <c r="B429" s="29" t="s">
        <v>1033</v>
      </c>
      <c r="C429" s="29" t="s">
        <v>1034</v>
      </c>
      <c r="D429" s="19" t="s">
        <v>982</v>
      </c>
      <c r="E429" s="29" t="s">
        <v>1035</v>
      </c>
      <c r="F429" s="29"/>
      <c r="G429" s="29"/>
      <c r="H429" s="29">
        <v>60</v>
      </c>
      <c r="I429" s="29" t="s">
        <v>1046</v>
      </c>
      <c r="J429" s="29"/>
      <c r="K429" s="29" t="s">
        <v>1037</v>
      </c>
      <c r="L429" s="29"/>
      <c r="M429" s="29"/>
      <c r="N429" s="29"/>
      <c r="O429" s="29" t="s">
        <v>1038</v>
      </c>
      <c r="P429" s="29"/>
      <c r="Q429" s="29" t="s">
        <v>395</v>
      </c>
      <c r="R429" s="29"/>
      <c r="S429" s="29"/>
      <c r="T429" s="29">
        <v>2</v>
      </c>
      <c r="U429" s="20">
        <f t="shared" si="74"/>
        <v>14.850000000000001</v>
      </c>
      <c r="V429" s="37" t="str">
        <f>VLOOKUP(C429,[1]Drivers!$O$3:$S$196,5,FALSE)</f>
        <v>Shenzhen Sunricher Technology Co. Ltd, SRPL-2305N-50CC650-1300U, Driver, 50W, Dali DT6 Dimming, Monochromatic, Linear Form, Constant Current, 650-1300mA, 1 Channel, 220-240V Input Voltage</v>
      </c>
      <c r="W429" s="29"/>
      <c r="X429" s="29"/>
      <c r="Y429" s="21">
        <v>13.5</v>
      </c>
      <c r="Z429" s="92">
        <v>1.52</v>
      </c>
      <c r="AA429" s="92">
        <v>1.5</v>
      </c>
    </row>
    <row r="430" spans="1:29" x14ac:dyDescent="0.25">
      <c r="A430" s="33">
        <f t="shared" si="76"/>
        <v>427</v>
      </c>
      <c r="B430" s="29" t="s">
        <v>1033</v>
      </c>
      <c r="C430" s="29" t="s">
        <v>1034</v>
      </c>
      <c r="D430" s="19" t="s">
        <v>982</v>
      </c>
      <c r="E430" s="29" t="s">
        <v>1035</v>
      </c>
      <c r="F430" s="29"/>
      <c r="G430" s="29"/>
      <c r="H430" s="29">
        <v>60</v>
      </c>
      <c r="I430" s="29" t="s">
        <v>1040</v>
      </c>
      <c r="J430" s="29"/>
      <c r="K430" s="29" t="s">
        <v>1037</v>
      </c>
      <c r="L430" s="29"/>
      <c r="M430" s="29"/>
      <c r="N430" s="29"/>
      <c r="O430" s="29" t="s">
        <v>1038</v>
      </c>
      <c r="P430" s="29"/>
      <c r="Q430" s="29" t="s">
        <v>395</v>
      </c>
      <c r="R430" s="29"/>
      <c r="S430" s="29"/>
      <c r="T430" s="29">
        <v>3</v>
      </c>
      <c r="U430" s="20">
        <f t="shared" si="74"/>
        <v>14.850000000000001</v>
      </c>
      <c r="V430" s="37" t="str">
        <f>VLOOKUP(C430,[1]Drivers!$O$3:$S$196,5,FALSE)</f>
        <v>Shenzhen Sunricher Technology Co. Ltd, SRPL-2305N-50CC650-1300U, Driver, 50W, Dali DT6 Dimming, Monochromatic, Linear Form, Constant Current, 650-1300mA, 1 Channel, 220-240V Input Voltage</v>
      </c>
      <c r="W430" s="29"/>
      <c r="X430" s="29"/>
      <c r="Y430" s="21">
        <v>13.5</v>
      </c>
      <c r="Z430" s="92">
        <v>1.52</v>
      </c>
      <c r="AA430" s="92">
        <v>1.5</v>
      </c>
    </row>
    <row r="431" spans="1:29" x14ac:dyDescent="0.25">
      <c r="A431" s="33">
        <f t="shared" si="76"/>
        <v>428</v>
      </c>
      <c r="B431" s="29" t="s">
        <v>1047</v>
      </c>
      <c r="C431" s="29" t="s">
        <v>1048</v>
      </c>
      <c r="D431" s="19" t="s">
        <v>982</v>
      </c>
      <c r="E431" s="29" t="s">
        <v>985</v>
      </c>
      <c r="F431" s="61"/>
      <c r="G431" s="61"/>
      <c r="H431" s="29" t="s">
        <v>989</v>
      </c>
      <c r="I431" s="29" t="s">
        <v>129</v>
      </c>
      <c r="J431" s="61"/>
      <c r="K431" s="29" t="s">
        <v>1037</v>
      </c>
      <c r="L431" s="29"/>
      <c r="M431" s="29"/>
      <c r="N431" s="29"/>
      <c r="O431" s="29" t="s">
        <v>200</v>
      </c>
      <c r="P431" s="29"/>
      <c r="Q431" s="29" t="s">
        <v>395</v>
      </c>
      <c r="R431" s="29"/>
      <c r="S431" s="29"/>
      <c r="T431" s="61">
        <v>1</v>
      </c>
      <c r="U431" s="20">
        <f t="shared" ref="U431:U469" si="77">Y431*1.1</f>
        <v>14.850000000000001</v>
      </c>
      <c r="V431" s="37" t="str">
        <f>VLOOKUP(C431,[1]Drivers!$O$3:$S$196,5,FALSE)</f>
        <v>Shenzhen Sunricher Technology Co. Ltd, SRPL-2309N-50CCT650-1300U, Driver, 50W, Dali DT8 Dimming, Tunable White, Linear Form, Constant Current, 650-1300mA, 2 Channel, 220-240V Input Voltage</v>
      </c>
      <c r="W431" s="29"/>
      <c r="X431" s="29"/>
      <c r="Y431" s="21">
        <v>13.5</v>
      </c>
      <c r="Z431" s="92">
        <v>1.52</v>
      </c>
      <c r="AA431" s="92">
        <v>1.5</v>
      </c>
    </row>
    <row r="432" spans="1:29" x14ac:dyDescent="0.25">
      <c r="A432" s="33">
        <f t="shared" si="76"/>
        <v>429</v>
      </c>
      <c r="B432" s="29" t="s">
        <v>1047</v>
      </c>
      <c r="C432" s="29" t="s">
        <v>1048</v>
      </c>
      <c r="D432" s="19" t="s">
        <v>982</v>
      </c>
      <c r="E432" s="29" t="s">
        <v>985</v>
      </c>
      <c r="F432" s="61"/>
      <c r="G432" s="61"/>
      <c r="H432" s="29" t="s">
        <v>990</v>
      </c>
      <c r="I432" s="61" t="s">
        <v>129</v>
      </c>
      <c r="J432" s="61"/>
      <c r="K432" s="29" t="s">
        <v>1037</v>
      </c>
      <c r="L432" s="29"/>
      <c r="M432" s="29"/>
      <c r="N432" s="29"/>
      <c r="O432" s="29" t="s">
        <v>200</v>
      </c>
      <c r="P432" s="29"/>
      <c r="Q432" s="29" t="s">
        <v>395</v>
      </c>
      <c r="R432" s="29"/>
      <c r="S432" s="29"/>
      <c r="T432" s="61">
        <v>2</v>
      </c>
      <c r="U432" s="20">
        <f t="shared" si="77"/>
        <v>14.850000000000001</v>
      </c>
      <c r="V432" s="37" t="str">
        <f>VLOOKUP(C432,[1]Drivers!$O$3:$S$196,5,FALSE)</f>
        <v>Shenzhen Sunricher Technology Co. Ltd, SRPL-2309N-50CCT650-1300U, Driver, 50W, Dali DT8 Dimming, Tunable White, Linear Form, Constant Current, 650-1300mA, 2 Channel, 220-240V Input Voltage</v>
      </c>
      <c r="W432" s="29"/>
      <c r="X432" s="29"/>
      <c r="Y432" s="21">
        <v>13.5</v>
      </c>
      <c r="Z432" s="92">
        <v>1.52</v>
      </c>
      <c r="AA432" s="92">
        <v>1.5</v>
      </c>
    </row>
    <row r="433" spans="1:27" x14ac:dyDescent="0.25">
      <c r="A433" s="33">
        <f t="shared" si="76"/>
        <v>430</v>
      </c>
      <c r="B433" s="29" t="s">
        <v>1047</v>
      </c>
      <c r="C433" s="29" t="s">
        <v>1048</v>
      </c>
      <c r="D433" s="19" t="s">
        <v>982</v>
      </c>
      <c r="E433" s="29" t="s">
        <v>1049</v>
      </c>
      <c r="F433" s="61"/>
      <c r="G433" s="61"/>
      <c r="H433" s="61" t="s">
        <v>992</v>
      </c>
      <c r="I433" s="61" t="s">
        <v>107</v>
      </c>
      <c r="J433" s="61"/>
      <c r="K433" s="29" t="s">
        <v>1037</v>
      </c>
      <c r="L433" s="29"/>
      <c r="M433" s="29"/>
      <c r="N433" s="29"/>
      <c r="O433" s="29" t="s">
        <v>200</v>
      </c>
      <c r="P433" s="29"/>
      <c r="Q433" s="29" t="s">
        <v>395</v>
      </c>
      <c r="R433" s="29"/>
      <c r="S433" s="29"/>
      <c r="T433" s="61">
        <v>1</v>
      </c>
      <c r="U433" s="20">
        <f t="shared" si="77"/>
        <v>14.850000000000001</v>
      </c>
      <c r="V433" s="37" t="str">
        <f>VLOOKUP(C433,[1]Drivers!$O$3:$S$196,5,FALSE)</f>
        <v>Shenzhen Sunricher Technology Co. Ltd, SRPL-2309N-50CCT650-1300U, Driver, 50W, Dali DT8 Dimming, Tunable White, Linear Form, Constant Current, 650-1300mA, 2 Channel, 220-240V Input Voltage</v>
      </c>
      <c r="W433" s="29"/>
      <c r="X433" s="29"/>
      <c r="Y433" s="21">
        <v>13.5</v>
      </c>
      <c r="Z433" s="92">
        <v>1.52</v>
      </c>
      <c r="AA433" s="92">
        <v>1.5</v>
      </c>
    </row>
    <row r="434" spans="1:27" x14ac:dyDescent="0.25">
      <c r="A434" s="33">
        <f t="shared" si="76"/>
        <v>431</v>
      </c>
      <c r="B434" s="29" t="s">
        <v>1047</v>
      </c>
      <c r="C434" s="29" t="s">
        <v>1048</v>
      </c>
      <c r="D434" s="19" t="s">
        <v>982</v>
      </c>
      <c r="E434" s="29" t="s">
        <v>1049</v>
      </c>
      <c r="F434" s="61"/>
      <c r="G434" s="61"/>
      <c r="H434" s="61" t="s">
        <v>993</v>
      </c>
      <c r="I434" s="61" t="s">
        <v>107</v>
      </c>
      <c r="J434" s="61"/>
      <c r="K434" s="29" t="s">
        <v>1037</v>
      </c>
      <c r="L434" s="29"/>
      <c r="M434" s="29"/>
      <c r="N434" s="29"/>
      <c r="O434" s="29" t="s">
        <v>200</v>
      </c>
      <c r="P434" s="29"/>
      <c r="Q434" s="29" t="s">
        <v>395</v>
      </c>
      <c r="R434" s="29"/>
      <c r="S434" s="29"/>
      <c r="T434" s="61">
        <v>2</v>
      </c>
      <c r="U434" s="20">
        <f t="shared" si="77"/>
        <v>14.850000000000001</v>
      </c>
      <c r="V434" s="37" t="str">
        <f>VLOOKUP(C434,[1]Drivers!$O$3:$S$196,5,FALSE)</f>
        <v>Shenzhen Sunricher Technology Co. Ltd, SRPL-2309N-50CCT650-1300U, Driver, 50W, Dali DT8 Dimming, Tunable White, Linear Form, Constant Current, 650-1300mA, 2 Channel, 220-240V Input Voltage</v>
      </c>
      <c r="W434" s="29"/>
      <c r="X434" s="29"/>
      <c r="Y434" s="21">
        <v>13.5</v>
      </c>
      <c r="Z434" s="92">
        <v>1.52</v>
      </c>
      <c r="AA434" s="92">
        <v>1.5</v>
      </c>
    </row>
    <row r="435" spans="1:27" x14ac:dyDescent="0.25">
      <c r="A435" s="33">
        <f t="shared" si="76"/>
        <v>432</v>
      </c>
      <c r="B435" s="29" t="s">
        <v>1047</v>
      </c>
      <c r="C435" s="29" t="s">
        <v>1048</v>
      </c>
      <c r="D435" s="19" t="s">
        <v>982</v>
      </c>
      <c r="E435" s="29" t="s">
        <v>1049</v>
      </c>
      <c r="F435" s="61"/>
      <c r="G435" s="61"/>
      <c r="H435" s="61" t="s">
        <v>389</v>
      </c>
      <c r="I435" s="61" t="s">
        <v>107</v>
      </c>
      <c r="J435" s="61"/>
      <c r="K435" s="29" t="s">
        <v>1037</v>
      </c>
      <c r="L435" s="29"/>
      <c r="M435" s="29"/>
      <c r="N435" s="29"/>
      <c r="O435" s="29" t="s">
        <v>200</v>
      </c>
      <c r="P435" s="29"/>
      <c r="Q435" s="29" t="s">
        <v>395</v>
      </c>
      <c r="R435" s="29"/>
      <c r="S435" s="29"/>
      <c r="T435" s="61">
        <v>3</v>
      </c>
      <c r="U435" s="20">
        <f t="shared" si="77"/>
        <v>14.850000000000001</v>
      </c>
      <c r="V435" s="37" t="str">
        <f>VLOOKUP(C435,[1]Drivers!$O$3:$S$196,5,FALSE)</f>
        <v>Shenzhen Sunricher Technology Co. Ltd, SRPL-2309N-50CCT650-1300U, Driver, 50W, Dali DT8 Dimming, Tunable White, Linear Form, Constant Current, 650-1300mA, 2 Channel, 220-240V Input Voltage</v>
      </c>
      <c r="W435" s="29"/>
      <c r="X435" s="29"/>
      <c r="Y435" s="21">
        <v>13.5</v>
      </c>
      <c r="Z435" s="92">
        <v>1.52</v>
      </c>
      <c r="AA435" s="92">
        <v>1.5</v>
      </c>
    </row>
    <row r="436" spans="1:27" x14ac:dyDescent="0.25">
      <c r="A436" s="33">
        <f t="shared" si="76"/>
        <v>433</v>
      </c>
      <c r="B436" s="29" t="s">
        <v>1047</v>
      </c>
      <c r="C436" s="29" t="s">
        <v>1048</v>
      </c>
      <c r="D436" s="19" t="s">
        <v>982</v>
      </c>
      <c r="E436" s="61" t="s">
        <v>988</v>
      </c>
      <c r="F436" s="61"/>
      <c r="G436" s="61"/>
      <c r="H436" s="29" t="s">
        <v>801</v>
      </c>
      <c r="I436" s="61" t="s">
        <v>129</v>
      </c>
      <c r="J436" s="61"/>
      <c r="K436" s="29" t="s">
        <v>1037</v>
      </c>
      <c r="L436" s="29"/>
      <c r="M436" s="29"/>
      <c r="N436" s="29"/>
      <c r="O436" s="29" t="s">
        <v>200</v>
      </c>
      <c r="P436" s="29"/>
      <c r="Q436" s="29" t="s">
        <v>395</v>
      </c>
      <c r="R436" s="29"/>
      <c r="S436" s="29"/>
      <c r="T436" s="61">
        <v>1</v>
      </c>
      <c r="U436" s="20">
        <f t="shared" si="77"/>
        <v>14.850000000000001</v>
      </c>
      <c r="V436" s="37" t="str">
        <f>VLOOKUP(C436,[1]Drivers!$O$3:$S$196,5,FALSE)</f>
        <v>Shenzhen Sunricher Technology Co. Ltd, SRPL-2309N-50CCT650-1300U, Driver, 50W, Dali DT8 Dimming, Tunable White, Linear Form, Constant Current, 650-1300mA, 2 Channel, 220-240V Input Voltage</v>
      </c>
      <c r="W436" s="29"/>
      <c r="X436" s="29"/>
      <c r="Y436" s="21">
        <v>13.5</v>
      </c>
      <c r="Z436" s="92">
        <v>1.52</v>
      </c>
      <c r="AA436" s="92">
        <v>1.5</v>
      </c>
    </row>
    <row r="437" spans="1:27" x14ac:dyDescent="0.25">
      <c r="A437" s="33">
        <f t="shared" si="76"/>
        <v>434</v>
      </c>
      <c r="B437" s="29" t="s">
        <v>1047</v>
      </c>
      <c r="C437" s="29" t="s">
        <v>1048</v>
      </c>
      <c r="D437" s="19" t="s">
        <v>982</v>
      </c>
      <c r="E437" s="61" t="s">
        <v>988</v>
      </c>
      <c r="F437" s="61"/>
      <c r="G437" s="61"/>
      <c r="H437" s="61" t="s">
        <v>803</v>
      </c>
      <c r="I437" s="61" t="s">
        <v>129</v>
      </c>
      <c r="J437" s="61"/>
      <c r="K437" s="29" t="s">
        <v>1037</v>
      </c>
      <c r="L437" s="29"/>
      <c r="M437" s="29"/>
      <c r="N437" s="29"/>
      <c r="O437" s="29" t="s">
        <v>200</v>
      </c>
      <c r="P437" s="29"/>
      <c r="Q437" s="29" t="s">
        <v>395</v>
      </c>
      <c r="R437" s="29"/>
      <c r="S437" s="29"/>
      <c r="T437" s="61">
        <v>2</v>
      </c>
      <c r="U437" s="20">
        <f t="shared" si="77"/>
        <v>14.850000000000001</v>
      </c>
      <c r="V437" s="37" t="str">
        <f>VLOOKUP(C437,[1]Drivers!$O$3:$S$196,5,FALSE)</f>
        <v>Shenzhen Sunricher Technology Co. Ltd, SRPL-2309N-50CCT650-1300U, Driver, 50W, Dali DT8 Dimming, Tunable White, Linear Form, Constant Current, 650-1300mA, 2 Channel, 220-240V Input Voltage</v>
      </c>
      <c r="W437" s="29"/>
      <c r="X437" s="29"/>
      <c r="Y437" s="21">
        <v>13.5</v>
      </c>
      <c r="Z437" s="92">
        <v>1.52</v>
      </c>
      <c r="AA437" s="92">
        <v>1.5</v>
      </c>
    </row>
    <row r="438" spans="1:27" x14ac:dyDescent="0.25">
      <c r="A438" s="33">
        <f t="shared" si="76"/>
        <v>435</v>
      </c>
      <c r="B438" s="29" t="s">
        <v>1050</v>
      </c>
      <c r="C438" s="29" t="s">
        <v>1051</v>
      </c>
      <c r="D438" s="19" t="s">
        <v>982</v>
      </c>
      <c r="E438" s="29" t="s">
        <v>1004</v>
      </c>
      <c r="F438" s="29"/>
      <c r="G438" s="29"/>
      <c r="H438" s="19" t="s">
        <v>1052</v>
      </c>
      <c r="I438" s="29" t="s">
        <v>1046</v>
      </c>
      <c r="J438" s="29"/>
      <c r="K438" s="29" t="s">
        <v>1053</v>
      </c>
      <c r="L438" s="29"/>
      <c r="M438" s="29"/>
      <c r="N438" s="29"/>
      <c r="O438" s="29" t="s">
        <v>1038</v>
      </c>
      <c r="P438" s="29"/>
      <c r="Q438" s="29" t="s">
        <v>395</v>
      </c>
      <c r="R438" s="29"/>
      <c r="S438" s="29"/>
      <c r="T438" s="29">
        <v>1</v>
      </c>
      <c r="U438" s="20">
        <f t="shared" si="77"/>
        <v>27.500000000000004</v>
      </c>
      <c r="V438" s="37" t="str">
        <f>VLOOKUP(C438,[1]Drivers!$O$3:$S$196,5,FALSE)</f>
        <v>Shenzhen Sunricher Technology Co. Ltd, SRPL-2108-75CCT, Driver, 75W, DMX Dimming, Tunable White, Linear Form, Constant Current, 250-1500mA, 2 Channel, 100-277V Input Voltage</v>
      </c>
      <c r="W438" s="29"/>
      <c r="X438" s="29"/>
      <c r="Y438" s="21">
        <v>25</v>
      </c>
      <c r="Z438" s="92">
        <v>1.52</v>
      </c>
      <c r="AA438" s="92">
        <v>1.5</v>
      </c>
    </row>
    <row r="439" spans="1:27" x14ac:dyDescent="0.25">
      <c r="A439" s="33">
        <f t="shared" si="76"/>
        <v>436</v>
      </c>
      <c r="B439" s="29" t="s">
        <v>1050</v>
      </c>
      <c r="C439" s="29" t="s">
        <v>1051</v>
      </c>
      <c r="D439" s="19" t="s">
        <v>982</v>
      </c>
      <c r="E439" s="29" t="s">
        <v>1004</v>
      </c>
      <c r="F439" s="29"/>
      <c r="G439" s="29"/>
      <c r="H439" s="19">
        <v>54</v>
      </c>
      <c r="I439" s="29" t="s">
        <v>1046</v>
      </c>
      <c r="J439" s="29"/>
      <c r="K439" s="29" t="s">
        <v>1053</v>
      </c>
      <c r="L439" s="29"/>
      <c r="M439" s="29"/>
      <c r="N439" s="29"/>
      <c r="O439" s="29" t="s">
        <v>1038</v>
      </c>
      <c r="P439" s="29"/>
      <c r="Q439" s="29" t="s">
        <v>395</v>
      </c>
      <c r="R439" s="29"/>
      <c r="S439" s="29"/>
      <c r="T439" s="29">
        <v>2</v>
      </c>
      <c r="U439" s="20">
        <f t="shared" si="77"/>
        <v>27.500000000000004</v>
      </c>
      <c r="V439" s="37" t="str">
        <f>VLOOKUP(C439,[1]Drivers!$O$3:$S$196,5,FALSE)</f>
        <v>Shenzhen Sunricher Technology Co. Ltd, SRPL-2108-75CCT, Driver, 75W, DMX Dimming, Tunable White, Linear Form, Constant Current, 250-1500mA, 2 Channel, 100-277V Input Voltage</v>
      </c>
      <c r="W439" s="29"/>
      <c r="X439" s="29"/>
      <c r="Y439" s="21">
        <v>25</v>
      </c>
      <c r="Z439" s="92">
        <v>1.52</v>
      </c>
      <c r="AA439" s="92">
        <v>1.5</v>
      </c>
    </row>
    <row r="440" spans="1:27" x14ac:dyDescent="0.25">
      <c r="A440" s="33">
        <f t="shared" si="76"/>
        <v>437</v>
      </c>
      <c r="B440" s="29" t="s">
        <v>1050</v>
      </c>
      <c r="C440" s="29" t="s">
        <v>1051</v>
      </c>
      <c r="D440" s="19" t="s">
        <v>982</v>
      </c>
      <c r="E440" s="29" t="s">
        <v>1004</v>
      </c>
      <c r="F440" s="29"/>
      <c r="G440" s="29"/>
      <c r="H440" s="29">
        <v>60</v>
      </c>
      <c r="I440" s="29" t="s">
        <v>1044</v>
      </c>
      <c r="J440" s="29"/>
      <c r="K440" s="29" t="s">
        <v>1053</v>
      </c>
      <c r="L440" s="29"/>
      <c r="M440" s="29"/>
      <c r="N440" s="29"/>
      <c r="O440" s="29" t="s">
        <v>1038</v>
      </c>
      <c r="P440" s="29"/>
      <c r="Q440" s="29" t="s">
        <v>395</v>
      </c>
      <c r="R440" s="29"/>
      <c r="S440" s="29"/>
      <c r="T440" s="29">
        <v>1</v>
      </c>
      <c r="U440" s="20">
        <f t="shared" si="77"/>
        <v>27.500000000000004</v>
      </c>
      <c r="V440" s="37" t="str">
        <f>VLOOKUP(C440,[1]Drivers!$O$3:$S$196,5,FALSE)</f>
        <v>Shenzhen Sunricher Technology Co. Ltd, SRPL-2108-75CCT, Driver, 75W, DMX Dimming, Tunable White, Linear Form, Constant Current, 250-1500mA, 2 Channel, 100-277V Input Voltage</v>
      </c>
      <c r="W440" s="29"/>
      <c r="X440" s="29"/>
      <c r="Y440" s="21">
        <v>25</v>
      </c>
      <c r="Z440" s="92">
        <v>1.52</v>
      </c>
      <c r="AA440" s="92">
        <v>1.5</v>
      </c>
    </row>
    <row r="441" spans="1:27" x14ac:dyDescent="0.25">
      <c r="A441" s="33">
        <f t="shared" si="76"/>
        <v>438</v>
      </c>
      <c r="B441" s="29" t="s">
        <v>1050</v>
      </c>
      <c r="C441" s="29" t="s">
        <v>1051</v>
      </c>
      <c r="D441" s="19" t="s">
        <v>982</v>
      </c>
      <c r="E441" s="29" t="s">
        <v>1004</v>
      </c>
      <c r="F441" s="29"/>
      <c r="G441" s="29"/>
      <c r="H441" s="29">
        <v>60</v>
      </c>
      <c r="I441" s="29" t="s">
        <v>1054</v>
      </c>
      <c r="J441" s="29"/>
      <c r="K441" s="29" t="s">
        <v>1053</v>
      </c>
      <c r="L441" s="29"/>
      <c r="M441" s="29"/>
      <c r="N441" s="29"/>
      <c r="O441" s="29" t="s">
        <v>1038</v>
      </c>
      <c r="P441" s="29"/>
      <c r="Q441" s="29" t="s">
        <v>395</v>
      </c>
      <c r="R441" s="29"/>
      <c r="S441" s="29"/>
      <c r="T441" s="29">
        <v>2</v>
      </c>
      <c r="U441" s="20">
        <f t="shared" si="77"/>
        <v>27.500000000000004</v>
      </c>
      <c r="V441" s="37" t="str">
        <f>VLOOKUP(C441,[1]Drivers!$O$3:$S$196,5,FALSE)</f>
        <v>Shenzhen Sunricher Technology Co. Ltd, SRPL-2108-75CCT, Driver, 75W, DMX Dimming, Tunable White, Linear Form, Constant Current, 250-1500mA, 2 Channel, 100-277V Input Voltage</v>
      </c>
      <c r="W441" s="29"/>
      <c r="X441" s="29"/>
      <c r="Y441" s="21">
        <v>25</v>
      </c>
      <c r="Z441" s="92">
        <v>1.52</v>
      </c>
      <c r="AA441" s="92">
        <v>1.5</v>
      </c>
    </row>
    <row r="442" spans="1:27" x14ac:dyDescent="0.25">
      <c r="A442" s="33">
        <f t="shared" si="76"/>
        <v>439</v>
      </c>
      <c r="B442" s="29" t="s">
        <v>1050</v>
      </c>
      <c r="C442" s="29" t="s">
        <v>1051</v>
      </c>
      <c r="D442" s="19" t="s">
        <v>982</v>
      </c>
      <c r="E442" s="29" t="s">
        <v>985</v>
      </c>
      <c r="F442" s="29"/>
      <c r="G442" s="29"/>
      <c r="H442" s="19" t="s">
        <v>801</v>
      </c>
      <c r="I442" s="29" t="s">
        <v>1055</v>
      </c>
      <c r="J442" s="29"/>
      <c r="K442" s="29" t="s">
        <v>1053</v>
      </c>
      <c r="L442" s="29"/>
      <c r="M442" s="29"/>
      <c r="N442" s="29"/>
      <c r="O442" s="29" t="s">
        <v>200</v>
      </c>
      <c r="P442" s="29"/>
      <c r="Q442" s="29" t="s">
        <v>395</v>
      </c>
      <c r="R442" s="29"/>
      <c r="S442" s="29"/>
      <c r="T442" s="29">
        <v>1</v>
      </c>
      <c r="U442" s="20">
        <f t="shared" si="77"/>
        <v>27.500000000000004</v>
      </c>
      <c r="V442" s="37" t="str">
        <f>VLOOKUP(C442,[1]Drivers!$O$3:$S$196,5,FALSE)</f>
        <v>Shenzhen Sunricher Technology Co. Ltd, SRPL-2108-75CCT, Driver, 75W, DMX Dimming, Tunable White, Linear Form, Constant Current, 250-1500mA, 2 Channel, 100-277V Input Voltage</v>
      </c>
      <c r="W442" s="29"/>
      <c r="X442" s="29"/>
      <c r="Y442" s="21">
        <v>25</v>
      </c>
      <c r="Z442" s="92">
        <v>1.52</v>
      </c>
      <c r="AA442" s="92">
        <v>1.5</v>
      </c>
    </row>
    <row r="443" spans="1:27" x14ac:dyDescent="0.25">
      <c r="A443" s="33">
        <f t="shared" si="76"/>
        <v>440</v>
      </c>
      <c r="B443" s="29" t="s">
        <v>1050</v>
      </c>
      <c r="C443" s="29" t="s">
        <v>1051</v>
      </c>
      <c r="D443" s="19" t="s">
        <v>982</v>
      </c>
      <c r="E443" s="29" t="s">
        <v>985</v>
      </c>
      <c r="F443" s="29"/>
      <c r="G443" s="29"/>
      <c r="H443" s="29" t="s">
        <v>803</v>
      </c>
      <c r="I443" s="29" t="s">
        <v>1055</v>
      </c>
      <c r="J443" s="29"/>
      <c r="K443" s="29" t="s">
        <v>1053</v>
      </c>
      <c r="L443" s="29"/>
      <c r="M443" s="29"/>
      <c r="N443" s="29"/>
      <c r="O443" s="29" t="s">
        <v>200</v>
      </c>
      <c r="P443" s="29"/>
      <c r="Q443" s="29" t="s">
        <v>395</v>
      </c>
      <c r="R443" s="29"/>
      <c r="S443" s="29"/>
      <c r="T443" s="29">
        <v>2</v>
      </c>
      <c r="U443" s="20">
        <f t="shared" si="77"/>
        <v>27.500000000000004</v>
      </c>
      <c r="V443" s="37" t="str">
        <f>VLOOKUP(C443,[1]Drivers!$O$3:$S$196,5,FALSE)</f>
        <v>Shenzhen Sunricher Technology Co. Ltd, SRPL-2108-75CCT, Driver, 75W, DMX Dimming, Tunable White, Linear Form, Constant Current, 250-1500mA, 2 Channel, 100-277V Input Voltage</v>
      </c>
      <c r="W443" s="29"/>
      <c r="X443" s="29"/>
      <c r="Y443" s="21">
        <v>25</v>
      </c>
      <c r="Z443" s="92">
        <v>1.52</v>
      </c>
      <c r="AA443" s="92">
        <v>1.5</v>
      </c>
    </row>
    <row r="444" spans="1:27" x14ac:dyDescent="0.25">
      <c r="A444" s="33">
        <f t="shared" si="76"/>
        <v>441</v>
      </c>
      <c r="B444" s="29" t="s">
        <v>1050</v>
      </c>
      <c r="C444" s="29" t="s">
        <v>1051</v>
      </c>
      <c r="D444" s="19" t="s">
        <v>982</v>
      </c>
      <c r="E444" s="29" t="s">
        <v>1004</v>
      </c>
      <c r="F444" s="29"/>
      <c r="G444" s="29"/>
      <c r="H444" s="61" t="s">
        <v>1056</v>
      </c>
      <c r="I444" s="61" t="s">
        <v>1055</v>
      </c>
      <c r="J444" s="29"/>
      <c r="K444" s="29" t="s">
        <v>1053</v>
      </c>
      <c r="L444" s="29"/>
      <c r="M444" s="29"/>
      <c r="N444" s="29"/>
      <c r="O444" s="29" t="s">
        <v>200</v>
      </c>
      <c r="P444" s="29"/>
      <c r="Q444" s="29" t="s">
        <v>395</v>
      </c>
      <c r="R444" s="29"/>
      <c r="S444" s="29"/>
      <c r="T444" s="61">
        <v>1</v>
      </c>
      <c r="U444" s="20">
        <f t="shared" si="77"/>
        <v>27.500000000000004</v>
      </c>
      <c r="V444" s="37" t="str">
        <f>VLOOKUP(C444,[1]Drivers!$O$3:$S$196,5,FALSE)</f>
        <v>Shenzhen Sunricher Technology Co. Ltd, SRPL-2108-75CCT, Driver, 75W, DMX Dimming, Tunable White, Linear Form, Constant Current, 250-1500mA, 2 Channel, 100-277V Input Voltage</v>
      </c>
      <c r="W444" s="29"/>
      <c r="X444" s="29"/>
      <c r="Y444" s="21">
        <v>25</v>
      </c>
      <c r="Z444" s="92">
        <v>1.52</v>
      </c>
      <c r="AA444" s="92">
        <v>1.5</v>
      </c>
    </row>
    <row r="445" spans="1:27" x14ac:dyDescent="0.25">
      <c r="A445" s="33">
        <f t="shared" si="76"/>
        <v>442</v>
      </c>
      <c r="B445" s="29" t="s">
        <v>1050</v>
      </c>
      <c r="C445" s="29" t="s">
        <v>1051</v>
      </c>
      <c r="D445" s="19" t="s">
        <v>982</v>
      </c>
      <c r="E445" s="29" t="s">
        <v>1004</v>
      </c>
      <c r="F445" s="29"/>
      <c r="G445" s="29"/>
      <c r="H445" s="29" t="s">
        <v>1017</v>
      </c>
      <c r="I445" s="61" t="s">
        <v>1055</v>
      </c>
      <c r="J445" s="29"/>
      <c r="K445" s="29" t="s">
        <v>1053</v>
      </c>
      <c r="L445" s="29"/>
      <c r="M445" s="29"/>
      <c r="N445" s="29"/>
      <c r="O445" s="29" t="s">
        <v>200</v>
      </c>
      <c r="P445" s="29"/>
      <c r="Q445" s="29" t="s">
        <v>395</v>
      </c>
      <c r="R445" s="29"/>
      <c r="S445" s="29"/>
      <c r="T445" s="61">
        <v>2</v>
      </c>
      <c r="U445" s="20">
        <f t="shared" si="77"/>
        <v>27.500000000000004</v>
      </c>
      <c r="V445" s="37" t="str">
        <f>VLOOKUP(C445,[1]Drivers!$O$3:$S$196,5,FALSE)</f>
        <v>Shenzhen Sunricher Technology Co. Ltd, SRPL-2108-75CCT, Driver, 75W, DMX Dimming, Tunable White, Linear Form, Constant Current, 250-1500mA, 2 Channel, 100-277V Input Voltage</v>
      </c>
      <c r="W445" s="29"/>
      <c r="X445" s="29"/>
      <c r="Y445" s="21">
        <v>25</v>
      </c>
      <c r="Z445" s="92">
        <v>1.52</v>
      </c>
      <c r="AA445" s="92">
        <v>1.5</v>
      </c>
    </row>
    <row r="446" spans="1:27" x14ac:dyDescent="0.25">
      <c r="A446" s="33">
        <f t="shared" si="76"/>
        <v>443</v>
      </c>
      <c r="B446" s="29" t="s">
        <v>1050</v>
      </c>
      <c r="C446" s="29" t="s">
        <v>1051</v>
      </c>
      <c r="D446" s="19" t="s">
        <v>982</v>
      </c>
      <c r="E446" s="29" t="s">
        <v>1004</v>
      </c>
      <c r="F446" s="29"/>
      <c r="G446" s="29"/>
      <c r="H446" s="29">
        <v>60</v>
      </c>
      <c r="I446" s="61" t="s">
        <v>1055</v>
      </c>
      <c r="J446" s="29"/>
      <c r="K446" s="29" t="s">
        <v>1053</v>
      </c>
      <c r="L446" s="29"/>
      <c r="M446" s="29"/>
      <c r="N446" s="29"/>
      <c r="O446" s="29" t="s">
        <v>200</v>
      </c>
      <c r="P446" s="29"/>
      <c r="Q446" s="29" t="s">
        <v>395</v>
      </c>
      <c r="R446" s="29"/>
      <c r="S446" s="29"/>
      <c r="T446" s="61">
        <v>3</v>
      </c>
      <c r="U446" s="20">
        <f t="shared" si="77"/>
        <v>27.500000000000004</v>
      </c>
      <c r="V446" s="37" t="str">
        <f>VLOOKUP(C446,[1]Drivers!$O$3:$S$196,5,FALSE)</f>
        <v>Shenzhen Sunricher Technology Co. Ltd, SRPL-2108-75CCT, Driver, 75W, DMX Dimming, Tunable White, Linear Form, Constant Current, 250-1500mA, 2 Channel, 100-277V Input Voltage</v>
      </c>
      <c r="W446" s="29"/>
      <c r="X446" s="29"/>
      <c r="Y446" s="21">
        <v>25</v>
      </c>
      <c r="Z446" s="92">
        <v>1.52</v>
      </c>
      <c r="AA446" s="92">
        <v>1.5</v>
      </c>
    </row>
    <row r="447" spans="1:27" x14ac:dyDescent="0.25">
      <c r="A447" s="33">
        <f t="shared" si="76"/>
        <v>444</v>
      </c>
      <c r="B447" s="29" t="s">
        <v>1057</v>
      </c>
      <c r="C447" s="29" t="s">
        <v>1058</v>
      </c>
      <c r="D447" s="19" t="s">
        <v>982</v>
      </c>
      <c r="E447" s="19" t="s">
        <v>996</v>
      </c>
      <c r="F447" s="29"/>
      <c r="G447" s="29"/>
      <c r="H447" s="29" t="s">
        <v>1031</v>
      </c>
      <c r="I447" s="29" t="s">
        <v>1054</v>
      </c>
      <c r="J447" s="29"/>
      <c r="K447" s="19" t="s">
        <v>1059</v>
      </c>
      <c r="L447" s="29"/>
      <c r="M447" s="29"/>
      <c r="N447" s="29"/>
      <c r="O447" s="29" t="s">
        <v>1038</v>
      </c>
      <c r="P447" s="29"/>
      <c r="Q447" s="29" t="s">
        <v>395</v>
      </c>
      <c r="R447" s="29"/>
      <c r="S447" s="29"/>
      <c r="T447" s="29">
        <v>1</v>
      </c>
      <c r="U447" s="20">
        <f t="shared" si="77"/>
        <v>21.450000000000003</v>
      </c>
      <c r="V447" s="37" t="str">
        <f>VLOOKUP(C447,[1]Drivers!$O$3:$S$196,5,FALSE)</f>
        <v>Ningbo Euchips Intelligent Technology Co., Ltd., PUP40A-1WMC-1200, Driver, 40W, 0-10V to 0.1% Dimming, Monochromatic, Puck Form, Constant Current, 850-1200mA, 1 Channel, 120-277V Input Voltage</v>
      </c>
      <c r="W447" s="29"/>
      <c r="X447" s="29"/>
      <c r="Y447" s="21">
        <v>19.5</v>
      </c>
      <c r="Z447" s="92">
        <v>1.52</v>
      </c>
      <c r="AA447" s="92">
        <v>1.5</v>
      </c>
    </row>
    <row r="448" spans="1:27" x14ac:dyDescent="0.25">
      <c r="A448" s="33">
        <f t="shared" si="76"/>
        <v>445</v>
      </c>
      <c r="B448" s="29" t="s">
        <v>1057</v>
      </c>
      <c r="C448" s="29" t="s">
        <v>1058</v>
      </c>
      <c r="D448" s="19" t="s">
        <v>982</v>
      </c>
      <c r="E448" s="19" t="s">
        <v>996</v>
      </c>
      <c r="F448" s="29"/>
      <c r="G448" s="29"/>
      <c r="H448" s="29" t="s">
        <v>1060</v>
      </c>
      <c r="I448" s="29" t="s">
        <v>1054</v>
      </c>
      <c r="J448" s="29"/>
      <c r="K448" s="19" t="s">
        <v>1059</v>
      </c>
      <c r="L448" s="29"/>
      <c r="M448" s="29"/>
      <c r="N448" s="29"/>
      <c r="O448" s="29" t="s">
        <v>1038</v>
      </c>
      <c r="P448" s="29"/>
      <c r="Q448" s="29" t="s">
        <v>395</v>
      </c>
      <c r="R448" s="29"/>
      <c r="S448" s="29"/>
      <c r="T448" s="29">
        <v>2</v>
      </c>
      <c r="U448" s="20">
        <f t="shared" si="77"/>
        <v>21.450000000000003</v>
      </c>
      <c r="V448" s="37" t="str">
        <f>VLOOKUP(C448,[1]Drivers!$O$3:$S$196,5,FALSE)</f>
        <v>Ningbo Euchips Intelligent Technology Co., Ltd., PUP40A-1WMC-1200, Driver, 40W, 0-10V to 0.1% Dimming, Monochromatic, Puck Form, Constant Current, 850-1200mA, 1 Channel, 120-277V Input Voltage</v>
      </c>
      <c r="W448" s="29"/>
      <c r="X448" s="29"/>
      <c r="Y448" s="21">
        <v>19.5</v>
      </c>
      <c r="Z448" s="92">
        <v>1.52</v>
      </c>
      <c r="AA448" s="92">
        <v>1.5</v>
      </c>
    </row>
    <row r="449" spans="1:28" x14ac:dyDescent="0.25">
      <c r="A449" s="33">
        <f t="shared" si="76"/>
        <v>446</v>
      </c>
      <c r="B449" s="29" t="s">
        <v>1057</v>
      </c>
      <c r="C449" s="29" t="s">
        <v>1058</v>
      </c>
      <c r="D449" s="19" t="s">
        <v>982</v>
      </c>
      <c r="E449" s="19" t="s">
        <v>996</v>
      </c>
      <c r="F449" s="29"/>
      <c r="G449" s="29"/>
      <c r="H449" s="29">
        <v>60</v>
      </c>
      <c r="I449" s="29" t="s">
        <v>1054</v>
      </c>
      <c r="J449" s="29"/>
      <c r="K449" s="19" t="s">
        <v>1059</v>
      </c>
      <c r="L449" s="29"/>
      <c r="M449" s="29"/>
      <c r="N449" s="29"/>
      <c r="O449" s="29" t="s">
        <v>1038</v>
      </c>
      <c r="P449" s="29"/>
      <c r="Q449" s="29" t="s">
        <v>395</v>
      </c>
      <c r="R449" s="29"/>
      <c r="S449" s="29"/>
      <c r="T449" s="29">
        <v>3</v>
      </c>
      <c r="U449" s="20">
        <f t="shared" si="77"/>
        <v>21.450000000000003</v>
      </c>
      <c r="V449" s="37" t="str">
        <f>VLOOKUP(C449,[1]Drivers!$O$3:$S$196,5,FALSE)</f>
        <v>Ningbo Euchips Intelligent Technology Co., Ltd., PUP40A-1WMC-1200, Driver, 40W, 0-10V to 0.1% Dimming, Monochromatic, Puck Form, Constant Current, 850-1200mA, 1 Channel, 120-277V Input Voltage</v>
      </c>
      <c r="W449" s="29"/>
      <c r="X449" s="29"/>
      <c r="Y449" s="21">
        <v>19.5</v>
      </c>
      <c r="Z449" s="92">
        <v>1.52</v>
      </c>
      <c r="AA449" s="92">
        <v>1.5</v>
      </c>
    </row>
    <row r="450" spans="1:28" x14ac:dyDescent="0.25">
      <c r="A450" s="33">
        <f t="shared" si="76"/>
        <v>447</v>
      </c>
      <c r="B450" s="29" t="s">
        <v>1057</v>
      </c>
      <c r="C450" s="29" t="s">
        <v>1058</v>
      </c>
      <c r="D450" s="19" t="s">
        <v>982</v>
      </c>
      <c r="E450" s="19" t="s">
        <v>985</v>
      </c>
      <c r="F450" s="19"/>
      <c r="G450" s="19"/>
      <c r="H450" s="19" t="s">
        <v>1031</v>
      </c>
      <c r="I450" s="29" t="s">
        <v>1054</v>
      </c>
      <c r="J450" s="29"/>
      <c r="K450" s="19" t="s">
        <v>1059</v>
      </c>
      <c r="L450" s="29"/>
      <c r="M450" s="29"/>
      <c r="N450" s="29"/>
      <c r="O450" s="29" t="s">
        <v>1038</v>
      </c>
      <c r="P450" s="29"/>
      <c r="Q450" s="29" t="s">
        <v>395</v>
      </c>
      <c r="R450" s="29"/>
      <c r="S450" s="29"/>
      <c r="T450" s="29">
        <v>1</v>
      </c>
      <c r="U450" s="20">
        <f t="shared" si="77"/>
        <v>21.450000000000003</v>
      </c>
      <c r="V450" s="37" t="str">
        <f>VLOOKUP(C450,[1]Drivers!$O$3:$S$196,5,FALSE)</f>
        <v>Ningbo Euchips Intelligent Technology Co., Ltd., PUP40A-1WMC-1200, Driver, 40W, 0-10V to 0.1% Dimming, Monochromatic, Puck Form, Constant Current, 850-1200mA, 1 Channel, 120-277V Input Voltage</v>
      </c>
      <c r="W450" s="29"/>
      <c r="X450" s="29"/>
      <c r="Y450" s="21">
        <v>19.5</v>
      </c>
      <c r="Z450" s="92">
        <v>1.52</v>
      </c>
      <c r="AA450" s="92">
        <v>1.5</v>
      </c>
    </row>
    <row r="451" spans="1:28" x14ac:dyDescent="0.25">
      <c r="A451" s="33">
        <f t="shared" si="76"/>
        <v>448</v>
      </c>
      <c r="B451" s="29" t="s">
        <v>1057</v>
      </c>
      <c r="C451" s="29" t="s">
        <v>1058</v>
      </c>
      <c r="D451" s="19" t="s">
        <v>982</v>
      </c>
      <c r="E451" s="29" t="s">
        <v>985</v>
      </c>
      <c r="F451" s="29"/>
      <c r="G451" s="29"/>
      <c r="H451" s="29" t="s">
        <v>1060</v>
      </c>
      <c r="I451" s="29" t="s">
        <v>1054</v>
      </c>
      <c r="J451" s="29"/>
      <c r="K451" s="19" t="s">
        <v>1059</v>
      </c>
      <c r="L451" s="29"/>
      <c r="M451" s="29"/>
      <c r="N451" s="29"/>
      <c r="O451" s="29" t="s">
        <v>1038</v>
      </c>
      <c r="P451" s="29"/>
      <c r="Q451" s="29" t="s">
        <v>395</v>
      </c>
      <c r="R451" s="29"/>
      <c r="S451" s="29"/>
      <c r="T451" s="29">
        <v>2</v>
      </c>
      <c r="U451" s="20">
        <f t="shared" si="77"/>
        <v>21.450000000000003</v>
      </c>
      <c r="V451" s="37" t="str">
        <f>VLOOKUP(C451,[1]Drivers!$O$3:$S$196,5,FALSE)</f>
        <v>Ningbo Euchips Intelligent Technology Co., Ltd., PUP40A-1WMC-1200, Driver, 40W, 0-10V to 0.1% Dimming, Monochromatic, Puck Form, Constant Current, 850-1200mA, 1 Channel, 120-277V Input Voltage</v>
      </c>
      <c r="W451" s="29"/>
      <c r="X451" s="29"/>
      <c r="Y451" s="21">
        <v>19.5</v>
      </c>
      <c r="Z451" s="92">
        <v>1.52</v>
      </c>
      <c r="AA451" s="92">
        <v>1.5</v>
      </c>
    </row>
    <row r="452" spans="1:28" x14ac:dyDescent="0.25">
      <c r="A452" s="33">
        <f t="shared" si="76"/>
        <v>449</v>
      </c>
      <c r="B452" s="29" t="s">
        <v>1057</v>
      </c>
      <c r="C452" s="29" t="s">
        <v>1058</v>
      </c>
      <c r="D452" s="19" t="s">
        <v>982</v>
      </c>
      <c r="E452" s="29" t="s">
        <v>985</v>
      </c>
      <c r="F452" s="29"/>
      <c r="G452" s="29"/>
      <c r="H452" s="29">
        <v>60</v>
      </c>
      <c r="I452" s="29" t="s">
        <v>1054</v>
      </c>
      <c r="J452" s="29"/>
      <c r="K452" s="19" t="s">
        <v>1059</v>
      </c>
      <c r="L452" s="29"/>
      <c r="M452" s="29"/>
      <c r="N452" s="29"/>
      <c r="O452" s="29" t="s">
        <v>1038</v>
      </c>
      <c r="P452" s="29"/>
      <c r="Q452" s="29" t="s">
        <v>395</v>
      </c>
      <c r="R452" s="29"/>
      <c r="S452" s="29"/>
      <c r="T452" s="29">
        <v>3</v>
      </c>
      <c r="U452" s="20">
        <f t="shared" si="77"/>
        <v>21.450000000000003</v>
      </c>
      <c r="V452" s="37" t="str">
        <f>VLOOKUP(C452,[1]Drivers!$O$3:$S$196,5,FALSE)</f>
        <v>Ningbo Euchips Intelligent Technology Co., Ltd., PUP40A-1WMC-1200, Driver, 40W, 0-10V to 0.1% Dimming, Monochromatic, Puck Form, Constant Current, 850-1200mA, 1 Channel, 120-277V Input Voltage</v>
      </c>
      <c r="W452" s="29"/>
      <c r="X452" s="29"/>
      <c r="Y452" s="21">
        <v>19.5</v>
      </c>
      <c r="Z452" s="92">
        <v>1.52</v>
      </c>
      <c r="AA452" s="92">
        <v>1.5</v>
      </c>
    </row>
    <row r="453" spans="1:28" x14ac:dyDescent="0.25">
      <c r="A453" s="33">
        <f t="shared" si="76"/>
        <v>450</v>
      </c>
      <c r="B453" s="29" t="s">
        <v>1057</v>
      </c>
      <c r="C453" s="29" t="s">
        <v>1058</v>
      </c>
      <c r="D453" s="19" t="s">
        <v>982</v>
      </c>
      <c r="E453" s="19" t="s">
        <v>53</v>
      </c>
      <c r="F453" s="29"/>
      <c r="G453" s="29"/>
      <c r="H453" s="29">
        <v>12</v>
      </c>
      <c r="I453" s="29" t="s">
        <v>1061</v>
      </c>
      <c r="J453" s="29"/>
      <c r="K453" s="19" t="s">
        <v>1062</v>
      </c>
      <c r="L453" s="29"/>
      <c r="M453" s="29"/>
      <c r="N453" s="29"/>
      <c r="O453" s="29" t="s">
        <v>1038</v>
      </c>
      <c r="P453" s="29"/>
      <c r="Q453" s="29" t="s">
        <v>395</v>
      </c>
      <c r="R453" s="29"/>
      <c r="S453" s="29"/>
      <c r="T453" s="29">
        <v>1</v>
      </c>
      <c r="U453" s="20">
        <f t="shared" si="77"/>
        <v>21.450000000000003</v>
      </c>
      <c r="V453" s="37" t="str">
        <f>VLOOKUP(C453,[1]Drivers!$O$3:$S$196,5,FALSE)</f>
        <v>Ningbo Euchips Intelligent Technology Co., Ltd., PUP40A-1WMC-1200, Driver, 40W, 0-10V to 0.1% Dimming, Monochromatic, Puck Form, Constant Current, 850-1200mA, 1 Channel, 120-277V Input Voltage</v>
      </c>
      <c r="W453" s="29"/>
      <c r="X453" s="29"/>
      <c r="Y453" s="21">
        <v>19.5</v>
      </c>
      <c r="Z453" s="92">
        <v>1.52</v>
      </c>
      <c r="AA453" s="92">
        <v>1.5</v>
      </c>
    </row>
    <row r="454" spans="1:28" x14ac:dyDescent="0.25">
      <c r="A454" s="33">
        <f t="shared" si="76"/>
        <v>451</v>
      </c>
      <c r="B454" s="29" t="s">
        <v>1063</v>
      </c>
      <c r="C454" s="29" t="s">
        <v>1064</v>
      </c>
      <c r="D454" s="19" t="s">
        <v>982</v>
      </c>
      <c r="E454" s="19" t="s">
        <v>996</v>
      </c>
      <c r="F454" s="29"/>
      <c r="G454" s="29"/>
      <c r="H454" s="29" t="s">
        <v>989</v>
      </c>
      <c r="I454" s="29" t="s">
        <v>1061</v>
      </c>
      <c r="J454" s="29"/>
      <c r="K454" s="19" t="s">
        <v>1059</v>
      </c>
      <c r="L454" s="29"/>
      <c r="M454" s="29"/>
      <c r="N454" s="29"/>
      <c r="O454" s="29" t="s">
        <v>1038</v>
      </c>
      <c r="P454" s="29"/>
      <c r="Q454" s="29" t="s">
        <v>395</v>
      </c>
      <c r="R454" s="29"/>
      <c r="S454" s="29"/>
      <c r="T454" s="29">
        <v>1</v>
      </c>
      <c r="U454" s="20">
        <f t="shared" si="77"/>
        <v>14.96</v>
      </c>
      <c r="V454" s="37" t="str">
        <f>VLOOKUP(C454,[1]Drivers!$O$3:$S$196,5,FALSE)</f>
        <v>Ningbo Euchips Intelligent Technology Co., Ltd., PUP20A-1WMC, Driver, 20W, 0-10V to 0.1% Dimming, Monochromatic, Puck Form, Constant Current, 350-700mA, 1 Channel, 120-277V Input Voltage</v>
      </c>
      <c r="W454" s="29"/>
      <c r="X454" s="29"/>
      <c r="Y454" s="21">
        <v>13.6</v>
      </c>
      <c r="Z454" s="92">
        <v>1.52</v>
      </c>
      <c r="AA454" s="92">
        <v>1.5</v>
      </c>
    </row>
    <row r="455" spans="1:28" x14ac:dyDescent="0.25">
      <c r="A455" s="33">
        <f t="shared" si="76"/>
        <v>452</v>
      </c>
      <c r="B455" s="29" t="s">
        <v>1063</v>
      </c>
      <c r="C455" s="29" t="s">
        <v>1064</v>
      </c>
      <c r="D455" s="19" t="s">
        <v>982</v>
      </c>
      <c r="E455" s="19" t="s">
        <v>996</v>
      </c>
      <c r="F455" s="29"/>
      <c r="G455" s="29"/>
      <c r="H455" s="29" t="s">
        <v>990</v>
      </c>
      <c r="I455" s="29" t="s">
        <v>1061</v>
      </c>
      <c r="J455" s="29"/>
      <c r="K455" s="19" t="s">
        <v>1059</v>
      </c>
      <c r="L455" s="29"/>
      <c r="M455" s="29"/>
      <c r="N455" s="29"/>
      <c r="O455" s="29" t="s">
        <v>1038</v>
      </c>
      <c r="P455" s="29"/>
      <c r="Q455" s="29" t="s">
        <v>395</v>
      </c>
      <c r="R455" s="29"/>
      <c r="S455" s="29"/>
      <c r="T455" s="29">
        <v>2</v>
      </c>
      <c r="U455" s="20">
        <f t="shared" si="77"/>
        <v>14.96</v>
      </c>
      <c r="V455" s="37" t="str">
        <f>VLOOKUP(C455,[1]Drivers!$O$3:$S$196,5,FALSE)</f>
        <v>Ningbo Euchips Intelligent Technology Co., Ltd., PUP20A-1WMC, Driver, 20W, 0-10V to 0.1% Dimming, Monochromatic, Puck Form, Constant Current, 350-700mA, 1 Channel, 120-277V Input Voltage</v>
      </c>
      <c r="W455" s="29"/>
      <c r="X455" s="29"/>
      <c r="Y455" s="21">
        <v>13.6</v>
      </c>
      <c r="Z455" s="92">
        <v>1.52</v>
      </c>
      <c r="AA455" s="92">
        <v>1.5</v>
      </c>
    </row>
    <row r="456" spans="1:28" x14ac:dyDescent="0.25">
      <c r="A456" s="33">
        <f t="shared" si="76"/>
        <v>453</v>
      </c>
      <c r="B456" s="29" t="s">
        <v>1063</v>
      </c>
      <c r="C456" s="29" t="s">
        <v>1064</v>
      </c>
      <c r="D456" s="19" t="s">
        <v>982</v>
      </c>
      <c r="E456" s="19" t="s">
        <v>996</v>
      </c>
      <c r="F456" s="29"/>
      <c r="G456" s="29"/>
      <c r="H456" s="29" t="s">
        <v>992</v>
      </c>
      <c r="I456" s="29" t="s">
        <v>1065</v>
      </c>
      <c r="J456" s="29"/>
      <c r="K456" s="19" t="s">
        <v>1059</v>
      </c>
      <c r="L456" s="29"/>
      <c r="M456" s="29"/>
      <c r="N456" s="29"/>
      <c r="O456" s="29" t="s">
        <v>1038</v>
      </c>
      <c r="P456" s="29"/>
      <c r="Q456" s="29" t="s">
        <v>395</v>
      </c>
      <c r="R456" s="29"/>
      <c r="S456" s="29"/>
      <c r="T456" s="29">
        <v>1</v>
      </c>
      <c r="U456" s="20">
        <f t="shared" si="77"/>
        <v>14.96</v>
      </c>
      <c r="V456" s="37" t="str">
        <f>VLOOKUP(C456,[1]Drivers!$O$3:$S$196,5,FALSE)</f>
        <v>Ningbo Euchips Intelligent Technology Co., Ltd., PUP20A-1WMC, Driver, 20W, 0-10V to 0.1% Dimming, Monochromatic, Puck Form, Constant Current, 350-700mA, 1 Channel, 120-277V Input Voltage</v>
      </c>
      <c r="W456" s="29"/>
      <c r="X456" s="29"/>
      <c r="Y456" s="21">
        <v>13.6</v>
      </c>
      <c r="Z456" s="92">
        <v>1.52</v>
      </c>
      <c r="AA456" s="92">
        <v>1.5</v>
      </c>
    </row>
    <row r="457" spans="1:28" s="80" customFormat="1" x14ac:dyDescent="0.25">
      <c r="A457" s="33">
        <f t="shared" si="76"/>
        <v>454</v>
      </c>
      <c r="B457" s="29" t="s">
        <v>1063</v>
      </c>
      <c r="C457" s="29" t="s">
        <v>1064</v>
      </c>
      <c r="D457" s="19" t="s">
        <v>982</v>
      </c>
      <c r="E457" s="19" t="s">
        <v>996</v>
      </c>
      <c r="F457" s="29"/>
      <c r="G457" s="29"/>
      <c r="H457" s="29" t="s">
        <v>993</v>
      </c>
      <c r="I457" s="29" t="s">
        <v>1065</v>
      </c>
      <c r="J457" s="29"/>
      <c r="K457" s="19" t="s">
        <v>1059</v>
      </c>
      <c r="L457" s="29"/>
      <c r="M457" s="29"/>
      <c r="N457" s="29"/>
      <c r="O457" s="29" t="s">
        <v>1038</v>
      </c>
      <c r="P457" s="29"/>
      <c r="Q457" s="29" t="s">
        <v>395</v>
      </c>
      <c r="R457" s="29"/>
      <c r="S457" s="29"/>
      <c r="T457" s="29">
        <v>2</v>
      </c>
      <c r="U457" s="20">
        <f t="shared" si="77"/>
        <v>14.96</v>
      </c>
      <c r="V457" s="37" t="str">
        <f>VLOOKUP(C457,[1]Drivers!$O$3:$S$196,5,FALSE)</f>
        <v>Ningbo Euchips Intelligent Technology Co., Ltd., PUP20A-1WMC, Driver, 20W, 0-10V to 0.1% Dimming, Monochromatic, Puck Form, Constant Current, 350-700mA, 1 Channel, 120-277V Input Voltage</v>
      </c>
      <c r="W457" s="78"/>
      <c r="X457" s="78"/>
      <c r="Y457" s="79">
        <v>13.6</v>
      </c>
      <c r="Z457" s="104">
        <v>1.52</v>
      </c>
      <c r="AA457" s="92">
        <v>1.5</v>
      </c>
      <c r="AB457" s="1"/>
    </row>
    <row r="458" spans="1:28" s="80" customFormat="1" x14ac:dyDescent="0.25">
      <c r="A458" s="33">
        <f t="shared" si="76"/>
        <v>455</v>
      </c>
      <c r="B458" s="29" t="s">
        <v>1063</v>
      </c>
      <c r="C458" s="29" t="s">
        <v>1064</v>
      </c>
      <c r="D458" s="19" t="s">
        <v>982</v>
      </c>
      <c r="E458" s="19" t="s">
        <v>996</v>
      </c>
      <c r="F458" s="29"/>
      <c r="G458" s="29"/>
      <c r="H458" s="29" t="s">
        <v>389</v>
      </c>
      <c r="I458" s="29" t="s">
        <v>1065</v>
      </c>
      <c r="J458" s="29"/>
      <c r="K458" s="19" t="s">
        <v>1059</v>
      </c>
      <c r="L458" s="29"/>
      <c r="M458" s="29"/>
      <c r="N458" s="29"/>
      <c r="O458" s="29" t="s">
        <v>1038</v>
      </c>
      <c r="P458" s="29"/>
      <c r="Q458" s="29" t="s">
        <v>395</v>
      </c>
      <c r="R458" s="29"/>
      <c r="S458" s="29"/>
      <c r="T458" s="29">
        <v>3</v>
      </c>
      <c r="U458" s="20">
        <f t="shared" si="77"/>
        <v>14.96</v>
      </c>
      <c r="V458" s="37" t="str">
        <f>VLOOKUP(C458,[1]Drivers!$O$3:$S$196,5,FALSE)</f>
        <v>Ningbo Euchips Intelligent Technology Co., Ltd., PUP20A-1WMC, Driver, 20W, 0-10V to 0.1% Dimming, Monochromatic, Puck Form, Constant Current, 350-700mA, 1 Channel, 120-277V Input Voltage</v>
      </c>
      <c r="W458" s="78"/>
      <c r="X458" s="78"/>
      <c r="Y458" s="79">
        <v>13.6</v>
      </c>
      <c r="Z458" s="104">
        <v>1.52</v>
      </c>
      <c r="AA458" s="92">
        <v>1.5</v>
      </c>
      <c r="AB458" s="1"/>
    </row>
    <row r="459" spans="1:28" s="80" customFormat="1" x14ac:dyDescent="0.25">
      <c r="A459" s="33">
        <f t="shared" si="76"/>
        <v>456</v>
      </c>
      <c r="B459" s="29" t="s">
        <v>1063</v>
      </c>
      <c r="C459" s="29" t="s">
        <v>1064</v>
      </c>
      <c r="D459" s="19" t="s">
        <v>982</v>
      </c>
      <c r="E459" s="29" t="s">
        <v>985</v>
      </c>
      <c r="F459" s="29"/>
      <c r="G459" s="29"/>
      <c r="H459" s="29" t="s">
        <v>992</v>
      </c>
      <c r="I459" s="29" t="s">
        <v>1065</v>
      </c>
      <c r="J459" s="29"/>
      <c r="K459" s="19" t="s">
        <v>1059</v>
      </c>
      <c r="L459" s="29"/>
      <c r="M459" s="29"/>
      <c r="N459" s="29"/>
      <c r="O459" s="29" t="s">
        <v>1038</v>
      </c>
      <c r="P459" s="29"/>
      <c r="Q459" s="29" t="s">
        <v>395</v>
      </c>
      <c r="R459" s="29"/>
      <c r="S459" s="29"/>
      <c r="T459" s="29">
        <v>1</v>
      </c>
      <c r="U459" s="20">
        <f t="shared" si="77"/>
        <v>14.96</v>
      </c>
      <c r="V459" s="37" t="str">
        <f>VLOOKUP(C459,[1]Drivers!$O$3:$S$196,5,FALSE)</f>
        <v>Ningbo Euchips Intelligent Technology Co., Ltd., PUP20A-1WMC, Driver, 20W, 0-10V to 0.1% Dimming, Monochromatic, Puck Form, Constant Current, 350-700mA, 1 Channel, 120-277V Input Voltage</v>
      </c>
      <c r="W459" s="78"/>
      <c r="X459" s="78"/>
      <c r="Y459" s="79">
        <v>13.6</v>
      </c>
      <c r="Z459" s="104">
        <v>1.52</v>
      </c>
      <c r="AA459" s="92">
        <v>1.5</v>
      </c>
      <c r="AB459" s="1"/>
    </row>
    <row r="460" spans="1:28" s="80" customFormat="1" x14ac:dyDescent="0.25">
      <c r="A460" s="33">
        <f t="shared" si="76"/>
        <v>457</v>
      </c>
      <c r="B460" s="29" t="s">
        <v>1063</v>
      </c>
      <c r="C460" s="29" t="s">
        <v>1064</v>
      </c>
      <c r="D460" s="19" t="s">
        <v>982</v>
      </c>
      <c r="E460" s="29" t="s">
        <v>985</v>
      </c>
      <c r="F460" s="29"/>
      <c r="G460" s="29"/>
      <c r="H460" s="29" t="s">
        <v>993</v>
      </c>
      <c r="I460" s="29" t="s">
        <v>1065</v>
      </c>
      <c r="J460" s="29"/>
      <c r="K460" s="19" t="s">
        <v>1059</v>
      </c>
      <c r="L460" s="29"/>
      <c r="M460" s="29"/>
      <c r="N460" s="29"/>
      <c r="O460" s="29" t="s">
        <v>1038</v>
      </c>
      <c r="P460" s="29"/>
      <c r="Q460" s="29" t="s">
        <v>395</v>
      </c>
      <c r="R460" s="29"/>
      <c r="S460" s="29"/>
      <c r="T460" s="29">
        <v>2</v>
      </c>
      <c r="U460" s="20">
        <f t="shared" si="77"/>
        <v>14.96</v>
      </c>
      <c r="V460" s="37" t="str">
        <f>VLOOKUP(C460,[1]Drivers!$O$3:$S$196,5,FALSE)</f>
        <v>Ningbo Euchips Intelligent Technology Co., Ltd., PUP20A-1WMC, Driver, 20W, 0-10V to 0.1% Dimming, Monochromatic, Puck Form, Constant Current, 350-700mA, 1 Channel, 120-277V Input Voltage</v>
      </c>
      <c r="W460" s="78"/>
      <c r="X460" s="78"/>
      <c r="Y460" s="79">
        <v>13.6</v>
      </c>
      <c r="Z460" s="104">
        <v>1.52</v>
      </c>
      <c r="AA460" s="92">
        <v>1.5</v>
      </c>
      <c r="AB460" s="1"/>
    </row>
    <row r="461" spans="1:28" s="80" customFormat="1" x14ac:dyDescent="0.25">
      <c r="A461" s="33">
        <f t="shared" si="76"/>
        <v>458</v>
      </c>
      <c r="B461" s="29" t="s">
        <v>1063</v>
      </c>
      <c r="C461" s="19" t="s">
        <v>1066</v>
      </c>
      <c r="D461" s="19" t="s">
        <v>982</v>
      </c>
      <c r="E461" s="29" t="s">
        <v>985</v>
      </c>
      <c r="F461" s="29"/>
      <c r="G461" s="29"/>
      <c r="H461" s="29" t="s">
        <v>389</v>
      </c>
      <c r="I461" s="29" t="s">
        <v>1065</v>
      </c>
      <c r="J461" s="29"/>
      <c r="K461" s="19" t="s">
        <v>1059</v>
      </c>
      <c r="L461" s="29"/>
      <c r="M461" s="29"/>
      <c r="N461" s="29"/>
      <c r="O461" s="29" t="s">
        <v>1038</v>
      </c>
      <c r="P461" s="29"/>
      <c r="Q461" s="29" t="s">
        <v>395</v>
      </c>
      <c r="R461" s="29"/>
      <c r="S461" s="29"/>
      <c r="T461" s="29">
        <v>3</v>
      </c>
      <c r="U461" s="20">
        <f t="shared" si="77"/>
        <v>40.479999999999997</v>
      </c>
      <c r="V461" s="37" t="str">
        <f>VLOOKUP(C461,[1]Drivers!$O$3:$S$196,5,FALSE)</f>
        <v>Magnitude Lighting Inc., AFLEX-100W-2000-L-GB, Driver, 100W, 0-10V to 0.1% Logarithmic Dimming, Monochromatic, Linear Form, Constant Current, 100-2000mA, 1 Channel, 120-277V Input Voltage</v>
      </c>
      <c r="W461" s="78"/>
      <c r="X461" s="78"/>
      <c r="Y461" s="79">
        <v>36.799999999999997</v>
      </c>
      <c r="Z461" s="104">
        <v>1</v>
      </c>
      <c r="AA461" s="92">
        <v>1.5</v>
      </c>
      <c r="AB461" s="1"/>
    </row>
    <row r="462" spans="1:28" s="80" customFormat="1" x14ac:dyDescent="0.25">
      <c r="A462" s="33">
        <f t="shared" si="76"/>
        <v>459</v>
      </c>
      <c r="B462" s="29" t="s">
        <v>1067</v>
      </c>
      <c r="C462" s="29" t="s">
        <v>1066</v>
      </c>
      <c r="D462" s="19" t="s">
        <v>982</v>
      </c>
      <c r="E462" s="19" t="s">
        <v>996</v>
      </c>
      <c r="F462" s="29"/>
      <c r="G462" s="29"/>
      <c r="H462" s="19" t="s">
        <v>1052</v>
      </c>
      <c r="I462" s="29" t="s">
        <v>1040</v>
      </c>
      <c r="J462" s="29"/>
      <c r="K462" s="19" t="s">
        <v>1059</v>
      </c>
      <c r="L462" s="29"/>
      <c r="M462" s="29"/>
      <c r="N462" s="29"/>
      <c r="O462" s="29" t="s">
        <v>1038</v>
      </c>
      <c r="P462" s="29"/>
      <c r="Q462" s="29" t="s">
        <v>395</v>
      </c>
      <c r="R462" s="29"/>
      <c r="S462" s="29"/>
      <c r="T462" s="29">
        <v>1</v>
      </c>
      <c r="U462" s="20">
        <f t="shared" si="77"/>
        <v>40.479999999999997</v>
      </c>
      <c r="V462" s="37" t="str">
        <f>VLOOKUP(C462,[1]Drivers!$O$3:$S$196,5,FALSE)</f>
        <v>Magnitude Lighting Inc., AFLEX-100W-2000-L-GB, Driver, 100W, 0-10V to 0.1% Logarithmic Dimming, Monochromatic, Linear Form, Constant Current, 100-2000mA, 1 Channel, 120-277V Input Voltage</v>
      </c>
      <c r="W462" s="78"/>
      <c r="X462" s="78"/>
      <c r="Y462" s="79">
        <v>36.799999999999997</v>
      </c>
      <c r="Z462" s="104">
        <v>1</v>
      </c>
      <c r="AA462" s="92">
        <v>1.5</v>
      </c>
      <c r="AB462" s="1"/>
    </row>
    <row r="463" spans="1:28" s="80" customFormat="1" x14ac:dyDescent="0.25">
      <c r="A463" s="33">
        <f t="shared" si="76"/>
        <v>460</v>
      </c>
      <c r="B463" s="29" t="s">
        <v>1067</v>
      </c>
      <c r="C463" s="29" t="s">
        <v>1066</v>
      </c>
      <c r="D463" s="19" t="s">
        <v>982</v>
      </c>
      <c r="E463" s="19" t="s">
        <v>996</v>
      </c>
      <c r="F463" s="29"/>
      <c r="G463" s="29"/>
      <c r="H463" s="29" t="s">
        <v>389</v>
      </c>
      <c r="I463" s="29" t="s">
        <v>1040</v>
      </c>
      <c r="J463" s="29"/>
      <c r="K463" s="19" t="s">
        <v>1059</v>
      </c>
      <c r="L463" s="29"/>
      <c r="M463" s="29"/>
      <c r="N463" s="29"/>
      <c r="O463" s="29" t="s">
        <v>1038</v>
      </c>
      <c r="P463" s="29"/>
      <c r="Q463" s="29" t="s">
        <v>395</v>
      </c>
      <c r="R463" s="29"/>
      <c r="S463" s="29"/>
      <c r="T463" s="29">
        <v>2</v>
      </c>
      <c r="U463" s="20">
        <f t="shared" si="77"/>
        <v>40.479999999999997</v>
      </c>
      <c r="V463" s="37" t="str">
        <f>VLOOKUP(C463,[1]Drivers!$O$3:$S$196,5,FALSE)</f>
        <v>Magnitude Lighting Inc., AFLEX-100W-2000-L-GB, Driver, 100W, 0-10V to 0.1% Logarithmic Dimming, Monochromatic, Linear Form, Constant Current, 100-2000mA, 1 Channel, 120-277V Input Voltage</v>
      </c>
      <c r="W463" s="78"/>
      <c r="X463" s="78"/>
      <c r="Y463" s="79">
        <v>36.799999999999997</v>
      </c>
      <c r="Z463" s="104">
        <v>1</v>
      </c>
      <c r="AA463" s="92">
        <v>1.5</v>
      </c>
      <c r="AB463" s="1"/>
    </row>
    <row r="464" spans="1:28" s="80" customFormat="1" x14ac:dyDescent="0.25">
      <c r="A464" s="33">
        <f t="shared" si="76"/>
        <v>461</v>
      </c>
      <c r="B464" s="29" t="s">
        <v>1067</v>
      </c>
      <c r="C464" s="29" t="s">
        <v>1066</v>
      </c>
      <c r="D464" s="19" t="s">
        <v>982</v>
      </c>
      <c r="E464" s="29" t="s">
        <v>985</v>
      </c>
      <c r="F464" s="29"/>
      <c r="G464" s="29"/>
      <c r="H464" s="19" t="s">
        <v>801</v>
      </c>
      <c r="I464" s="29" t="s">
        <v>1040</v>
      </c>
      <c r="J464" s="29"/>
      <c r="K464" s="19" t="s">
        <v>1059</v>
      </c>
      <c r="L464" s="29"/>
      <c r="M464" s="29"/>
      <c r="N464" s="29"/>
      <c r="O464" s="29" t="s">
        <v>1038</v>
      </c>
      <c r="P464" s="29"/>
      <c r="Q464" s="29" t="s">
        <v>395</v>
      </c>
      <c r="R464" s="29"/>
      <c r="S464" s="29"/>
      <c r="T464" s="29">
        <v>1</v>
      </c>
      <c r="U464" s="20">
        <f t="shared" si="77"/>
        <v>40.479999999999997</v>
      </c>
      <c r="V464" s="37" t="str">
        <f>VLOOKUP(C464,[1]Drivers!$O$3:$S$196,5,FALSE)</f>
        <v>Magnitude Lighting Inc., AFLEX-100W-2000-L-GB, Driver, 100W, 0-10V to 0.1% Logarithmic Dimming, Monochromatic, Linear Form, Constant Current, 100-2000mA, 1 Channel, 120-277V Input Voltage</v>
      </c>
      <c r="W464" s="78"/>
      <c r="X464" s="78"/>
      <c r="Y464" s="79">
        <v>36.799999999999997</v>
      </c>
      <c r="Z464" s="104">
        <v>1</v>
      </c>
      <c r="AA464" s="92">
        <v>1.5</v>
      </c>
      <c r="AB464" s="1"/>
    </row>
    <row r="465" spans="1:29" s="80" customFormat="1" x14ac:dyDescent="0.25">
      <c r="A465" s="33">
        <f t="shared" si="76"/>
        <v>462</v>
      </c>
      <c r="B465" s="29" t="s">
        <v>1067</v>
      </c>
      <c r="C465" s="29" t="s">
        <v>1066</v>
      </c>
      <c r="D465" s="19" t="s">
        <v>982</v>
      </c>
      <c r="E465" s="29" t="s">
        <v>985</v>
      </c>
      <c r="F465" s="29"/>
      <c r="G465" s="29"/>
      <c r="H465" s="19" t="s">
        <v>1068</v>
      </c>
      <c r="I465" s="29" t="s">
        <v>1040</v>
      </c>
      <c r="J465" s="29"/>
      <c r="K465" s="19" t="s">
        <v>1059</v>
      </c>
      <c r="L465" s="29"/>
      <c r="M465" s="29"/>
      <c r="N465" s="29"/>
      <c r="O465" s="29" t="s">
        <v>1038</v>
      </c>
      <c r="P465" s="29"/>
      <c r="Q465" s="29" t="s">
        <v>395</v>
      </c>
      <c r="R465" s="29"/>
      <c r="S465" s="29"/>
      <c r="T465" s="29">
        <v>2</v>
      </c>
      <c r="U465" s="20">
        <f t="shared" si="77"/>
        <v>40.479999999999997</v>
      </c>
      <c r="V465" s="37" t="str">
        <f>VLOOKUP(C465,[1]Drivers!$O$3:$S$196,5,FALSE)</f>
        <v>Magnitude Lighting Inc., AFLEX-100W-2000-L-GB, Driver, 100W, 0-10V to 0.1% Logarithmic Dimming, Monochromatic, Linear Form, Constant Current, 100-2000mA, 1 Channel, 120-277V Input Voltage</v>
      </c>
      <c r="W465" s="78"/>
      <c r="X465" s="78"/>
      <c r="Y465" s="79">
        <v>36.799999999999997</v>
      </c>
      <c r="Z465" s="104">
        <v>1</v>
      </c>
      <c r="AA465" s="92">
        <v>1.5</v>
      </c>
      <c r="AB465" s="1"/>
    </row>
    <row r="466" spans="1:29" s="80" customFormat="1" x14ac:dyDescent="0.25">
      <c r="A466" s="33"/>
      <c r="B466" s="167" t="s">
        <v>1615</v>
      </c>
      <c r="C466" s="168" t="s">
        <v>1614</v>
      </c>
      <c r="D466" s="29" t="s">
        <v>982</v>
      </c>
      <c r="E466" s="29" t="s">
        <v>996</v>
      </c>
      <c r="F466" s="29"/>
      <c r="G466" s="29"/>
      <c r="H466" s="19" t="s">
        <v>1071</v>
      </c>
      <c r="I466" s="94" t="s">
        <v>1072</v>
      </c>
      <c r="J466" s="29"/>
      <c r="K466" s="19" t="s">
        <v>1037</v>
      </c>
      <c r="L466" s="29"/>
      <c r="M466" s="29"/>
      <c r="N466" s="29"/>
      <c r="O466" s="29" t="s">
        <v>1038</v>
      </c>
      <c r="P466" s="29"/>
      <c r="Q466" s="29" t="s">
        <v>395</v>
      </c>
      <c r="R466" s="29"/>
      <c r="S466" s="29"/>
      <c r="T466" s="29">
        <v>1</v>
      </c>
      <c r="U466" s="20"/>
      <c r="V466" s="37" t="s">
        <v>1616</v>
      </c>
      <c r="W466" s="78"/>
      <c r="X466" s="78"/>
      <c r="Y466" s="79"/>
      <c r="Z466" s="104"/>
      <c r="AA466" s="92"/>
      <c r="AB466" s="1"/>
    </row>
    <row r="467" spans="1:29" s="80" customFormat="1" x14ac:dyDescent="0.25">
      <c r="A467" s="33">
        <f t="shared" si="76"/>
        <v>464</v>
      </c>
      <c r="B467" s="29" t="s">
        <v>1067</v>
      </c>
      <c r="C467" s="29" t="s">
        <v>1066</v>
      </c>
      <c r="D467" s="19" t="s">
        <v>982</v>
      </c>
      <c r="E467" s="29" t="s">
        <v>985</v>
      </c>
      <c r="F467" s="29"/>
      <c r="G467" s="29"/>
      <c r="H467" s="29">
        <v>48</v>
      </c>
      <c r="I467" s="29" t="s">
        <v>1040</v>
      </c>
      <c r="J467" s="29"/>
      <c r="K467" s="19" t="s">
        <v>1059</v>
      </c>
      <c r="L467" s="29"/>
      <c r="M467" s="29"/>
      <c r="N467" s="29"/>
      <c r="O467" s="29" t="s">
        <v>1038</v>
      </c>
      <c r="P467" s="29"/>
      <c r="Q467" s="29" t="s">
        <v>395</v>
      </c>
      <c r="R467" s="29"/>
      <c r="S467" s="29"/>
      <c r="T467" s="29">
        <v>2</v>
      </c>
      <c r="U467" s="20">
        <f t="shared" si="77"/>
        <v>40.479999999999997</v>
      </c>
      <c r="V467" s="37" t="str">
        <f>VLOOKUP(C467,[1]Drivers!$O$3:$S$196,5,FALSE)</f>
        <v>Magnitude Lighting Inc., AFLEX-100W-2000-L-GB, Driver, 100W, 0-10V to 0.1% Logarithmic Dimming, Monochromatic, Linear Form, Constant Current, 100-2000mA, 1 Channel, 120-277V Input Voltage</v>
      </c>
      <c r="W467" s="78"/>
      <c r="X467" s="78"/>
      <c r="Y467" s="79">
        <v>36.799999999999997</v>
      </c>
      <c r="Z467" s="104">
        <v>1</v>
      </c>
      <c r="AA467" s="92">
        <v>1.5</v>
      </c>
      <c r="AB467" s="1"/>
    </row>
    <row r="468" spans="1:29" s="100" customFormat="1" x14ac:dyDescent="0.25">
      <c r="A468" s="93">
        <f t="shared" si="76"/>
        <v>465</v>
      </c>
      <c r="B468" s="94" t="s">
        <v>1069</v>
      </c>
      <c r="C468" s="94" t="s">
        <v>1070</v>
      </c>
      <c r="D468" s="95" t="s">
        <v>982</v>
      </c>
      <c r="E468" s="94" t="s">
        <v>240</v>
      </c>
      <c r="F468" s="94"/>
      <c r="G468" s="94"/>
      <c r="H468" s="96" t="s">
        <v>1071</v>
      </c>
      <c r="I468" s="94" t="s">
        <v>1072</v>
      </c>
      <c r="J468" s="94"/>
      <c r="K468" s="95" t="s">
        <v>1073</v>
      </c>
      <c r="L468" s="94"/>
      <c r="M468" s="94"/>
      <c r="N468" s="94"/>
      <c r="O468" s="94" t="s">
        <v>1038</v>
      </c>
      <c r="P468" s="94"/>
      <c r="Q468" s="94" t="s">
        <v>395</v>
      </c>
      <c r="R468" s="94"/>
      <c r="S468" s="94"/>
      <c r="T468" s="94">
        <v>1</v>
      </c>
      <c r="U468" s="97">
        <f t="shared" si="77"/>
        <v>12.100000000000001</v>
      </c>
      <c r="V468" s="98" t="str">
        <f>VLOOKUP(C468,[1]Drivers!$O$3:$S$196,5,FALSE)</f>
        <v>ADURA, ADL2-020-IC700-TS, Driver, 20W, ELV Dimming, Monochromatic, Puck Form, Constant Current, 350-700mA, 1 Channel, 120-277V Input Voltage</v>
      </c>
      <c r="W468" s="94"/>
      <c r="X468" s="94"/>
      <c r="Y468" s="99">
        <v>11</v>
      </c>
      <c r="Z468" s="105">
        <v>1.52</v>
      </c>
      <c r="AA468" s="92">
        <v>1.5</v>
      </c>
      <c r="AB468" s="1"/>
    </row>
    <row r="469" spans="1:29" s="100" customFormat="1" x14ac:dyDescent="0.25">
      <c r="A469" s="93">
        <f t="shared" si="76"/>
        <v>466</v>
      </c>
      <c r="B469" s="94" t="s">
        <v>1074</v>
      </c>
      <c r="C469" s="94"/>
      <c r="D469" s="95" t="s">
        <v>982</v>
      </c>
      <c r="E469" s="94" t="s">
        <v>1075</v>
      </c>
      <c r="F469" s="94"/>
      <c r="G469" s="94"/>
      <c r="H469" s="96"/>
      <c r="I469" s="94" t="s">
        <v>149</v>
      </c>
      <c r="J469" s="94"/>
      <c r="K469" s="95" t="s">
        <v>1053</v>
      </c>
      <c r="L469" s="94"/>
      <c r="M469" s="94"/>
      <c r="N469" s="94"/>
      <c r="O469" s="94" t="s">
        <v>208</v>
      </c>
      <c r="P469" s="94"/>
      <c r="Q469" s="94" t="s">
        <v>395</v>
      </c>
      <c r="R469" s="94"/>
      <c r="S469" s="94"/>
      <c r="T469" s="94">
        <v>1</v>
      </c>
      <c r="U469" s="97">
        <f t="shared" si="77"/>
        <v>46.750000000000007</v>
      </c>
      <c r="V469" s="98" t="s">
        <v>1076</v>
      </c>
      <c r="W469" s="94"/>
      <c r="X469" s="94"/>
      <c r="Y469" s="99">
        <f>28+14.5</f>
        <v>42.5</v>
      </c>
      <c r="Z469" s="105">
        <v>1.52</v>
      </c>
      <c r="AA469" s="92">
        <v>1.5</v>
      </c>
      <c r="AB469" s="1"/>
    </row>
    <row r="470" spans="1:29" s="2" customFormat="1" x14ac:dyDescent="0.25">
      <c r="A470" s="33">
        <f t="shared" si="76"/>
        <v>467</v>
      </c>
      <c r="B470" s="210" t="s">
        <v>1077</v>
      </c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1"/>
      <c r="X470" s="19"/>
      <c r="Y470" s="74"/>
      <c r="Z470" s="76"/>
      <c r="AA470" s="76"/>
      <c r="AB470" s="1"/>
      <c r="AC470" s="1"/>
    </row>
    <row r="471" spans="1:29" x14ac:dyDescent="0.25">
      <c r="A471" s="33">
        <f t="shared" si="76"/>
        <v>468</v>
      </c>
      <c r="B471" s="19" t="s">
        <v>1078</v>
      </c>
      <c r="C471" s="19" t="s">
        <v>1079</v>
      </c>
      <c r="D471" s="19" t="s">
        <v>1080</v>
      </c>
      <c r="E471" s="19" t="s">
        <v>1081</v>
      </c>
      <c r="F471" s="19"/>
      <c r="G471" s="19" t="s">
        <v>1082</v>
      </c>
      <c r="H471" s="19"/>
      <c r="I471" s="19"/>
      <c r="J471" s="19"/>
      <c r="K471" s="19"/>
      <c r="L471" s="19"/>
      <c r="M471" s="19"/>
      <c r="N471" s="19"/>
      <c r="O471" s="19"/>
      <c r="P471" s="19"/>
      <c r="Q471" s="19" t="s">
        <v>1083</v>
      </c>
      <c r="R471" s="19">
        <v>1</v>
      </c>
      <c r="S471" s="19"/>
      <c r="T471" s="19">
        <v>1</v>
      </c>
      <c r="U471" s="20">
        <f t="shared" ref="U471:U474" si="78">Y471*1.1</f>
        <v>2.2660000000000005</v>
      </c>
      <c r="V471" s="19" t="s">
        <v>1084</v>
      </c>
      <c r="W471" s="19"/>
      <c r="X471" s="19"/>
      <c r="Y471" s="21">
        <v>2.06</v>
      </c>
      <c r="Z471" s="92">
        <v>1.2</v>
      </c>
      <c r="AA471" s="92">
        <v>1.5</v>
      </c>
    </row>
    <row r="472" spans="1:29" x14ac:dyDescent="0.25">
      <c r="A472" s="33">
        <f t="shared" si="76"/>
        <v>469</v>
      </c>
      <c r="B472" s="19" t="s">
        <v>1085</v>
      </c>
      <c r="C472" s="19" t="s">
        <v>1086</v>
      </c>
      <c r="D472" s="19" t="s">
        <v>1087</v>
      </c>
      <c r="E472" s="19" t="s">
        <v>1081</v>
      </c>
      <c r="F472" s="19"/>
      <c r="G472" s="19" t="s">
        <v>1088</v>
      </c>
      <c r="H472" s="19"/>
      <c r="I472" s="19"/>
      <c r="J472" s="19"/>
      <c r="K472" s="19"/>
      <c r="L472" s="19"/>
      <c r="M472" s="19"/>
      <c r="N472" s="19"/>
      <c r="O472" s="19"/>
      <c r="P472" s="19"/>
      <c r="Q472" s="19" t="s">
        <v>395</v>
      </c>
      <c r="R472" s="19">
        <v>1</v>
      </c>
      <c r="S472" s="19"/>
      <c r="T472" s="19">
        <v>1</v>
      </c>
      <c r="U472" s="20">
        <f t="shared" si="78"/>
        <v>0.1188</v>
      </c>
      <c r="V472" s="19" t="s">
        <v>1089</v>
      </c>
      <c r="W472" s="19"/>
      <c r="X472" s="19"/>
      <c r="Y472" s="21">
        <v>0.108</v>
      </c>
      <c r="Z472" s="92">
        <v>1.77</v>
      </c>
      <c r="AA472" s="92">
        <v>2.4500000000000002</v>
      </c>
    </row>
    <row r="473" spans="1:29" x14ac:dyDescent="0.25">
      <c r="A473" s="33">
        <f t="shared" si="76"/>
        <v>470</v>
      </c>
      <c r="B473" s="19" t="s">
        <v>1090</v>
      </c>
      <c r="C473" s="19" t="s">
        <v>1091</v>
      </c>
      <c r="D473" s="19" t="s">
        <v>1092</v>
      </c>
      <c r="E473" s="19" t="s">
        <v>1093</v>
      </c>
      <c r="F473" s="19"/>
      <c r="G473" s="19" t="s">
        <v>764</v>
      </c>
      <c r="H473" s="19"/>
      <c r="I473" s="19"/>
      <c r="J473" s="19"/>
      <c r="K473" s="19"/>
      <c r="L473" s="19"/>
      <c r="M473" s="19"/>
      <c r="N473" s="19"/>
      <c r="O473" s="19"/>
      <c r="P473" s="19"/>
      <c r="Q473" s="19" t="s">
        <v>395</v>
      </c>
      <c r="R473" s="19">
        <v>1</v>
      </c>
      <c r="S473" s="19"/>
      <c r="T473" s="19" t="s">
        <v>244</v>
      </c>
      <c r="U473" s="20">
        <f t="shared" si="78"/>
        <v>2.2660000000000005</v>
      </c>
      <c r="V473" s="19" t="s">
        <v>1094</v>
      </c>
      <c r="W473" s="19" t="s">
        <v>750</v>
      </c>
      <c r="X473" s="19"/>
      <c r="Y473" s="21">
        <v>2.06</v>
      </c>
      <c r="Z473" s="92">
        <v>1.7</v>
      </c>
      <c r="AA473" s="92">
        <v>1.5</v>
      </c>
    </row>
    <row r="474" spans="1:29" x14ac:dyDescent="0.25">
      <c r="A474" s="33">
        <f t="shared" si="76"/>
        <v>471</v>
      </c>
      <c r="B474" s="19" t="s">
        <v>1095</v>
      </c>
      <c r="C474" s="19" t="s">
        <v>1096</v>
      </c>
      <c r="D474" s="19" t="s">
        <v>1077</v>
      </c>
      <c r="E474" s="19" t="s">
        <v>1093</v>
      </c>
      <c r="F474" s="19"/>
      <c r="G474" s="19" t="s">
        <v>1097</v>
      </c>
      <c r="H474" s="19"/>
      <c r="I474" s="19"/>
      <c r="J474" s="19"/>
      <c r="K474" s="19"/>
      <c r="L474" s="19"/>
      <c r="M474" s="19"/>
      <c r="N474" s="19"/>
      <c r="O474" s="19"/>
      <c r="P474" s="19"/>
      <c r="Q474" s="19" t="s">
        <v>395</v>
      </c>
      <c r="R474" s="19">
        <v>1</v>
      </c>
      <c r="S474" s="19"/>
      <c r="T474" s="19" t="s">
        <v>244</v>
      </c>
      <c r="U474" s="20">
        <f t="shared" si="78"/>
        <v>1.1550000000000002</v>
      </c>
      <c r="V474" s="19" t="s">
        <v>1098</v>
      </c>
      <c r="W474" s="19" t="s">
        <v>750</v>
      </c>
      <c r="X474" s="19"/>
      <c r="Y474" s="21">
        <v>1.05</v>
      </c>
      <c r="Z474" s="92">
        <v>1.7</v>
      </c>
      <c r="AA474" s="92">
        <v>1.5</v>
      </c>
    </row>
    <row r="475" spans="1:29" s="2" customFormat="1" x14ac:dyDescent="0.25">
      <c r="A475" s="33">
        <f t="shared" si="76"/>
        <v>472</v>
      </c>
      <c r="B475" s="209" t="s">
        <v>1099</v>
      </c>
      <c r="C475" s="209"/>
      <c r="D475" s="209"/>
      <c r="E475" s="209"/>
      <c r="F475" s="209"/>
      <c r="G475" s="209"/>
      <c r="H475" s="209"/>
      <c r="I475" s="209"/>
      <c r="J475" s="209"/>
      <c r="K475" s="209"/>
      <c r="L475" s="209"/>
      <c r="M475" s="209"/>
      <c r="N475" s="209"/>
      <c r="O475" s="209"/>
      <c r="P475" s="209"/>
      <c r="Q475" s="209"/>
      <c r="R475" s="209"/>
      <c r="S475" s="209"/>
      <c r="T475" s="209"/>
      <c r="U475" s="209"/>
      <c r="V475" s="209"/>
      <c r="W475" s="209"/>
      <c r="X475" s="66"/>
      <c r="Y475" s="28"/>
      <c r="Z475" s="28"/>
      <c r="AA475" s="28"/>
      <c r="AB475" s="1"/>
      <c r="AC475" s="1"/>
    </row>
    <row r="476" spans="1:29" x14ac:dyDescent="0.25">
      <c r="A476" s="33">
        <f t="shared" si="76"/>
        <v>473</v>
      </c>
      <c r="B476" s="29" t="s">
        <v>1100</v>
      </c>
      <c r="C476" s="29" t="s">
        <v>1101</v>
      </c>
      <c r="D476" s="29" t="s">
        <v>1077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 t="s">
        <v>292</v>
      </c>
      <c r="P476" s="29"/>
      <c r="Q476" s="29" t="s">
        <v>395</v>
      </c>
      <c r="R476" s="29">
        <v>1</v>
      </c>
      <c r="S476" s="29"/>
      <c r="T476" s="29">
        <v>4</v>
      </c>
      <c r="U476" s="20">
        <f t="shared" ref="U476:U478" si="79">Y476*1.1</f>
        <v>2.0900000000000002E-2</v>
      </c>
      <c r="V476" s="29" t="s">
        <v>1102</v>
      </c>
      <c r="W476" s="29"/>
      <c r="X476" s="29"/>
      <c r="Y476" s="67">
        <v>1.9E-2</v>
      </c>
      <c r="Z476" s="92">
        <v>1</v>
      </c>
      <c r="AA476" s="92">
        <v>2.4900000000000002</v>
      </c>
    </row>
    <row r="477" spans="1:29" x14ac:dyDescent="0.25">
      <c r="A477" s="33">
        <f t="shared" si="76"/>
        <v>474</v>
      </c>
      <c r="B477" s="29" t="s">
        <v>1103</v>
      </c>
      <c r="C477" s="29" t="s">
        <v>1104</v>
      </c>
      <c r="D477" s="29" t="s">
        <v>1077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 t="s">
        <v>395</v>
      </c>
      <c r="R477" s="29">
        <v>1</v>
      </c>
      <c r="S477" s="29"/>
      <c r="T477" s="29">
        <v>2</v>
      </c>
      <c r="U477" s="20">
        <f t="shared" si="79"/>
        <v>2.7500000000000004E-2</v>
      </c>
      <c r="V477" s="29" t="s">
        <v>1105</v>
      </c>
      <c r="W477" s="29"/>
      <c r="X477" s="29"/>
      <c r="Y477" s="67">
        <v>2.5000000000000001E-2</v>
      </c>
      <c r="Z477" s="92">
        <v>1</v>
      </c>
      <c r="AA477" s="92">
        <v>2.4900000000000002</v>
      </c>
    </row>
    <row r="478" spans="1:29" x14ac:dyDescent="0.25">
      <c r="A478" s="33">
        <f t="shared" si="76"/>
        <v>475</v>
      </c>
      <c r="B478" s="29" t="s">
        <v>1106</v>
      </c>
      <c r="C478" s="29" t="s">
        <v>1107</v>
      </c>
      <c r="D478" s="29" t="s">
        <v>1077</v>
      </c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 t="s">
        <v>395</v>
      </c>
      <c r="R478" s="29">
        <v>1</v>
      </c>
      <c r="S478" s="29"/>
      <c r="T478" s="29">
        <v>2</v>
      </c>
      <c r="U478" s="20">
        <f t="shared" si="79"/>
        <v>3.4100000000000005E-2</v>
      </c>
      <c r="V478" s="29" t="s">
        <v>1108</v>
      </c>
      <c r="W478" s="29"/>
      <c r="X478" s="29"/>
      <c r="Y478" s="67">
        <v>3.1E-2</v>
      </c>
      <c r="Z478" s="92">
        <v>1</v>
      </c>
      <c r="AA478" s="92">
        <v>2.4900000000000002</v>
      </c>
    </row>
    <row r="479" spans="1:29" s="2" customFormat="1" x14ac:dyDescent="0.25">
      <c r="A479" s="33">
        <f t="shared" ref="A479:A550" si="80">ROW()-3</f>
        <v>476</v>
      </c>
      <c r="B479" s="208" t="s">
        <v>1109</v>
      </c>
      <c r="C479" s="208"/>
      <c r="D479" s="208"/>
      <c r="E479" s="208"/>
      <c r="F479" s="208"/>
      <c r="G479" s="208"/>
      <c r="H479" s="208"/>
      <c r="I479" s="208"/>
      <c r="J479" s="208"/>
      <c r="K479" s="208"/>
      <c r="L479" s="208"/>
      <c r="M479" s="208"/>
      <c r="N479" s="208"/>
      <c r="O479" s="208"/>
      <c r="P479" s="208"/>
      <c r="Q479" s="208"/>
      <c r="R479" s="208"/>
      <c r="S479" s="208"/>
      <c r="T479" s="208"/>
      <c r="U479" s="208"/>
      <c r="V479" s="208"/>
      <c r="W479" s="208"/>
      <c r="X479" s="27"/>
      <c r="Y479" s="28"/>
      <c r="Z479" s="28"/>
      <c r="AA479" s="28"/>
      <c r="AB479" s="1"/>
      <c r="AC479" s="1"/>
    </row>
    <row r="480" spans="1:29" x14ac:dyDescent="0.25">
      <c r="A480" s="33">
        <f t="shared" si="80"/>
        <v>477</v>
      </c>
      <c r="B480" s="26" t="s">
        <v>1110</v>
      </c>
      <c r="C480" s="26" t="s">
        <v>1111</v>
      </c>
      <c r="D480" s="29" t="s">
        <v>1077</v>
      </c>
      <c r="E480" s="19" t="s">
        <v>546</v>
      </c>
      <c r="F480" s="19"/>
      <c r="G480" s="19" t="s">
        <v>1112</v>
      </c>
      <c r="H480" s="19"/>
      <c r="I480" s="19"/>
      <c r="J480" s="19"/>
      <c r="K480" s="19"/>
      <c r="L480" s="19"/>
      <c r="M480" s="19"/>
      <c r="N480" s="19"/>
      <c r="O480" s="19"/>
      <c r="P480" s="19"/>
      <c r="Q480" s="19" t="s">
        <v>395</v>
      </c>
      <c r="R480" s="19">
        <v>1</v>
      </c>
      <c r="S480" s="19"/>
      <c r="T480" s="19">
        <v>1</v>
      </c>
      <c r="U480" s="20">
        <f t="shared" ref="U480:U488" si="81">Y480*1.1</f>
        <v>0.24200000000000002</v>
      </c>
      <c r="V480" s="19" t="s">
        <v>1113</v>
      </c>
      <c r="W480" s="19"/>
      <c r="X480" s="19"/>
      <c r="Y480" s="21">
        <v>0.22</v>
      </c>
      <c r="Z480" s="92">
        <v>1.9449999999999998</v>
      </c>
      <c r="AA480" s="92">
        <v>2.0700000000000003</v>
      </c>
    </row>
    <row r="481" spans="1:29" x14ac:dyDescent="0.25">
      <c r="A481" s="33">
        <f t="shared" si="80"/>
        <v>478</v>
      </c>
      <c r="B481" s="26" t="s">
        <v>1110</v>
      </c>
      <c r="C481" s="26" t="s">
        <v>1111</v>
      </c>
      <c r="D481" s="29" t="s">
        <v>1077</v>
      </c>
      <c r="E481" s="19" t="s">
        <v>546</v>
      </c>
      <c r="F481" s="19"/>
      <c r="G481" s="19" t="s">
        <v>764</v>
      </c>
      <c r="H481" s="19"/>
      <c r="I481" s="19"/>
      <c r="J481" s="19"/>
      <c r="K481" s="19"/>
      <c r="L481" s="19"/>
      <c r="M481" s="19"/>
      <c r="N481" s="19"/>
      <c r="O481" s="19"/>
      <c r="P481" s="19"/>
      <c r="Q481" s="19" t="s">
        <v>395</v>
      </c>
      <c r="R481" s="19">
        <v>1</v>
      </c>
      <c r="S481" s="19"/>
      <c r="T481" s="19">
        <v>2</v>
      </c>
      <c r="U481" s="20">
        <f t="shared" si="81"/>
        <v>0.24200000000000002</v>
      </c>
      <c r="V481" s="19" t="s">
        <v>1113</v>
      </c>
      <c r="W481" s="19"/>
      <c r="X481" s="19"/>
      <c r="Y481" s="21">
        <v>0.22</v>
      </c>
      <c r="Z481" s="92">
        <v>1.9449999999999998</v>
      </c>
      <c r="AA481" s="92">
        <v>2.0700000000000003</v>
      </c>
    </row>
    <row r="482" spans="1:29" x14ac:dyDescent="0.25">
      <c r="A482" s="33">
        <f t="shared" si="80"/>
        <v>479</v>
      </c>
      <c r="B482" s="26" t="s">
        <v>1114</v>
      </c>
      <c r="C482" s="26" t="s">
        <v>1115</v>
      </c>
      <c r="D482" s="29" t="s">
        <v>1077</v>
      </c>
      <c r="E482" s="19" t="s">
        <v>546</v>
      </c>
      <c r="F482" s="19"/>
      <c r="G482" s="19" t="s">
        <v>764</v>
      </c>
      <c r="H482" s="19"/>
      <c r="I482" s="19"/>
      <c r="J482" s="19"/>
      <c r="K482" s="19"/>
      <c r="L482" s="19"/>
      <c r="M482" s="19"/>
      <c r="N482" s="19"/>
      <c r="O482" s="19"/>
      <c r="P482" s="19"/>
      <c r="Q482" s="19" t="s">
        <v>395</v>
      </c>
      <c r="R482" s="19">
        <v>1</v>
      </c>
      <c r="S482" s="19"/>
      <c r="T482" s="19">
        <v>2</v>
      </c>
      <c r="U482" s="20">
        <f t="shared" si="81"/>
        <v>0.27500000000000002</v>
      </c>
      <c r="V482" s="19" t="s">
        <v>1116</v>
      </c>
      <c r="W482" s="19"/>
      <c r="X482" s="19"/>
      <c r="Y482" s="21">
        <v>0.25</v>
      </c>
      <c r="Z482" s="92">
        <v>1.9449999999999998</v>
      </c>
      <c r="AA482" s="92">
        <v>2.0700000000000003</v>
      </c>
    </row>
    <row r="483" spans="1:29" x14ac:dyDescent="0.25">
      <c r="A483" s="33">
        <f t="shared" si="80"/>
        <v>480</v>
      </c>
      <c r="B483" s="26" t="s">
        <v>1114</v>
      </c>
      <c r="C483" s="26" t="s">
        <v>1115</v>
      </c>
      <c r="D483" s="29" t="s">
        <v>1077</v>
      </c>
      <c r="E483" s="19" t="s">
        <v>546</v>
      </c>
      <c r="F483" s="19"/>
      <c r="G483" s="19" t="s">
        <v>1117</v>
      </c>
      <c r="H483" s="19"/>
      <c r="I483" s="19"/>
      <c r="J483" s="19"/>
      <c r="K483" s="19"/>
      <c r="L483" s="19"/>
      <c r="M483" s="19"/>
      <c r="N483" s="19"/>
      <c r="O483" s="19"/>
      <c r="P483" s="19"/>
      <c r="Q483" s="19" t="s">
        <v>395</v>
      </c>
      <c r="R483" s="19">
        <v>1</v>
      </c>
      <c r="S483" s="19"/>
      <c r="T483" s="19">
        <v>1</v>
      </c>
      <c r="U483" s="20">
        <f t="shared" si="81"/>
        <v>0.27500000000000002</v>
      </c>
      <c r="V483" s="19" t="s">
        <v>1116</v>
      </c>
      <c r="W483" s="19"/>
      <c r="X483" s="19"/>
      <c r="Y483" s="21">
        <v>0.25</v>
      </c>
      <c r="Z483" s="92">
        <v>1.9449999999999998</v>
      </c>
      <c r="AA483" s="92">
        <v>2.0700000000000003</v>
      </c>
    </row>
    <row r="484" spans="1:29" x14ac:dyDescent="0.25">
      <c r="A484" s="33">
        <f t="shared" si="80"/>
        <v>481</v>
      </c>
      <c r="B484" s="208" t="s">
        <v>1118</v>
      </c>
      <c r="C484" s="208"/>
      <c r="D484" s="208"/>
      <c r="E484" s="208"/>
      <c r="F484" s="208"/>
      <c r="G484" s="208"/>
      <c r="H484" s="208"/>
      <c r="I484" s="208"/>
      <c r="J484" s="208"/>
      <c r="K484" s="208"/>
      <c r="L484" s="208"/>
      <c r="M484" s="208"/>
      <c r="N484" s="208"/>
      <c r="O484" s="208"/>
      <c r="P484" s="208"/>
      <c r="Q484" s="208"/>
      <c r="R484" s="208"/>
      <c r="S484" s="208"/>
      <c r="T484" s="208"/>
      <c r="U484" s="208"/>
      <c r="V484" s="208"/>
      <c r="W484" s="208"/>
      <c r="X484" s="229"/>
      <c r="Y484" s="229"/>
      <c r="Z484" s="229"/>
      <c r="AA484" s="229"/>
      <c r="AB484"/>
    </row>
    <row r="485" spans="1:29" x14ac:dyDescent="0.25">
      <c r="A485" s="33">
        <f t="shared" si="80"/>
        <v>482</v>
      </c>
      <c r="B485" s="123" t="s">
        <v>1119</v>
      </c>
      <c r="C485" s="124" t="s">
        <v>1120</v>
      </c>
      <c r="D485" s="29" t="s">
        <v>1092</v>
      </c>
      <c r="E485" s="19" t="s">
        <v>933</v>
      </c>
      <c r="F485" s="19"/>
      <c r="G485" s="19" t="s">
        <v>1121</v>
      </c>
      <c r="H485" s="19" t="s">
        <v>1122</v>
      </c>
      <c r="I485" s="19"/>
      <c r="J485" s="19"/>
      <c r="K485" s="19"/>
      <c r="L485" s="19"/>
      <c r="M485" s="19"/>
      <c r="N485" s="19"/>
      <c r="O485" s="19"/>
      <c r="P485" s="19"/>
      <c r="Q485" s="19" t="s">
        <v>395</v>
      </c>
      <c r="R485" s="19"/>
      <c r="S485" s="19"/>
      <c r="T485" s="19">
        <v>1</v>
      </c>
      <c r="U485" s="20">
        <f t="shared" si="81"/>
        <v>1.3640000000000001</v>
      </c>
      <c r="V485" s="110" t="s">
        <v>1123</v>
      </c>
      <c r="W485" s="19"/>
      <c r="X485" s="19"/>
      <c r="Y485" s="21">
        <v>1.24</v>
      </c>
      <c r="Z485" s="92">
        <v>1.23</v>
      </c>
      <c r="AA485" s="92">
        <v>0</v>
      </c>
    </row>
    <row r="486" spans="1:29" x14ac:dyDescent="0.25">
      <c r="A486" s="33">
        <f t="shared" si="80"/>
        <v>483</v>
      </c>
      <c r="B486" s="123" t="s">
        <v>1119</v>
      </c>
      <c r="C486" s="124" t="s">
        <v>1124</v>
      </c>
      <c r="D486" s="29" t="s">
        <v>1092</v>
      </c>
      <c r="E486" s="19" t="s">
        <v>933</v>
      </c>
      <c r="F486" s="19"/>
      <c r="G486" s="19" t="s">
        <v>1121</v>
      </c>
      <c r="H486" s="19" t="s">
        <v>1125</v>
      </c>
      <c r="I486" s="19"/>
      <c r="J486" s="19"/>
      <c r="K486" s="19"/>
      <c r="L486" s="19"/>
      <c r="M486" s="19"/>
      <c r="N486" s="19"/>
      <c r="O486" s="19"/>
      <c r="P486" s="19"/>
      <c r="Q486" s="19" t="s">
        <v>395</v>
      </c>
      <c r="R486" s="19"/>
      <c r="S486" s="19"/>
      <c r="T486" s="19">
        <v>1</v>
      </c>
      <c r="U486" s="20">
        <f t="shared" si="81"/>
        <v>2.2880000000000003</v>
      </c>
      <c r="V486" s="110" t="s">
        <v>1126</v>
      </c>
      <c r="W486" s="19"/>
      <c r="X486" s="19"/>
      <c r="Y486" s="21">
        <v>2.08</v>
      </c>
      <c r="Z486" s="92">
        <v>1.23</v>
      </c>
      <c r="AA486" s="92">
        <v>0</v>
      </c>
    </row>
    <row r="487" spans="1:29" x14ac:dyDescent="0.25">
      <c r="A487" s="33">
        <f t="shared" si="80"/>
        <v>484</v>
      </c>
      <c r="B487" s="123" t="s">
        <v>1127</v>
      </c>
      <c r="C487" s="124" t="s">
        <v>1128</v>
      </c>
      <c r="D487" s="29" t="s">
        <v>1092</v>
      </c>
      <c r="E487" s="19" t="s">
        <v>933</v>
      </c>
      <c r="F487" s="19"/>
      <c r="G487" s="19" t="s">
        <v>1121</v>
      </c>
      <c r="H487" s="19" t="s">
        <v>1122</v>
      </c>
      <c r="I487" s="19"/>
      <c r="J487" s="19"/>
      <c r="K487" s="19" t="s">
        <v>1129</v>
      </c>
      <c r="L487" s="19"/>
      <c r="M487" s="19"/>
      <c r="N487" s="19"/>
      <c r="O487" s="19"/>
      <c r="P487" s="19"/>
      <c r="Q487" s="19" t="s">
        <v>395</v>
      </c>
      <c r="R487" s="19"/>
      <c r="S487" s="19"/>
      <c r="T487" s="19">
        <v>1</v>
      </c>
      <c r="U487" s="20">
        <f t="shared" si="81"/>
        <v>0.65339999999999998</v>
      </c>
      <c r="V487" s="110" t="s">
        <v>1130</v>
      </c>
      <c r="W487" s="19"/>
      <c r="X487" s="19"/>
      <c r="Y487" s="21">
        <v>0.59399999999999997</v>
      </c>
      <c r="Z487" s="92">
        <v>1.23</v>
      </c>
      <c r="AA487" s="92">
        <v>0</v>
      </c>
    </row>
    <row r="488" spans="1:29" x14ac:dyDescent="0.25">
      <c r="A488" s="33">
        <f t="shared" si="80"/>
        <v>485</v>
      </c>
      <c r="B488" s="123" t="s">
        <v>1127</v>
      </c>
      <c r="C488" s="124" t="s">
        <v>1131</v>
      </c>
      <c r="D488" s="29" t="s">
        <v>1092</v>
      </c>
      <c r="E488" s="19" t="s">
        <v>933</v>
      </c>
      <c r="F488" s="19"/>
      <c r="G488" s="19" t="s">
        <v>1121</v>
      </c>
      <c r="H488" s="19" t="s">
        <v>1125</v>
      </c>
      <c r="I488" s="19"/>
      <c r="J488" s="19"/>
      <c r="K488" s="19" t="s">
        <v>1129</v>
      </c>
      <c r="L488" s="19"/>
      <c r="M488" s="19"/>
      <c r="N488" s="19"/>
      <c r="O488" s="19"/>
      <c r="P488" s="19"/>
      <c r="Q488" s="19" t="s">
        <v>395</v>
      </c>
      <c r="R488" s="19"/>
      <c r="S488" s="19"/>
      <c r="T488" s="19">
        <v>1</v>
      </c>
      <c r="U488" s="20">
        <f t="shared" si="81"/>
        <v>1.0494000000000001</v>
      </c>
      <c r="V488" s="110" t="s">
        <v>1132</v>
      </c>
      <c r="W488" s="19"/>
      <c r="X488" s="19"/>
      <c r="Y488" s="21">
        <v>0.95399999999999996</v>
      </c>
      <c r="Z488" s="92">
        <v>1.23</v>
      </c>
      <c r="AA488" s="92">
        <v>0</v>
      </c>
    </row>
    <row r="489" spans="1:29" s="2" customFormat="1" x14ac:dyDescent="0.25">
      <c r="A489" s="33">
        <f t="shared" si="80"/>
        <v>486</v>
      </c>
      <c r="B489" s="210" t="s">
        <v>1080</v>
      </c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1"/>
      <c r="X489" s="19"/>
      <c r="Y489" s="74"/>
      <c r="Z489" s="76"/>
      <c r="AA489" s="76"/>
      <c r="AB489" s="1"/>
      <c r="AC489" s="1"/>
    </row>
    <row r="490" spans="1:29" x14ac:dyDescent="0.25">
      <c r="A490" s="33">
        <f t="shared" si="80"/>
        <v>487</v>
      </c>
      <c r="B490" s="19" t="s">
        <v>1133</v>
      </c>
      <c r="C490" s="19" t="s">
        <v>1134</v>
      </c>
      <c r="D490" s="19" t="s">
        <v>1135</v>
      </c>
      <c r="E490" s="19" t="s">
        <v>240</v>
      </c>
      <c r="F490" s="19" t="s">
        <v>546</v>
      </c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 t="s">
        <v>395</v>
      </c>
      <c r="R490" s="19"/>
      <c r="S490" s="19"/>
      <c r="T490" s="19" t="s">
        <v>244</v>
      </c>
      <c r="U490" s="20">
        <f t="shared" ref="U490:U493" si="82">Y490*1.1</f>
        <v>0.41250000000000003</v>
      </c>
      <c r="V490" s="22" t="s">
        <v>1136</v>
      </c>
      <c r="W490" s="19" t="s">
        <v>750</v>
      </c>
      <c r="X490" s="19"/>
      <c r="Y490" s="21">
        <v>0.375</v>
      </c>
      <c r="Z490" s="92">
        <v>1.72</v>
      </c>
      <c r="AA490" s="92">
        <v>1.3</v>
      </c>
    </row>
    <row r="491" spans="1:29" x14ac:dyDescent="0.25">
      <c r="A491" s="33">
        <f t="shared" si="80"/>
        <v>488</v>
      </c>
      <c r="B491" s="19" t="s">
        <v>1133</v>
      </c>
      <c r="C491" s="19" t="s">
        <v>1134</v>
      </c>
      <c r="D491" s="19" t="s">
        <v>1135</v>
      </c>
      <c r="E491" s="19" t="s">
        <v>1093</v>
      </c>
      <c r="F491" s="19" t="s">
        <v>546</v>
      </c>
      <c r="G491" s="19" t="s">
        <v>764</v>
      </c>
      <c r="H491" s="19"/>
      <c r="I491" s="19"/>
      <c r="J491" s="19"/>
      <c r="K491" s="19"/>
      <c r="L491" s="19"/>
      <c r="M491" s="19"/>
      <c r="N491" s="19"/>
      <c r="O491" s="19"/>
      <c r="P491" s="19"/>
      <c r="Q491" s="19" t="s">
        <v>395</v>
      </c>
      <c r="R491" s="19"/>
      <c r="S491" s="19"/>
      <c r="T491" s="19" t="s">
        <v>244</v>
      </c>
      <c r="U491" s="20">
        <f t="shared" si="82"/>
        <v>0.41250000000000003</v>
      </c>
      <c r="V491" s="22" t="s">
        <v>1136</v>
      </c>
      <c r="W491" s="19" t="s">
        <v>750</v>
      </c>
      <c r="X491" s="19"/>
      <c r="Y491" s="21">
        <v>0.375</v>
      </c>
      <c r="Z491" s="92">
        <v>1.72</v>
      </c>
      <c r="AA491" s="92">
        <v>1.3</v>
      </c>
    </row>
    <row r="492" spans="1:29" x14ac:dyDescent="0.25">
      <c r="A492" s="33">
        <f t="shared" si="80"/>
        <v>489</v>
      </c>
      <c r="B492" s="19" t="s">
        <v>1137</v>
      </c>
      <c r="C492" s="19" t="s">
        <v>1138</v>
      </c>
      <c r="D492" s="19" t="s">
        <v>1135</v>
      </c>
      <c r="E492" s="19" t="s">
        <v>1139</v>
      </c>
      <c r="F492" s="19"/>
      <c r="G492" s="19" t="s">
        <v>764</v>
      </c>
      <c r="H492" s="19"/>
      <c r="I492" s="19"/>
      <c r="J492" s="19"/>
      <c r="K492" s="19"/>
      <c r="L492" s="19"/>
      <c r="M492" s="19"/>
      <c r="N492" s="19"/>
      <c r="O492" s="19"/>
      <c r="P492" s="19"/>
      <c r="Q492" s="19" t="s">
        <v>395</v>
      </c>
      <c r="R492" s="19"/>
      <c r="S492" s="19"/>
      <c r="T492" s="19">
        <v>1</v>
      </c>
      <c r="U492" s="20">
        <f t="shared" si="82"/>
        <v>0.38500000000000001</v>
      </c>
      <c r="V492" s="19" t="s">
        <v>1140</v>
      </c>
      <c r="W492" s="19"/>
      <c r="X492" s="19"/>
      <c r="Y492" s="21">
        <v>0.35</v>
      </c>
      <c r="Z492" s="92">
        <v>1.5</v>
      </c>
      <c r="AA492" s="92">
        <v>1.86</v>
      </c>
    </row>
    <row r="493" spans="1:29" x14ac:dyDescent="0.25">
      <c r="A493" s="33">
        <f t="shared" si="80"/>
        <v>490</v>
      </c>
      <c r="B493" s="19" t="s">
        <v>1141</v>
      </c>
      <c r="C493" s="19" t="s">
        <v>1142</v>
      </c>
      <c r="D493" s="19" t="s">
        <v>1080</v>
      </c>
      <c r="E493" s="19"/>
      <c r="F493" s="19"/>
      <c r="G493" s="19"/>
      <c r="H493" s="19"/>
      <c r="I493" s="19"/>
      <c r="J493" s="19"/>
      <c r="K493" s="19" t="s">
        <v>1053</v>
      </c>
      <c r="L493" s="19"/>
      <c r="M493" s="19"/>
      <c r="N493" s="19"/>
      <c r="O493" s="19"/>
      <c r="P493" s="19"/>
      <c r="Q493" s="19" t="s">
        <v>395</v>
      </c>
      <c r="R493" s="19"/>
      <c r="S493" s="19"/>
      <c r="T493" s="19">
        <v>1</v>
      </c>
      <c r="U493" s="20">
        <f t="shared" si="82"/>
        <v>2.2000000000000002</v>
      </c>
      <c r="V493" s="19" t="s">
        <v>1143</v>
      </c>
      <c r="W493" s="19"/>
      <c r="X493" s="19"/>
      <c r="Y493" s="21">
        <v>2</v>
      </c>
      <c r="Z493" s="92">
        <v>1.22</v>
      </c>
      <c r="AA493" s="92">
        <v>1.3</v>
      </c>
    </row>
    <row r="494" spans="1:29" s="2" customFormat="1" x14ac:dyDescent="0.25">
      <c r="A494" s="33">
        <f t="shared" si="80"/>
        <v>491</v>
      </c>
      <c r="B494" s="210" t="s">
        <v>1144</v>
      </c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1"/>
      <c r="X494" s="19"/>
      <c r="Y494" s="74"/>
      <c r="Z494" s="76"/>
      <c r="AA494" s="76"/>
      <c r="AB494" s="1"/>
      <c r="AC494" s="1"/>
    </row>
    <row r="495" spans="1:29" ht="14.25" customHeight="1" x14ac:dyDescent="0.25">
      <c r="A495" s="33">
        <f t="shared" si="80"/>
        <v>492</v>
      </c>
      <c r="B495" s="19" t="s">
        <v>1145</v>
      </c>
      <c r="C495" s="19" t="s">
        <v>1146</v>
      </c>
      <c r="D495" s="19" t="s">
        <v>1080</v>
      </c>
      <c r="E495" s="19" t="s">
        <v>1147</v>
      </c>
      <c r="F495" s="19" t="s">
        <v>161</v>
      </c>
      <c r="G495" s="19" t="s">
        <v>1082</v>
      </c>
      <c r="H495" s="19"/>
      <c r="I495" s="19"/>
      <c r="J495" s="19"/>
      <c r="K495" s="19" t="s">
        <v>1148</v>
      </c>
      <c r="L495" s="19"/>
      <c r="M495" s="19"/>
      <c r="N495" s="19"/>
      <c r="O495" s="19"/>
      <c r="P495" s="19"/>
      <c r="Q495" s="19" t="s">
        <v>338</v>
      </c>
      <c r="R495" s="19"/>
      <c r="S495" s="19"/>
      <c r="T495" s="19">
        <v>1900</v>
      </c>
      <c r="U495" s="20">
        <f t="shared" ref="U495:U496" si="83">Y495*1.1</f>
        <v>0.88000000000000012</v>
      </c>
      <c r="V495" s="22" t="s">
        <v>1149</v>
      </c>
      <c r="W495" s="19"/>
      <c r="X495" s="19"/>
      <c r="Y495" s="21">
        <v>0.8</v>
      </c>
      <c r="Z495" s="92">
        <v>1.55</v>
      </c>
      <c r="AA495" s="92">
        <v>1.3</v>
      </c>
    </row>
    <row r="496" spans="1:29" x14ac:dyDescent="0.25">
      <c r="A496" s="33">
        <f t="shared" si="80"/>
        <v>493</v>
      </c>
      <c r="B496" s="19" t="s">
        <v>1150</v>
      </c>
      <c r="C496" s="19" t="s">
        <v>1151</v>
      </c>
      <c r="D496" s="19" t="s">
        <v>1080</v>
      </c>
      <c r="E496" s="19" t="s">
        <v>1147</v>
      </c>
      <c r="F496" s="19" t="s">
        <v>161</v>
      </c>
      <c r="G496" s="19" t="s">
        <v>1082</v>
      </c>
      <c r="H496" s="19"/>
      <c r="I496" s="19"/>
      <c r="J496" s="19"/>
      <c r="K496" s="19" t="s">
        <v>1129</v>
      </c>
      <c r="L496" s="19"/>
      <c r="M496" s="19"/>
      <c r="N496" s="19"/>
      <c r="O496" s="19"/>
      <c r="P496" s="19"/>
      <c r="Q496" s="19" t="s">
        <v>338</v>
      </c>
      <c r="R496" s="19"/>
      <c r="S496" s="19"/>
      <c r="T496" s="19">
        <v>1900</v>
      </c>
      <c r="U496" s="20">
        <f t="shared" si="83"/>
        <v>1.6500000000000001</v>
      </c>
      <c r="V496" s="22" t="s">
        <v>1152</v>
      </c>
      <c r="W496" s="19"/>
      <c r="X496" s="19"/>
      <c r="Y496" s="21">
        <v>1.5</v>
      </c>
      <c r="Z496" s="92">
        <v>1.55</v>
      </c>
      <c r="AA496" s="92">
        <v>1.3</v>
      </c>
    </row>
    <row r="497" spans="1:29" ht="14.25" customHeight="1" x14ac:dyDescent="0.25">
      <c r="A497" s="33">
        <f t="shared" si="80"/>
        <v>494</v>
      </c>
      <c r="B497" s="19" t="s">
        <v>1145</v>
      </c>
      <c r="C497" s="19" t="s">
        <v>1146</v>
      </c>
      <c r="D497" s="19" t="s">
        <v>1080</v>
      </c>
      <c r="E497" s="19" t="s">
        <v>1147</v>
      </c>
      <c r="F497" s="19" t="s">
        <v>1153</v>
      </c>
      <c r="G497" s="19" t="s">
        <v>1082</v>
      </c>
      <c r="H497" s="19"/>
      <c r="I497" s="19"/>
      <c r="J497" s="19"/>
      <c r="K497" s="19" t="s">
        <v>1148</v>
      </c>
      <c r="L497" s="19"/>
      <c r="M497" s="19"/>
      <c r="N497" s="19"/>
      <c r="O497" s="19"/>
      <c r="P497" s="19"/>
      <c r="Q497" s="19" t="s">
        <v>338</v>
      </c>
      <c r="R497" s="19"/>
      <c r="S497" s="19"/>
      <c r="T497" s="19">
        <v>1100</v>
      </c>
      <c r="U497" s="20">
        <f t="shared" ref="U497:U500" si="84">Y497*1.1</f>
        <v>0.46200000000000002</v>
      </c>
      <c r="V497" s="22" t="s">
        <v>1149</v>
      </c>
      <c r="W497" s="19"/>
      <c r="X497" s="19"/>
      <c r="Y497" s="21">
        <v>0.42</v>
      </c>
      <c r="Z497" s="92">
        <v>1.55</v>
      </c>
      <c r="AA497" s="92">
        <v>1.3</v>
      </c>
    </row>
    <row r="498" spans="1:29" x14ac:dyDescent="0.25">
      <c r="A498" s="33">
        <f t="shared" si="80"/>
        <v>495</v>
      </c>
      <c r="B498" s="19" t="s">
        <v>1150</v>
      </c>
      <c r="C498" s="19" t="s">
        <v>1151</v>
      </c>
      <c r="D498" s="19" t="s">
        <v>1080</v>
      </c>
      <c r="E498" s="19" t="s">
        <v>1147</v>
      </c>
      <c r="F498" s="19" t="s">
        <v>1153</v>
      </c>
      <c r="G498" s="19" t="s">
        <v>1082</v>
      </c>
      <c r="H498" s="19"/>
      <c r="I498" s="19"/>
      <c r="J498" s="19"/>
      <c r="K498" s="19" t="s">
        <v>1129</v>
      </c>
      <c r="L498" s="19"/>
      <c r="M498" s="19"/>
      <c r="N498" s="19"/>
      <c r="O498" s="19"/>
      <c r="P498" s="19"/>
      <c r="Q498" s="19" t="s">
        <v>338</v>
      </c>
      <c r="R498" s="19"/>
      <c r="S498" s="19"/>
      <c r="T498" s="19">
        <v>1100</v>
      </c>
      <c r="U498" s="20">
        <f t="shared" si="84"/>
        <v>0.9900000000000001</v>
      </c>
      <c r="V498" s="22" t="s">
        <v>1152</v>
      </c>
      <c r="W498" s="19"/>
      <c r="X498" s="19"/>
      <c r="Y498" s="21">
        <v>0.9</v>
      </c>
      <c r="Z498" s="92">
        <v>1.55</v>
      </c>
      <c r="AA498" s="92">
        <v>1.3</v>
      </c>
    </row>
    <row r="499" spans="1:29" x14ac:dyDescent="0.25">
      <c r="A499" s="33">
        <f t="shared" si="80"/>
        <v>496</v>
      </c>
      <c r="B499" s="19" t="s">
        <v>1154</v>
      </c>
      <c r="C499" s="19" t="s">
        <v>1155</v>
      </c>
      <c r="D499" s="19" t="s">
        <v>1080</v>
      </c>
      <c r="E499" s="19" t="s">
        <v>1081</v>
      </c>
      <c r="F499" s="19"/>
      <c r="G499" s="19" t="s">
        <v>1082</v>
      </c>
      <c r="H499" s="19"/>
      <c r="I499" s="19"/>
      <c r="J499" s="19"/>
      <c r="K499" s="19" t="s">
        <v>1148</v>
      </c>
      <c r="L499" s="19"/>
      <c r="M499" s="19"/>
      <c r="N499" s="19"/>
      <c r="O499" s="19"/>
      <c r="P499" s="19"/>
      <c r="Q499" s="19" t="s">
        <v>338</v>
      </c>
      <c r="R499" s="19"/>
      <c r="S499" s="19"/>
      <c r="T499" s="19">
        <v>1100</v>
      </c>
      <c r="U499" s="20">
        <f t="shared" si="84"/>
        <v>0.7370000000000001</v>
      </c>
      <c r="V499" s="22" t="s">
        <v>1156</v>
      </c>
      <c r="W499" s="19"/>
      <c r="X499" s="19"/>
      <c r="Y499" s="21">
        <v>0.67</v>
      </c>
      <c r="Z499" s="92">
        <v>1.55</v>
      </c>
      <c r="AA499" s="92">
        <v>1.3</v>
      </c>
    </row>
    <row r="500" spans="1:29" x14ac:dyDescent="0.25">
      <c r="A500" s="33">
        <f t="shared" si="80"/>
        <v>497</v>
      </c>
      <c r="B500" s="19" t="s">
        <v>1154</v>
      </c>
      <c r="C500" s="19" t="s">
        <v>1157</v>
      </c>
      <c r="D500" s="19" t="s">
        <v>1080</v>
      </c>
      <c r="E500" s="19" t="s">
        <v>1081</v>
      </c>
      <c r="F500" s="19"/>
      <c r="G500" s="19" t="s">
        <v>1082</v>
      </c>
      <c r="H500" s="19"/>
      <c r="I500" s="19"/>
      <c r="J500" s="19"/>
      <c r="K500" s="19" t="s">
        <v>1129</v>
      </c>
      <c r="L500" s="19"/>
      <c r="M500" s="19"/>
      <c r="N500" s="19"/>
      <c r="O500" s="19"/>
      <c r="P500" s="19"/>
      <c r="Q500" s="19" t="s">
        <v>338</v>
      </c>
      <c r="R500" s="19"/>
      <c r="S500" s="19"/>
      <c r="T500" s="19">
        <v>1100</v>
      </c>
      <c r="U500" s="20">
        <f t="shared" si="84"/>
        <v>1.4960000000000002</v>
      </c>
      <c r="V500" s="22" t="s">
        <v>1158</v>
      </c>
      <c r="W500" s="19"/>
      <c r="X500" s="19"/>
      <c r="Y500" s="21">
        <v>1.36</v>
      </c>
      <c r="Z500" s="92">
        <v>1.55</v>
      </c>
      <c r="AA500" s="92">
        <v>1.3</v>
      </c>
    </row>
    <row r="501" spans="1:29" s="2" customFormat="1" x14ac:dyDescent="0.25">
      <c r="A501" s="33">
        <f t="shared" si="80"/>
        <v>498</v>
      </c>
      <c r="B501" s="210">
        <v>1</v>
      </c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1"/>
      <c r="X501" s="19"/>
      <c r="Y501" s="74"/>
      <c r="Z501" s="76"/>
      <c r="AA501" s="76"/>
      <c r="AB501" s="1"/>
      <c r="AC501" s="1"/>
    </row>
    <row r="502" spans="1:29" x14ac:dyDescent="0.25">
      <c r="A502" s="33">
        <f t="shared" si="80"/>
        <v>499</v>
      </c>
      <c r="B502" s="19" t="s">
        <v>1159</v>
      </c>
      <c r="C502" s="19" t="s">
        <v>1160</v>
      </c>
      <c r="D502" s="19" t="s">
        <v>1135</v>
      </c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 t="s">
        <v>1161</v>
      </c>
      <c r="P502" s="19"/>
      <c r="Q502" s="19"/>
      <c r="R502" s="19"/>
      <c r="S502" s="19">
        <v>460</v>
      </c>
      <c r="T502" s="19"/>
      <c r="U502" s="20">
        <f>Y502*1.1*(S502/1000)</f>
        <v>4.5540000000000004E-2</v>
      </c>
      <c r="V502" s="22" t="s">
        <v>1162</v>
      </c>
      <c r="W502" s="19"/>
      <c r="X502" s="19"/>
      <c r="Y502" s="21">
        <v>0.09</v>
      </c>
      <c r="Z502" s="92">
        <v>1.55</v>
      </c>
      <c r="AA502" s="92">
        <v>1.3</v>
      </c>
    </row>
    <row r="503" spans="1:29" x14ac:dyDescent="0.25">
      <c r="A503" s="33">
        <f t="shared" si="80"/>
        <v>500</v>
      </c>
      <c r="B503" s="19" t="s">
        <v>1163</v>
      </c>
      <c r="C503" s="19" t="s">
        <v>1164</v>
      </c>
      <c r="D503" s="19" t="s">
        <v>1135</v>
      </c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 t="s">
        <v>1161</v>
      </c>
      <c r="P503" s="19"/>
      <c r="Q503" s="19"/>
      <c r="R503" s="19"/>
      <c r="S503" s="19">
        <v>460</v>
      </c>
      <c r="T503" s="19"/>
      <c r="U503" s="20">
        <f t="shared" ref="U503:U505" si="85">Y503*1.1*(S503/1000)</f>
        <v>4.5540000000000004E-2</v>
      </c>
      <c r="V503" s="22" t="s">
        <v>1165</v>
      </c>
      <c r="W503" s="19"/>
      <c r="X503" s="19"/>
      <c r="Y503" s="21">
        <v>0.09</v>
      </c>
      <c r="Z503" s="92">
        <v>1.55</v>
      </c>
      <c r="AA503" s="92">
        <v>1.3</v>
      </c>
    </row>
    <row r="504" spans="1:29" x14ac:dyDescent="0.25">
      <c r="A504" s="33">
        <f t="shared" si="80"/>
        <v>501</v>
      </c>
      <c r="B504" s="19" t="s">
        <v>1166</v>
      </c>
      <c r="C504" s="19" t="s">
        <v>1167</v>
      </c>
      <c r="D504" s="19" t="s">
        <v>1135</v>
      </c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 t="s">
        <v>200</v>
      </c>
      <c r="P504" s="19"/>
      <c r="Q504" s="19"/>
      <c r="R504" s="19"/>
      <c r="S504" s="19">
        <v>460</v>
      </c>
      <c r="T504" s="19"/>
      <c r="U504" s="20">
        <f t="shared" si="85"/>
        <v>4.5540000000000004E-2</v>
      </c>
      <c r="V504" s="22" t="s">
        <v>1168</v>
      </c>
      <c r="W504" s="19"/>
      <c r="X504" s="19"/>
      <c r="Y504" s="21">
        <v>0.09</v>
      </c>
      <c r="Z504" s="92">
        <v>1.55</v>
      </c>
      <c r="AA504" s="92">
        <v>1.3</v>
      </c>
    </row>
    <row r="505" spans="1:29" x14ac:dyDescent="0.25">
      <c r="A505" s="33">
        <f t="shared" si="80"/>
        <v>502</v>
      </c>
      <c r="B505" s="19" t="s">
        <v>1169</v>
      </c>
      <c r="C505" s="19" t="s">
        <v>1170</v>
      </c>
      <c r="D505" s="19" t="s">
        <v>1135</v>
      </c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 t="s">
        <v>200</v>
      </c>
      <c r="P505" s="19"/>
      <c r="Q505" s="19"/>
      <c r="R505" s="19"/>
      <c r="S505" s="19">
        <v>460</v>
      </c>
      <c r="T505" s="19"/>
      <c r="U505" s="20">
        <f t="shared" si="85"/>
        <v>4.5540000000000004E-2</v>
      </c>
      <c r="V505" s="22" t="s">
        <v>1171</v>
      </c>
      <c r="W505" s="19"/>
      <c r="X505" s="19"/>
      <c r="Y505" s="21">
        <v>0.09</v>
      </c>
      <c r="Z505" s="92">
        <v>1.55</v>
      </c>
      <c r="AA505" s="92">
        <v>1.3</v>
      </c>
    </row>
    <row r="506" spans="1:29" x14ac:dyDescent="0.25">
      <c r="A506" s="33">
        <f t="shared" si="80"/>
        <v>503</v>
      </c>
      <c r="B506" s="210" t="s">
        <v>1172</v>
      </c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1"/>
      <c r="X506" s="19"/>
      <c r="Y506" s="74"/>
      <c r="Z506" s="76"/>
      <c r="AA506" s="76"/>
    </row>
    <row r="507" spans="1:29" x14ac:dyDescent="0.25">
      <c r="A507" s="33">
        <f t="shared" si="80"/>
        <v>504</v>
      </c>
      <c r="B507" s="19" t="s">
        <v>1173</v>
      </c>
      <c r="C507" s="19" t="s">
        <v>1174</v>
      </c>
      <c r="D507" s="19" t="s">
        <v>1135</v>
      </c>
      <c r="E507" s="126" t="s">
        <v>1175</v>
      </c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>
        <v>460</v>
      </c>
      <c r="T507" s="19"/>
      <c r="U507" s="20">
        <f t="shared" ref="U507:U509" si="86">Y507*1.1*(S507/1000)</f>
        <v>8.8550000000000004E-2</v>
      </c>
      <c r="V507" s="22" t="s">
        <v>1176</v>
      </c>
      <c r="W507" s="19"/>
      <c r="X507" s="19"/>
      <c r="Y507" s="21">
        <v>0.17499999999999999</v>
      </c>
      <c r="Z507" s="92">
        <v>1.55</v>
      </c>
      <c r="AA507" s="92">
        <v>1.3</v>
      </c>
    </row>
    <row r="508" spans="1:29" x14ac:dyDescent="0.25">
      <c r="A508" s="33">
        <f t="shared" si="80"/>
        <v>505</v>
      </c>
      <c r="B508" s="19" t="s">
        <v>1177</v>
      </c>
      <c r="C508" s="19" t="s">
        <v>1178</v>
      </c>
      <c r="D508" s="19" t="s">
        <v>1135</v>
      </c>
      <c r="E508" s="126" t="s">
        <v>1175</v>
      </c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>
        <v>460</v>
      </c>
      <c r="T508" s="19"/>
      <c r="U508" s="20">
        <f t="shared" si="86"/>
        <v>8.8550000000000004E-2</v>
      </c>
      <c r="V508" s="22" t="s">
        <v>1179</v>
      </c>
      <c r="W508" s="19"/>
      <c r="X508" s="19"/>
      <c r="Y508" s="21">
        <v>0.17499999999999999</v>
      </c>
      <c r="Z508" s="92">
        <v>1.55</v>
      </c>
      <c r="AA508" s="92">
        <v>1.3</v>
      </c>
    </row>
    <row r="509" spans="1:29" x14ac:dyDescent="0.25">
      <c r="A509" s="33">
        <f t="shared" si="80"/>
        <v>506</v>
      </c>
      <c r="B509" s="19" t="s">
        <v>1180</v>
      </c>
      <c r="C509" s="19" t="s">
        <v>1181</v>
      </c>
      <c r="D509" s="19" t="s">
        <v>1135</v>
      </c>
      <c r="E509" s="126" t="s">
        <v>1175</v>
      </c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>
        <v>460</v>
      </c>
      <c r="T509" s="19"/>
      <c r="U509" s="20">
        <f t="shared" si="86"/>
        <v>8.8550000000000004E-2</v>
      </c>
      <c r="V509" s="22" t="s">
        <v>1182</v>
      </c>
      <c r="W509" s="19"/>
      <c r="X509" s="19"/>
      <c r="Y509" s="21">
        <v>0.17499999999999999</v>
      </c>
      <c r="Z509" s="92">
        <v>1.55</v>
      </c>
      <c r="AA509" s="92">
        <v>1.3</v>
      </c>
    </row>
    <row r="510" spans="1:29" x14ac:dyDescent="0.25">
      <c r="A510" s="33">
        <f t="shared" si="80"/>
        <v>507</v>
      </c>
      <c r="B510" s="210" t="s">
        <v>1183</v>
      </c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1"/>
      <c r="X510" s="19"/>
      <c r="Y510" s="74"/>
      <c r="Z510" s="76"/>
      <c r="AA510" s="76"/>
    </row>
    <row r="511" spans="1:29" x14ac:dyDescent="0.25">
      <c r="A511" s="33">
        <f t="shared" si="80"/>
        <v>508</v>
      </c>
      <c r="B511" s="19" t="s">
        <v>1184</v>
      </c>
      <c r="C511" s="19" t="s">
        <v>1185</v>
      </c>
      <c r="D511" s="19" t="s">
        <v>1135</v>
      </c>
      <c r="E511" s="19" t="s">
        <v>303</v>
      </c>
      <c r="F511" s="19"/>
      <c r="G511" s="19" t="s">
        <v>1082</v>
      </c>
      <c r="H511" s="19"/>
      <c r="I511" s="19"/>
      <c r="J511" s="19"/>
      <c r="K511" s="19" t="s">
        <v>1129</v>
      </c>
      <c r="L511" s="19"/>
      <c r="M511" s="19"/>
      <c r="N511" s="19"/>
      <c r="O511" s="19" t="s">
        <v>1161</v>
      </c>
      <c r="P511" s="19"/>
      <c r="Q511" s="19"/>
      <c r="R511" s="19"/>
      <c r="S511" s="19">
        <v>460</v>
      </c>
      <c r="T511" s="19"/>
      <c r="U511" s="20">
        <f t="shared" ref="U511:U513" si="87">Y511*1.1*(S511/1000)</f>
        <v>6.3250000000000015E-2</v>
      </c>
      <c r="V511" s="22" t="s">
        <v>1186</v>
      </c>
      <c r="W511" s="19"/>
      <c r="X511" s="19"/>
      <c r="Y511" s="21">
        <v>0.125</v>
      </c>
      <c r="Z511" s="92">
        <v>1.55</v>
      </c>
      <c r="AA511" s="92">
        <v>1.3</v>
      </c>
    </row>
    <row r="512" spans="1:29" x14ac:dyDescent="0.25">
      <c r="A512" s="33">
        <f t="shared" si="80"/>
        <v>509</v>
      </c>
      <c r="B512" s="19" t="s">
        <v>1187</v>
      </c>
      <c r="C512" s="19" t="s">
        <v>1188</v>
      </c>
      <c r="D512" s="19" t="s">
        <v>1135</v>
      </c>
      <c r="E512" s="19" t="s">
        <v>303</v>
      </c>
      <c r="F512" s="19"/>
      <c r="G512" s="19" t="s">
        <v>1082</v>
      </c>
      <c r="H512" s="19"/>
      <c r="I512" s="19"/>
      <c r="J512" s="19"/>
      <c r="K512" s="19" t="s">
        <v>1129</v>
      </c>
      <c r="L512" s="19"/>
      <c r="M512" s="19"/>
      <c r="N512" s="19"/>
      <c r="O512" s="19" t="s">
        <v>1161</v>
      </c>
      <c r="P512" s="19"/>
      <c r="Q512" s="19"/>
      <c r="R512" s="19"/>
      <c r="S512" s="19">
        <v>460</v>
      </c>
      <c r="T512" s="19"/>
      <c r="U512" s="20">
        <f t="shared" si="87"/>
        <v>6.3250000000000015E-2</v>
      </c>
      <c r="V512" s="22" t="s">
        <v>1189</v>
      </c>
      <c r="W512" s="19"/>
      <c r="X512" s="19"/>
      <c r="Y512" s="21">
        <v>0.125</v>
      </c>
      <c r="Z512" s="92">
        <v>1.55</v>
      </c>
      <c r="AA512" s="92">
        <v>1.3</v>
      </c>
    </row>
    <row r="513" spans="1:27" x14ac:dyDescent="0.25">
      <c r="A513" s="33">
        <f t="shared" si="80"/>
        <v>510</v>
      </c>
      <c r="B513" s="19" t="s">
        <v>1187</v>
      </c>
      <c r="C513" s="19" t="s">
        <v>1188</v>
      </c>
      <c r="D513" s="19" t="s">
        <v>1135</v>
      </c>
      <c r="E513" s="19" t="s">
        <v>303</v>
      </c>
      <c r="F513" s="19"/>
      <c r="G513" s="19" t="s">
        <v>1082</v>
      </c>
      <c r="H513" s="19"/>
      <c r="I513" s="19"/>
      <c r="J513" s="19"/>
      <c r="K513" s="19" t="s">
        <v>1129</v>
      </c>
      <c r="L513" s="19"/>
      <c r="M513" s="19"/>
      <c r="N513" s="19"/>
      <c r="O513" s="19" t="s">
        <v>200</v>
      </c>
      <c r="P513" s="19"/>
      <c r="Q513" s="19"/>
      <c r="R513" s="19"/>
      <c r="S513" s="19">
        <v>460</v>
      </c>
      <c r="T513" s="19"/>
      <c r="U513" s="20">
        <f t="shared" si="87"/>
        <v>6.3250000000000015E-2</v>
      </c>
      <c r="V513" s="22" t="s">
        <v>1190</v>
      </c>
      <c r="W513" s="19"/>
      <c r="X513" s="19"/>
      <c r="Y513" s="21">
        <v>0.125</v>
      </c>
      <c r="Z513" s="92">
        <v>1.55</v>
      </c>
      <c r="AA513" s="92">
        <v>1.3</v>
      </c>
    </row>
    <row r="514" spans="1:27" x14ac:dyDescent="0.25">
      <c r="A514" s="33">
        <f t="shared" si="80"/>
        <v>511</v>
      </c>
      <c r="B514" s="210" t="s">
        <v>1191</v>
      </c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1"/>
      <c r="X514" s="19"/>
      <c r="Y514" s="74"/>
      <c r="Z514" s="76"/>
      <c r="AA514" s="76"/>
    </row>
    <row r="515" spans="1:27" x14ac:dyDescent="0.25">
      <c r="A515" s="33">
        <f t="shared" si="80"/>
        <v>512</v>
      </c>
      <c r="B515" s="19" t="s">
        <v>1192</v>
      </c>
      <c r="C515" s="19" t="s">
        <v>1193</v>
      </c>
      <c r="D515" s="19" t="s">
        <v>1092</v>
      </c>
      <c r="E515" s="22" t="s">
        <v>1194</v>
      </c>
      <c r="F515" s="25" t="s">
        <v>1195</v>
      </c>
      <c r="G515" s="19"/>
      <c r="H515" s="19" t="s">
        <v>1196</v>
      </c>
      <c r="I515" s="19"/>
      <c r="J515" s="19"/>
      <c r="K515" s="19"/>
      <c r="L515" s="19"/>
      <c r="M515" s="19"/>
      <c r="N515" s="19"/>
      <c r="O515" s="19" t="s">
        <v>1197</v>
      </c>
      <c r="P515" s="19"/>
      <c r="Q515" s="19" t="s">
        <v>395</v>
      </c>
      <c r="R515" s="19"/>
      <c r="S515" s="19"/>
      <c r="T515" s="19" t="s">
        <v>1198</v>
      </c>
      <c r="U515" s="20">
        <f t="shared" ref="U515:U520" si="88">Y515*1.1</f>
        <v>0</v>
      </c>
      <c r="V515" s="19" t="s">
        <v>1199</v>
      </c>
      <c r="W515" s="19" t="s">
        <v>750</v>
      </c>
      <c r="X515" s="19"/>
      <c r="Y515" s="21">
        <v>0</v>
      </c>
      <c r="Z515" s="92" t="s">
        <v>1200</v>
      </c>
      <c r="AA515" s="92" t="s">
        <v>1200</v>
      </c>
    </row>
    <row r="516" spans="1:27" x14ac:dyDescent="0.25">
      <c r="A516" s="33">
        <f t="shared" si="80"/>
        <v>513</v>
      </c>
      <c r="B516" s="19" t="s">
        <v>1201</v>
      </c>
      <c r="C516" s="19" t="s">
        <v>1202</v>
      </c>
      <c r="D516" s="19" t="s">
        <v>1092</v>
      </c>
      <c r="E516" s="22" t="s">
        <v>1194</v>
      </c>
      <c r="F516" s="25" t="s">
        <v>1195</v>
      </c>
      <c r="G516" s="19"/>
      <c r="H516" s="19" t="s">
        <v>1196</v>
      </c>
      <c r="I516" s="19"/>
      <c r="J516" s="19"/>
      <c r="K516" s="19"/>
      <c r="L516" s="19"/>
      <c r="M516" s="19"/>
      <c r="N516" s="19"/>
      <c r="O516" s="19" t="s">
        <v>1197</v>
      </c>
      <c r="P516" s="19"/>
      <c r="Q516" s="19" t="s">
        <v>395</v>
      </c>
      <c r="R516" s="19"/>
      <c r="S516" s="19"/>
      <c r="T516" s="19" t="s">
        <v>1198</v>
      </c>
      <c r="U516" s="20">
        <f t="shared" si="88"/>
        <v>0</v>
      </c>
      <c r="V516" s="19" t="s">
        <v>1203</v>
      </c>
      <c r="W516" s="19" t="s">
        <v>750</v>
      </c>
      <c r="X516" s="19"/>
      <c r="Y516" s="21">
        <v>0</v>
      </c>
      <c r="Z516" s="92" t="s">
        <v>1200</v>
      </c>
      <c r="AA516" s="92" t="s">
        <v>1200</v>
      </c>
    </row>
    <row r="517" spans="1:27" x14ac:dyDescent="0.25">
      <c r="A517" s="33">
        <f t="shared" si="80"/>
        <v>514</v>
      </c>
      <c r="B517" s="19" t="s">
        <v>1204</v>
      </c>
      <c r="C517" s="19" t="s">
        <v>1205</v>
      </c>
      <c r="D517" s="19" t="s">
        <v>1092</v>
      </c>
      <c r="E517" s="22" t="s">
        <v>1194</v>
      </c>
      <c r="F517" s="25" t="s">
        <v>1195</v>
      </c>
      <c r="G517" s="19"/>
      <c r="H517" s="19" t="s">
        <v>1196</v>
      </c>
      <c r="I517" s="19"/>
      <c r="J517" s="19"/>
      <c r="K517" s="19"/>
      <c r="L517" s="19"/>
      <c r="M517" s="19"/>
      <c r="N517" s="19"/>
      <c r="O517" s="19" t="s">
        <v>200</v>
      </c>
      <c r="P517" s="19"/>
      <c r="Q517" s="19" t="s">
        <v>395</v>
      </c>
      <c r="R517" s="19"/>
      <c r="S517" s="19"/>
      <c r="T517" s="19" t="s">
        <v>1198</v>
      </c>
      <c r="U517" s="20">
        <f t="shared" si="88"/>
        <v>0</v>
      </c>
      <c r="V517" s="19" t="s">
        <v>1206</v>
      </c>
      <c r="W517" s="19" t="s">
        <v>750</v>
      </c>
      <c r="X517" s="19"/>
      <c r="Y517" s="21">
        <f t="shared" ref="Y517:Y520" si="89">4.9494*X517</f>
        <v>0</v>
      </c>
      <c r="Z517" s="92" t="s">
        <v>1200</v>
      </c>
      <c r="AA517" s="92" t="s">
        <v>1200</v>
      </c>
    </row>
    <row r="518" spans="1:27" x14ac:dyDescent="0.25">
      <c r="A518" s="33">
        <f t="shared" si="80"/>
        <v>515</v>
      </c>
      <c r="B518" s="19" t="s">
        <v>1207</v>
      </c>
      <c r="C518" s="19" t="s">
        <v>1208</v>
      </c>
      <c r="D518" s="19" t="s">
        <v>1092</v>
      </c>
      <c r="E518" s="22" t="s">
        <v>1194</v>
      </c>
      <c r="F518" s="25" t="s">
        <v>1195</v>
      </c>
      <c r="G518" s="19"/>
      <c r="H518" s="19" t="s">
        <v>1196</v>
      </c>
      <c r="I518" s="19"/>
      <c r="J518" s="19"/>
      <c r="K518" s="19"/>
      <c r="L518" s="19"/>
      <c r="M518" s="19"/>
      <c r="N518" s="19"/>
      <c r="O518" s="19" t="s">
        <v>200</v>
      </c>
      <c r="P518" s="19"/>
      <c r="Q518" s="19" t="s">
        <v>395</v>
      </c>
      <c r="R518" s="19"/>
      <c r="S518" s="19"/>
      <c r="T518" s="19" t="s">
        <v>1198</v>
      </c>
      <c r="U518" s="20">
        <f t="shared" si="88"/>
        <v>0</v>
      </c>
      <c r="V518" s="19" t="s">
        <v>1209</v>
      </c>
      <c r="W518" s="19" t="s">
        <v>750</v>
      </c>
      <c r="X518" s="19"/>
      <c r="Y518" s="21">
        <f t="shared" si="89"/>
        <v>0</v>
      </c>
      <c r="Z518" s="92" t="s">
        <v>1200</v>
      </c>
      <c r="AA518" s="92" t="s">
        <v>1200</v>
      </c>
    </row>
    <row r="519" spans="1:27" x14ac:dyDescent="0.25">
      <c r="A519" s="33">
        <f t="shared" si="80"/>
        <v>516</v>
      </c>
      <c r="B519" s="19" t="s">
        <v>1210</v>
      </c>
      <c r="C519" s="19" t="s">
        <v>1211</v>
      </c>
      <c r="D519" s="19" t="s">
        <v>1092</v>
      </c>
      <c r="E519" s="22" t="s">
        <v>1194</v>
      </c>
      <c r="F519" s="25" t="s">
        <v>1195</v>
      </c>
      <c r="G519" s="19"/>
      <c r="H519" s="19" t="s">
        <v>1196</v>
      </c>
      <c r="I519" s="19"/>
      <c r="J519" s="19"/>
      <c r="K519" s="19"/>
      <c r="L519" s="19"/>
      <c r="M519" s="19"/>
      <c r="N519" s="19"/>
      <c r="O519" s="19" t="s">
        <v>208</v>
      </c>
      <c r="P519" s="19"/>
      <c r="Q519" s="19" t="s">
        <v>395</v>
      </c>
      <c r="R519" s="19"/>
      <c r="S519" s="19"/>
      <c r="T519" s="19" t="s">
        <v>1198</v>
      </c>
      <c r="U519" s="20">
        <f t="shared" si="88"/>
        <v>0</v>
      </c>
      <c r="V519" s="19" t="s">
        <v>1212</v>
      </c>
      <c r="W519" s="19" t="s">
        <v>750</v>
      </c>
      <c r="X519" s="19"/>
      <c r="Y519" s="21">
        <f t="shared" si="89"/>
        <v>0</v>
      </c>
      <c r="Z519" s="92" t="s">
        <v>1200</v>
      </c>
      <c r="AA519" s="92" t="s">
        <v>1200</v>
      </c>
    </row>
    <row r="520" spans="1:27" x14ac:dyDescent="0.25">
      <c r="A520" s="33">
        <f t="shared" si="80"/>
        <v>517</v>
      </c>
      <c r="B520" s="19" t="s">
        <v>1213</v>
      </c>
      <c r="C520" s="19" t="s">
        <v>1214</v>
      </c>
      <c r="D520" s="19" t="s">
        <v>1092</v>
      </c>
      <c r="E520" s="22" t="s">
        <v>1194</v>
      </c>
      <c r="F520" s="25" t="s">
        <v>1195</v>
      </c>
      <c r="G520" s="19"/>
      <c r="H520" s="19" t="s">
        <v>1196</v>
      </c>
      <c r="I520" s="19"/>
      <c r="J520" s="19"/>
      <c r="K520" s="19"/>
      <c r="L520" s="19"/>
      <c r="M520" s="19"/>
      <c r="N520" s="19"/>
      <c r="O520" s="19" t="s">
        <v>208</v>
      </c>
      <c r="P520" s="19"/>
      <c r="Q520" s="19" t="s">
        <v>395</v>
      </c>
      <c r="R520" s="19"/>
      <c r="S520" s="19"/>
      <c r="T520" s="19" t="s">
        <v>1198</v>
      </c>
      <c r="U520" s="20">
        <f t="shared" si="88"/>
        <v>0</v>
      </c>
      <c r="V520" s="19" t="s">
        <v>1215</v>
      </c>
      <c r="W520" s="19" t="s">
        <v>750</v>
      </c>
      <c r="X520" s="19"/>
      <c r="Y520" s="21">
        <f t="shared" si="89"/>
        <v>0</v>
      </c>
      <c r="Z520" s="92" t="s">
        <v>1200</v>
      </c>
      <c r="AA520" s="92" t="s">
        <v>1200</v>
      </c>
    </row>
    <row r="521" spans="1:27" x14ac:dyDescent="0.25">
      <c r="A521" s="33">
        <f t="shared" si="80"/>
        <v>518</v>
      </c>
      <c r="B521" s="210" t="s">
        <v>1216</v>
      </c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1"/>
      <c r="X521" s="19"/>
      <c r="Y521" s="74"/>
      <c r="Z521" s="76"/>
      <c r="AA521" s="76"/>
    </row>
    <row r="522" spans="1:27" x14ac:dyDescent="0.25">
      <c r="A522" s="33">
        <f t="shared" si="80"/>
        <v>519</v>
      </c>
      <c r="B522" s="19">
        <v>17000</v>
      </c>
      <c r="C522" s="19"/>
      <c r="D522" s="19" t="s">
        <v>1217</v>
      </c>
      <c r="E522" s="22" t="s">
        <v>988</v>
      </c>
      <c r="F522" s="19"/>
      <c r="G522" s="19"/>
      <c r="H522" s="19" t="s">
        <v>384</v>
      </c>
      <c r="I522" s="19" t="s">
        <v>1072</v>
      </c>
      <c r="J522" s="19"/>
      <c r="K522" s="19"/>
      <c r="L522" s="19"/>
      <c r="M522" s="19"/>
      <c r="N522" s="19">
        <v>8</v>
      </c>
      <c r="O522" s="19">
        <v>27</v>
      </c>
      <c r="P522" s="19"/>
      <c r="Q522" s="19" t="s">
        <v>395</v>
      </c>
      <c r="R522" s="19"/>
      <c r="S522" s="19"/>
      <c r="T522" s="19">
        <v>1</v>
      </c>
      <c r="U522" s="20">
        <f t="shared" ref="U522:U561" si="90">Y522*1.1</f>
        <v>0</v>
      </c>
      <c r="V522" s="19" t="s">
        <v>1218</v>
      </c>
      <c r="W522" s="19"/>
      <c r="X522" s="19"/>
      <c r="Y522" s="21">
        <v>0</v>
      </c>
      <c r="Z522" s="92">
        <v>1.3</v>
      </c>
      <c r="AA522" s="92">
        <v>1.2949999999999999</v>
      </c>
    </row>
    <row r="523" spans="1:27" x14ac:dyDescent="0.25">
      <c r="A523" s="33">
        <f t="shared" si="80"/>
        <v>520</v>
      </c>
      <c r="B523" s="19">
        <v>17000</v>
      </c>
      <c r="C523" s="19"/>
      <c r="D523" s="19" t="s">
        <v>1217</v>
      </c>
      <c r="E523" s="22" t="s">
        <v>988</v>
      </c>
      <c r="F523" s="19"/>
      <c r="G523" s="19"/>
      <c r="H523" s="19" t="s">
        <v>387</v>
      </c>
      <c r="I523" s="19" t="s">
        <v>1072</v>
      </c>
      <c r="J523" s="19"/>
      <c r="K523" s="19"/>
      <c r="L523" s="19"/>
      <c r="M523" s="19"/>
      <c r="N523" s="19">
        <v>8</v>
      </c>
      <c r="O523" s="19">
        <v>27</v>
      </c>
      <c r="P523" s="19"/>
      <c r="Q523" s="19" t="s">
        <v>395</v>
      </c>
      <c r="R523" s="19"/>
      <c r="S523" s="19"/>
      <c r="T523" s="19">
        <v>2</v>
      </c>
      <c r="U523" s="20">
        <f t="shared" si="90"/>
        <v>0</v>
      </c>
      <c r="V523" s="19" t="s">
        <v>1218</v>
      </c>
      <c r="W523" s="19"/>
      <c r="X523" s="19"/>
      <c r="Y523" s="21">
        <v>0</v>
      </c>
      <c r="Z523" s="92">
        <v>1.3</v>
      </c>
      <c r="AA523" s="92">
        <v>1.2949999999999999</v>
      </c>
    </row>
    <row r="524" spans="1:27" x14ac:dyDescent="0.25">
      <c r="A524" s="33">
        <f t="shared" si="80"/>
        <v>521</v>
      </c>
      <c r="B524" s="19">
        <v>17000</v>
      </c>
      <c r="C524" s="19"/>
      <c r="D524" s="19" t="s">
        <v>1217</v>
      </c>
      <c r="E524" s="22" t="s">
        <v>988</v>
      </c>
      <c r="F524" s="19"/>
      <c r="G524" s="19"/>
      <c r="H524" s="19" t="s">
        <v>1219</v>
      </c>
      <c r="I524" s="19" t="s">
        <v>1072</v>
      </c>
      <c r="J524" s="19"/>
      <c r="K524" s="19"/>
      <c r="L524" s="19"/>
      <c r="M524" s="19"/>
      <c r="N524" s="19">
        <v>8</v>
      </c>
      <c r="O524" s="19">
        <v>27</v>
      </c>
      <c r="P524" s="19"/>
      <c r="Q524" s="19" t="s">
        <v>395</v>
      </c>
      <c r="R524" s="19"/>
      <c r="S524" s="19"/>
      <c r="T524" s="19">
        <v>3</v>
      </c>
      <c r="U524" s="20">
        <f t="shared" si="90"/>
        <v>0</v>
      </c>
      <c r="V524" s="19" t="s">
        <v>1218</v>
      </c>
      <c r="W524" s="19"/>
      <c r="X524" s="19"/>
      <c r="Y524" s="21">
        <v>0</v>
      </c>
      <c r="Z524" s="92">
        <v>1.3</v>
      </c>
      <c r="AA524" s="92">
        <v>1.2949999999999999</v>
      </c>
    </row>
    <row r="525" spans="1:27" x14ac:dyDescent="0.25">
      <c r="A525" s="33">
        <f t="shared" si="80"/>
        <v>522</v>
      </c>
      <c r="B525" s="19">
        <v>17000</v>
      </c>
      <c r="C525" s="19"/>
      <c r="D525" s="19" t="s">
        <v>1217</v>
      </c>
      <c r="E525" s="22" t="s">
        <v>988</v>
      </c>
      <c r="F525" s="19"/>
      <c r="G525" s="19"/>
      <c r="H525" s="19" t="s">
        <v>1043</v>
      </c>
      <c r="I525" s="19" t="s">
        <v>1072</v>
      </c>
      <c r="J525" s="19"/>
      <c r="K525" s="19"/>
      <c r="L525" s="19"/>
      <c r="M525" s="19"/>
      <c r="N525" s="19">
        <v>8</v>
      </c>
      <c r="O525" s="19">
        <v>27</v>
      </c>
      <c r="P525" s="19"/>
      <c r="Q525" s="19" t="s">
        <v>395</v>
      </c>
      <c r="R525" s="19"/>
      <c r="S525" s="19"/>
      <c r="T525" s="19">
        <v>4</v>
      </c>
      <c r="U525" s="20">
        <f t="shared" si="90"/>
        <v>0</v>
      </c>
      <c r="V525" s="19" t="s">
        <v>1218</v>
      </c>
      <c r="W525" s="19"/>
      <c r="X525" s="19"/>
      <c r="Y525" s="21">
        <v>0</v>
      </c>
      <c r="Z525" s="92">
        <v>1.3</v>
      </c>
      <c r="AA525" s="92">
        <v>1.2949999999999999</v>
      </c>
    </row>
    <row r="526" spans="1:27" x14ac:dyDescent="0.25">
      <c r="A526" s="33">
        <f t="shared" si="80"/>
        <v>523</v>
      </c>
      <c r="B526" s="19">
        <v>17000</v>
      </c>
      <c r="C526" s="19"/>
      <c r="D526" s="19" t="s">
        <v>1217</v>
      </c>
      <c r="E526" s="22" t="s">
        <v>988</v>
      </c>
      <c r="F526" s="19"/>
      <c r="G526" s="19"/>
      <c r="H526" s="19">
        <v>60</v>
      </c>
      <c r="I526" s="19" t="s">
        <v>1072</v>
      </c>
      <c r="J526" s="19"/>
      <c r="K526" s="19"/>
      <c r="L526" s="19"/>
      <c r="M526" s="19"/>
      <c r="N526" s="19">
        <v>8</v>
      </c>
      <c r="O526" s="19">
        <v>27</v>
      </c>
      <c r="P526" s="19"/>
      <c r="Q526" s="19" t="s">
        <v>395</v>
      </c>
      <c r="R526" s="19"/>
      <c r="S526" s="19"/>
      <c r="T526" s="19">
        <v>5</v>
      </c>
      <c r="U526" s="20">
        <f t="shared" si="90"/>
        <v>0</v>
      </c>
      <c r="V526" s="19" t="s">
        <v>1218</v>
      </c>
      <c r="W526" s="19"/>
      <c r="X526" s="19"/>
      <c r="Y526" s="21">
        <v>0</v>
      </c>
      <c r="Z526" s="92">
        <v>1.3</v>
      </c>
      <c r="AA526" s="92">
        <v>1.2949999999999999</v>
      </c>
    </row>
    <row r="527" spans="1:27" x14ac:dyDescent="0.25">
      <c r="A527" s="33">
        <f t="shared" si="80"/>
        <v>524</v>
      </c>
      <c r="B527" s="19">
        <v>17000</v>
      </c>
      <c r="C527" s="19"/>
      <c r="D527" s="19" t="s">
        <v>1217</v>
      </c>
      <c r="E527" s="22" t="s">
        <v>988</v>
      </c>
      <c r="F527" s="19"/>
      <c r="G527" s="19"/>
      <c r="H527" s="19" t="s">
        <v>384</v>
      </c>
      <c r="I527" s="19" t="s">
        <v>1072</v>
      </c>
      <c r="J527" s="19"/>
      <c r="K527" s="19"/>
      <c r="L527" s="19"/>
      <c r="M527" s="19"/>
      <c r="N527" s="19">
        <v>8</v>
      </c>
      <c r="O527" s="19">
        <v>30</v>
      </c>
      <c r="P527" s="19"/>
      <c r="Q527" s="19" t="s">
        <v>395</v>
      </c>
      <c r="R527" s="19"/>
      <c r="S527" s="19"/>
      <c r="T527" s="19">
        <v>1</v>
      </c>
      <c r="U527" s="20">
        <f t="shared" si="90"/>
        <v>0</v>
      </c>
      <c r="V527" s="19" t="s">
        <v>1220</v>
      </c>
      <c r="W527" s="19"/>
      <c r="X527" s="19"/>
      <c r="Y527" s="21">
        <v>0</v>
      </c>
      <c r="Z527" s="92">
        <v>1.3</v>
      </c>
      <c r="AA527" s="92">
        <v>1.2949999999999999</v>
      </c>
    </row>
    <row r="528" spans="1:27" x14ac:dyDescent="0.25">
      <c r="A528" s="33">
        <f t="shared" si="80"/>
        <v>525</v>
      </c>
      <c r="B528" s="19">
        <v>17000</v>
      </c>
      <c r="C528" s="19"/>
      <c r="D528" s="19" t="s">
        <v>1217</v>
      </c>
      <c r="E528" s="22" t="s">
        <v>988</v>
      </c>
      <c r="F528" s="19"/>
      <c r="G528" s="19"/>
      <c r="H528" s="19" t="s">
        <v>387</v>
      </c>
      <c r="I528" s="19" t="s">
        <v>1072</v>
      </c>
      <c r="J528" s="19"/>
      <c r="K528" s="19"/>
      <c r="L528" s="19"/>
      <c r="M528" s="19"/>
      <c r="N528" s="19">
        <v>8</v>
      </c>
      <c r="O528" s="19">
        <v>30</v>
      </c>
      <c r="P528" s="19"/>
      <c r="Q528" s="19" t="s">
        <v>395</v>
      </c>
      <c r="R528" s="19"/>
      <c r="S528" s="19"/>
      <c r="T528" s="19">
        <v>2</v>
      </c>
      <c r="U528" s="20">
        <f t="shared" si="90"/>
        <v>0</v>
      </c>
      <c r="V528" s="19" t="s">
        <v>1220</v>
      </c>
      <c r="W528" s="19"/>
      <c r="X528" s="19"/>
      <c r="Y528" s="21">
        <v>0</v>
      </c>
      <c r="Z528" s="92">
        <v>1.3</v>
      </c>
      <c r="AA528" s="92">
        <v>1.2949999999999999</v>
      </c>
    </row>
    <row r="529" spans="1:27" x14ac:dyDescent="0.25">
      <c r="A529" s="33">
        <f t="shared" si="80"/>
        <v>526</v>
      </c>
      <c r="B529" s="19">
        <v>17000</v>
      </c>
      <c r="C529" s="19"/>
      <c r="D529" s="19" t="s">
        <v>1217</v>
      </c>
      <c r="E529" s="22" t="s">
        <v>988</v>
      </c>
      <c r="F529" s="19"/>
      <c r="G529" s="19"/>
      <c r="H529" s="19" t="s">
        <v>1219</v>
      </c>
      <c r="I529" s="19" t="s">
        <v>1072</v>
      </c>
      <c r="J529" s="19"/>
      <c r="K529" s="19"/>
      <c r="L529" s="19"/>
      <c r="M529" s="19"/>
      <c r="N529" s="19">
        <v>8</v>
      </c>
      <c r="O529" s="19">
        <v>30</v>
      </c>
      <c r="P529" s="19"/>
      <c r="Q529" s="19" t="s">
        <v>395</v>
      </c>
      <c r="R529" s="19"/>
      <c r="S529" s="19"/>
      <c r="T529" s="19">
        <v>3</v>
      </c>
      <c r="U529" s="20">
        <f t="shared" si="90"/>
        <v>0</v>
      </c>
      <c r="V529" s="19" t="s">
        <v>1220</v>
      </c>
      <c r="W529" s="19"/>
      <c r="X529" s="19"/>
      <c r="Y529" s="21">
        <v>0</v>
      </c>
      <c r="Z529" s="92">
        <v>1.3</v>
      </c>
      <c r="AA529" s="92">
        <v>1.2949999999999999</v>
      </c>
    </row>
    <row r="530" spans="1:27" x14ac:dyDescent="0.25">
      <c r="A530" s="33">
        <f t="shared" si="80"/>
        <v>527</v>
      </c>
      <c r="B530" s="19">
        <v>17000</v>
      </c>
      <c r="C530" s="19"/>
      <c r="D530" s="19" t="s">
        <v>1217</v>
      </c>
      <c r="E530" s="22" t="s">
        <v>988</v>
      </c>
      <c r="F530" s="19"/>
      <c r="G530" s="19"/>
      <c r="H530" s="19" t="s">
        <v>1043</v>
      </c>
      <c r="I530" s="19" t="s">
        <v>1072</v>
      </c>
      <c r="J530" s="19"/>
      <c r="K530" s="19"/>
      <c r="L530" s="19"/>
      <c r="M530" s="19"/>
      <c r="N530" s="19">
        <v>8</v>
      </c>
      <c r="O530" s="19">
        <v>30</v>
      </c>
      <c r="P530" s="19"/>
      <c r="Q530" s="19" t="s">
        <v>395</v>
      </c>
      <c r="R530" s="19"/>
      <c r="S530" s="19"/>
      <c r="T530" s="19">
        <v>4</v>
      </c>
      <c r="U530" s="20">
        <f t="shared" si="90"/>
        <v>0</v>
      </c>
      <c r="V530" s="19" t="s">
        <v>1220</v>
      </c>
      <c r="W530" s="19"/>
      <c r="X530" s="19"/>
      <c r="Y530" s="21">
        <v>0</v>
      </c>
      <c r="Z530" s="92">
        <v>1.3</v>
      </c>
      <c r="AA530" s="92">
        <v>1.2949999999999999</v>
      </c>
    </row>
    <row r="531" spans="1:27" x14ac:dyDescent="0.25">
      <c r="A531" s="33">
        <f t="shared" si="80"/>
        <v>528</v>
      </c>
      <c r="B531" s="19">
        <v>17000</v>
      </c>
      <c r="C531" s="19"/>
      <c r="D531" s="19" t="s">
        <v>1217</v>
      </c>
      <c r="E531" s="22" t="s">
        <v>988</v>
      </c>
      <c r="F531" s="19"/>
      <c r="G531" s="19"/>
      <c r="H531" s="19">
        <v>60</v>
      </c>
      <c r="I531" s="19" t="s">
        <v>1072</v>
      </c>
      <c r="J531" s="19"/>
      <c r="K531" s="19"/>
      <c r="L531" s="19"/>
      <c r="M531" s="19"/>
      <c r="N531" s="19">
        <v>8</v>
      </c>
      <c r="O531" s="19">
        <v>30</v>
      </c>
      <c r="P531" s="19"/>
      <c r="Q531" s="19" t="s">
        <v>395</v>
      </c>
      <c r="R531" s="19"/>
      <c r="S531" s="19"/>
      <c r="T531" s="19">
        <v>5</v>
      </c>
      <c r="U531" s="20">
        <f t="shared" si="90"/>
        <v>0</v>
      </c>
      <c r="V531" s="19" t="s">
        <v>1220</v>
      </c>
      <c r="W531" s="19"/>
      <c r="X531" s="19"/>
      <c r="Y531" s="21">
        <v>0</v>
      </c>
      <c r="Z531" s="92">
        <v>1.3</v>
      </c>
      <c r="AA531" s="92">
        <v>1.2949999999999999</v>
      </c>
    </row>
    <row r="532" spans="1:27" x14ac:dyDescent="0.25">
      <c r="A532" s="33">
        <f t="shared" si="80"/>
        <v>529</v>
      </c>
      <c r="B532" s="19">
        <v>17000</v>
      </c>
      <c r="C532" s="19"/>
      <c r="D532" s="19" t="s">
        <v>1217</v>
      </c>
      <c r="E532" s="22" t="s">
        <v>988</v>
      </c>
      <c r="F532" s="19"/>
      <c r="G532" s="19"/>
      <c r="H532" s="19" t="s">
        <v>384</v>
      </c>
      <c r="I532" s="19" t="s">
        <v>1072</v>
      </c>
      <c r="J532" s="19"/>
      <c r="K532" s="19"/>
      <c r="L532" s="19"/>
      <c r="M532" s="19"/>
      <c r="N532" s="19">
        <v>8</v>
      </c>
      <c r="O532" s="19">
        <v>35</v>
      </c>
      <c r="P532" s="19"/>
      <c r="Q532" s="19" t="s">
        <v>395</v>
      </c>
      <c r="R532" s="19"/>
      <c r="S532" s="19"/>
      <c r="T532" s="19">
        <v>1</v>
      </c>
      <c r="U532" s="20">
        <f t="shared" si="90"/>
        <v>0</v>
      </c>
      <c r="V532" s="19" t="s">
        <v>1221</v>
      </c>
      <c r="W532" s="19"/>
      <c r="X532" s="19"/>
      <c r="Y532" s="21">
        <v>0</v>
      </c>
      <c r="Z532" s="92">
        <v>1.3</v>
      </c>
      <c r="AA532" s="92">
        <v>1.2949999999999999</v>
      </c>
    </row>
    <row r="533" spans="1:27" x14ac:dyDescent="0.25">
      <c r="A533" s="33">
        <f t="shared" si="80"/>
        <v>530</v>
      </c>
      <c r="B533" s="19">
        <v>17000</v>
      </c>
      <c r="C533" s="19"/>
      <c r="D533" s="19" t="s">
        <v>1217</v>
      </c>
      <c r="E533" s="22" t="s">
        <v>988</v>
      </c>
      <c r="F533" s="19"/>
      <c r="G533" s="19"/>
      <c r="H533" s="19" t="s">
        <v>387</v>
      </c>
      <c r="I533" s="19" t="s">
        <v>1072</v>
      </c>
      <c r="J533" s="19"/>
      <c r="K533" s="19"/>
      <c r="L533" s="19"/>
      <c r="M533" s="19"/>
      <c r="N533" s="19">
        <v>8</v>
      </c>
      <c r="O533" s="19">
        <v>35</v>
      </c>
      <c r="P533" s="19"/>
      <c r="Q533" s="19" t="s">
        <v>395</v>
      </c>
      <c r="R533" s="19"/>
      <c r="S533" s="19"/>
      <c r="T533" s="19">
        <v>2</v>
      </c>
      <c r="U533" s="20">
        <f t="shared" si="90"/>
        <v>0</v>
      </c>
      <c r="V533" s="19" t="s">
        <v>1221</v>
      </c>
      <c r="W533" s="19"/>
      <c r="X533" s="19"/>
      <c r="Y533" s="21">
        <v>0</v>
      </c>
      <c r="Z533" s="92">
        <v>1.3</v>
      </c>
      <c r="AA533" s="92">
        <v>1.2949999999999999</v>
      </c>
    </row>
    <row r="534" spans="1:27" x14ac:dyDescent="0.25">
      <c r="A534" s="33">
        <f t="shared" si="80"/>
        <v>531</v>
      </c>
      <c r="B534" s="19">
        <v>17000</v>
      </c>
      <c r="C534" s="19"/>
      <c r="D534" s="19" t="s">
        <v>1217</v>
      </c>
      <c r="E534" s="22" t="s">
        <v>988</v>
      </c>
      <c r="F534" s="19"/>
      <c r="G534" s="19"/>
      <c r="H534" s="19" t="s">
        <v>1219</v>
      </c>
      <c r="I534" s="19" t="s">
        <v>1072</v>
      </c>
      <c r="J534" s="19"/>
      <c r="K534" s="19"/>
      <c r="L534" s="19"/>
      <c r="M534" s="19"/>
      <c r="N534" s="19">
        <v>8</v>
      </c>
      <c r="O534" s="19">
        <v>35</v>
      </c>
      <c r="P534" s="19"/>
      <c r="Q534" s="19" t="s">
        <v>395</v>
      </c>
      <c r="R534" s="19"/>
      <c r="S534" s="19"/>
      <c r="T534" s="19">
        <v>3</v>
      </c>
      <c r="U534" s="20">
        <f t="shared" si="90"/>
        <v>0</v>
      </c>
      <c r="V534" s="19" t="s">
        <v>1221</v>
      </c>
      <c r="W534" s="19"/>
      <c r="X534" s="19"/>
      <c r="Y534" s="21">
        <v>0</v>
      </c>
      <c r="Z534" s="92">
        <v>1.3</v>
      </c>
      <c r="AA534" s="92">
        <v>1.2949999999999999</v>
      </c>
    </row>
    <row r="535" spans="1:27" x14ac:dyDescent="0.25">
      <c r="A535" s="33">
        <f t="shared" si="80"/>
        <v>532</v>
      </c>
      <c r="B535" s="19">
        <v>17000</v>
      </c>
      <c r="C535" s="19"/>
      <c r="D535" s="19" t="s">
        <v>1217</v>
      </c>
      <c r="E535" s="22" t="s">
        <v>988</v>
      </c>
      <c r="F535" s="19"/>
      <c r="G535" s="19"/>
      <c r="H535" s="19" t="s">
        <v>1043</v>
      </c>
      <c r="I535" s="19" t="s">
        <v>1072</v>
      </c>
      <c r="J535" s="19"/>
      <c r="K535" s="19"/>
      <c r="L535" s="19"/>
      <c r="M535" s="19"/>
      <c r="N535" s="19">
        <v>8</v>
      </c>
      <c r="O535" s="19">
        <v>35</v>
      </c>
      <c r="P535" s="19"/>
      <c r="Q535" s="19" t="s">
        <v>395</v>
      </c>
      <c r="R535" s="19"/>
      <c r="S535" s="19"/>
      <c r="T535" s="19">
        <v>4</v>
      </c>
      <c r="U535" s="20">
        <f t="shared" si="90"/>
        <v>0</v>
      </c>
      <c r="V535" s="19" t="s">
        <v>1221</v>
      </c>
      <c r="W535" s="19"/>
      <c r="X535" s="19"/>
      <c r="Y535" s="21">
        <v>0</v>
      </c>
      <c r="Z535" s="92">
        <v>1.3</v>
      </c>
      <c r="AA535" s="92">
        <v>1.2949999999999999</v>
      </c>
    </row>
    <row r="536" spans="1:27" x14ac:dyDescent="0.25">
      <c r="A536" s="33">
        <f t="shared" si="80"/>
        <v>533</v>
      </c>
      <c r="B536" s="19">
        <v>17000</v>
      </c>
      <c r="C536" s="19"/>
      <c r="D536" s="19" t="s">
        <v>1217</v>
      </c>
      <c r="E536" s="22" t="s">
        <v>988</v>
      </c>
      <c r="F536" s="19"/>
      <c r="G536" s="19"/>
      <c r="H536" s="19">
        <v>60</v>
      </c>
      <c r="I536" s="19" t="s">
        <v>1072</v>
      </c>
      <c r="J536" s="19"/>
      <c r="K536" s="19"/>
      <c r="L536" s="19"/>
      <c r="M536" s="19"/>
      <c r="N536" s="19">
        <v>8</v>
      </c>
      <c r="O536" s="19">
        <v>35</v>
      </c>
      <c r="P536" s="19"/>
      <c r="Q536" s="19" t="s">
        <v>395</v>
      </c>
      <c r="R536" s="19"/>
      <c r="S536" s="19"/>
      <c r="T536" s="19">
        <v>5</v>
      </c>
      <c r="U536" s="20">
        <f t="shared" si="90"/>
        <v>0</v>
      </c>
      <c r="V536" s="19" t="s">
        <v>1221</v>
      </c>
      <c r="W536" s="19"/>
      <c r="X536" s="19"/>
      <c r="Y536" s="21">
        <v>0</v>
      </c>
      <c r="Z536" s="92">
        <v>1.3</v>
      </c>
      <c r="AA536" s="92">
        <v>1.2949999999999999</v>
      </c>
    </row>
    <row r="537" spans="1:27" x14ac:dyDescent="0.25">
      <c r="A537" s="33">
        <f t="shared" si="80"/>
        <v>534</v>
      </c>
      <c r="B537" s="19">
        <v>17000</v>
      </c>
      <c r="C537" s="19"/>
      <c r="D537" s="19" t="s">
        <v>1217</v>
      </c>
      <c r="E537" s="22" t="s">
        <v>988</v>
      </c>
      <c r="F537" s="19"/>
      <c r="G537" s="19"/>
      <c r="H537" s="19" t="s">
        <v>384</v>
      </c>
      <c r="I537" s="19" t="s">
        <v>1072</v>
      </c>
      <c r="J537" s="19"/>
      <c r="K537" s="19"/>
      <c r="L537" s="19"/>
      <c r="M537" s="19"/>
      <c r="N537" s="19">
        <v>8</v>
      </c>
      <c r="O537" s="19">
        <v>40</v>
      </c>
      <c r="P537" s="19"/>
      <c r="Q537" s="19" t="s">
        <v>395</v>
      </c>
      <c r="R537" s="19"/>
      <c r="S537" s="19"/>
      <c r="T537" s="19">
        <v>1</v>
      </c>
      <c r="U537" s="20">
        <f t="shared" si="90"/>
        <v>0</v>
      </c>
      <c r="V537" s="19" t="s">
        <v>1222</v>
      </c>
      <c r="W537" s="19"/>
      <c r="X537" s="19"/>
      <c r="Y537" s="21">
        <v>0</v>
      </c>
      <c r="Z537" s="92">
        <v>1.3</v>
      </c>
      <c r="AA537" s="92">
        <v>1.2949999999999999</v>
      </c>
    </row>
    <row r="538" spans="1:27" x14ac:dyDescent="0.25">
      <c r="A538" s="33">
        <f t="shared" si="80"/>
        <v>535</v>
      </c>
      <c r="B538" s="19">
        <v>17000</v>
      </c>
      <c r="C538" s="19"/>
      <c r="D538" s="19" t="s">
        <v>1217</v>
      </c>
      <c r="E538" s="22" t="s">
        <v>988</v>
      </c>
      <c r="F538" s="19"/>
      <c r="G538" s="19"/>
      <c r="H538" s="19" t="s">
        <v>387</v>
      </c>
      <c r="I538" s="19" t="s">
        <v>1072</v>
      </c>
      <c r="J538" s="19"/>
      <c r="K538" s="19"/>
      <c r="L538" s="19"/>
      <c r="M538" s="19"/>
      <c r="N538" s="19">
        <v>8</v>
      </c>
      <c r="O538" s="19">
        <v>40</v>
      </c>
      <c r="P538" s="19"/>
      <c r="Q538" s="19" t="s">
        <v>395</v>
      </c>
      <c r="R538" s="19"/>
      <c r="S538" s="19"/>
      <c r="T538" s="19">
        <v>2</v>
      </c>
      <c r="U538" s="20">
        <f t="shared" si="90"/>
        <v>0</v>
      </c>
      <c r="V538" s="19" t="s">
        <v>1222</v>
      </c>
      <c r="W538" s="19"/>
      <c r="X538" s="19"/>
      <c r="Y538" s="21">
        <v>0</v>
      </c>
      <c r="Z538" s="92">
        <v>1.3</v>
      </c>
      <c r="AA538" s="92">
        <v>1.2949999999999999</v>
      </c>
    </row>
    <row r="539" spans="1:27" x14ac:dyDescent="0.25">
      <c r="A539" s="33">
        <f t="shared" si="80"/>
        <v>536</v>
      </c>
      <c r="B539" s="19">
        <v>17000</v>
      </c>
      <c r="C539" s="19"/>
      <c r="D539" s="19" t="s">
        <v>1217</v>
      </c>
      <c r="E539" s="22" t="s">
        <v>988</v>
      </c>
      <c r="F539" s="19"/>
      <c r="G539" s="19"/>
      <c r="H539" s="19" t="s">
        <v>1219</v>
      </c>
      <c r="I539" s="19" t="s">
        <v>1072</v>
      </c>
      <c r="J539" s="19"/>
      <c r="K539" s="19"/>
      <c r="L539" s="19"/>
      <c r="M539" s="19"/>
      <c r="N539" s="19">
        <v>8</v>
      </c>
      <c r="O539" s="19">
        <v>40</v>
      </c>
      <c r="P539" s="19"/>
      <c r="Q539" s="19" t="s">
        <v>395</v>
      </c>
      <c r="R539" s="19"/>
      <c r="S539" s="19"/>
      <c r="T539" s="19">
        <v>3</v>
      </c>
      <c r="U539" s="20">
        <f t="shared" si="90"/>
        <v>0</v>
      </c>
      <c r="V539" s="19" t="s">
        <v>1222</v>
      </c>
      <c r="W539" s="19"/>
      <c r="X539" s="19"/>
      <c r="Y539" s="21">
        <v>0</v>
      </c>
      <c r="Z539" s="92">
        <v>1.3</v>
      </c>
      <c r="AA539" s="92">
        <v>1.2949999999999999</v>
      </c>
    </row>
    <row r="540" spans="1:27" x14ac:dyDescent="0.25">
      <c r="A540" s="33">
        <f t="shared" si="80"/>
        <v>537</v>
      </c>
      <c r="B540" s="19">
        <v>17000</v>
      </c>
      <c r="C540" s="19"/>
      <c r="D540" s="19" t="s">
        <v>1217</v>
      </c>
      <c r="E540" s="22" t="s">
        <v>988</v>
      </c>
      <c r="F540" s="19"/>
      <c r="G540" s="19"/>
      <c r="H540" s="19" t="s">
        <v>1043</v>
      </c>
      <c r="I540" s="19" t="s">
        <v>1072</v>
      </c>
      <c r="J540" s="19"/>
      <c r="K540" s="19"/>
      <c r="L540" s="19"/>
      <c r="M540" s="19"/>
      <c r="N540" s="19">
        <v>8</v>
      </c>
      <c r="O540" s="19">
        <v>40</v>
      </c>
      <c r="P540" s="19"/>
      <c r="Q540" s="19" t="s">
        <v>395</v>
      </c>
      <c r="R540" s="19"/>
      <c r="S540" s="19"/>
      <c r="T540" s="19">
        <v>4</v>
      </c>
      <c r="U540" s="20">
        <f t="shared" si="90"/>
        <v>0</v>
      </c>
      <c r="V540" s="19" t="s">
        <v>1222</v>
      </c>
      <c r="W540" s="19"/>
      <c r="X540" s="19"/>
      <c r="Y540" s="21">
        <v>0</v>
      </c>
      <c r="Z540" s="92">
        <v>1.3</v>
      </c>
      <c r="AA540" s="92">
        <v>1.2949999999999999</v>
      </c>
    </row>
    <row r="541" spans="1:27" x14ac:dyDescent="0.25">
      <c r="A541" s="33">
        <f t="shared" si="80"/>
        <v>538</v>
      </c>
      <c r="B541" s="19">
        <v>17000</v>
      </c>
      <c r="C541" s="19"/>
      <c r="D541" s="19" t="s">
        <v>1217</v>
      </c>
      <c r="E541" s="22" t="s">
        <v>988</v>
      </c>
      <c r="F541" s="19"/>
      <c r="G541" s="19"/>
      <c r="H541" s="19">
        <v>60</v>
      </c>
      <c r="I541" s="19" t="s">
        <v>1072</v>
      </c>
      <c r="J541" s="19"/>
      <c r="K541" s="19"/>
      <c r="L541" s="19"/>
      <c r="M541" s="19"/>
      <c r="N541" s="19">
        <v>8</v>
      </c>
      <c r="O541" s="19">
        <v>40</v>
      </c>
      <c r="P541" s="19"/>
      <c r="Q541" s="19" t="s">
        <v>395</v>
      </c>
      <c r="R541" s="19"/>
      <c r="S541" s="19"/>
      <c r="T541" s="19">
        <v>5</v>
      </c>
      <c r="U541" s="20">
        <f t="shared" si="90"/>
        <v>0</v>
      </c>
      <c r="V541" s="19" t="s">
        <v>1222</v>
      </c>
      <c r="W541" s="19"/>
      <c r="X541" s="19"/>
      <c r="Y541" s="21">
        <v>0</v>
      </c>
      <c r="Z541" s="92">
        <v>1.3</v>
      </c>
      <c r="AA541" s="92">
        <v>1.2949999999999999</v>
      </c>
    </row>
    <row r="542" spans="1:27" x14ac:dyDescent="0.25">
      <c r="A542" s="33">
        <f t="shared" si="80"/>
        <v>539</v>
      </c>
      <c r="B542" s="19">
        <v>17000</v>
      </c>
      <c r="C542" s="19" t="s">
        <v>1223</v>
      </c>
      <c r="D542" s="19" t="s">
        <v>1217</v>
      </c>
      <c r="E542" s="22" t="s">
        <v>988</v>
      </c>
      <c r="F542" s="19"/>
      <c r="G542" s="19"/>
      <c r="H542" s="19" t="s">
        <v>384</v>
      </c>
      <c r="I542" s="19" t="s">
        <v>1072</v>
      </c>
      <c r="J542" s="19"/>
      <c r="K542" s="19"/>
      <c r="L542" s="19"/>
      <c r="M542" s="19"/>
      <c r="N542" s="19">
        <v>9</v>
      </c>
      <c r="O542" s="19">
        <v>27</v>
      </c>
      <c r="P542" s="19"/>
      <c r="Q542" s="19" t="s">
        <v>395</v>
      </c>
      <c r="R542" s="19"/>
      <c r="S542" s="19"/>
      <c r="T542" s="19">
        <v>1</v>
      </c>
      <c r="U542" s="20">
        <f t="shared" si="90"/>
        <v>3.6850000000000005</v>
      </c>
      <c r="V542" s="19" t="s">
        <v>1224</v>
      </c>
      <c r="W542" s="19"/>
      <c r="X542" s="19"/>
      <c r="Y542" s="21">
        <v>3.35</v>
      </c>
      <c r="Z542" s="92">
        <v>1.3</v>
      </c>
      <c r="AA542" s="92">
        <v>1.2949999999999999</v>
      </c>
    </row>
    <row r="543" spans="1:27" x14ac:dyDescent="0.25">
      <c r="A543" s="33">
        <f t="shared" si="80"/>
        <v>540</v>
      </c>
      <c r="B543" s="19">
        <v>17000</v>
      </c>
      <c r="C543" s="19" t="s">
        <v>1223</v>
      </c>
      <c r="D543" s="19" t="s">
        <v>1217</v>
      </c>
      <c r="E543" s="22" t="s">
        <v>988</v>
      </c>
      <c r="F543" s="19"/>
      <c r="G543" s="19"/>
      <c r="H543" s="19" t="s">
        <v>387</v>
      </c>
      <c r="I543" s="19" t="s">
        <v>1072</v>
      </c>
      <c r="J543" s="19"/>
      <c r="K543" s="19"/>
      <c r="L543" s="19"/>
      <c r="M543" s="19"/>
      <c r="N543" s="19">
        <v>9</v>
      </c>
      <c r="O543" s="19">
        <v>27</v>
      </c>
      <c r="P543" s="19"/>
      <c r="Q543" s="19" t="s">
        <v>395</v>
      </c>
      <c r="R543" s="19"/>
      <c r="S543" s="19"/>
      <c r="T543" s="19">
        <v>2</v>
      </c>
      <c r="U543" s="20">
        <f t="shared" si="90"/>
        <v>3.6850000000000005</v>
      </c>
      <c r="V543" s="19" t="s">
        <v>1224</v>
      </c>
      <c r="W543" s="19"/>
      <c r="X543" s="19"/>
      <c r="Y543" s="21">
        <v>3.35</v>
      </c>
      <c r="Z543" s="92">
        <v>1.3</v>
      </c>
      <c r="AA543" s="92">
        <v>1.2949999999999999</v>
      </c>
    </row>
    <row r="544" spans="1:27" x14ac:dyDescent="0.25">
      <c r="A544" s="33">
        <f t="shared" si="80"/>
        <v>541</v>
      </c>
      <c r="B544" s="19">
        <v>17000</v>
      </c>
      <c r="C544" s="19" t="s">
        <v>1223</v>
      </c>
      <c r="D544" s="19" t="s">
        <v>1217</v>
      </c>
      <c r="E544" s="22" t="s">
        <v>988</v>
      </c>
      <c r="F544" s="19"/>
      <c r="G544" s="19"/>
      <c r="H544" s="19" t="s">
        <v>1219</v>
      </c>
      <c r="I544" s="19" t="s">
        <v>1072</v>
      </c>
      <c r="J544" s="19"/>
      <c r="K544" s="19"/>
      <c r="L544" s="19"/>
      <c r="M544" s="19"/>
      <c r="N544" s="19">
        <v>9</v>
      </c>
      <c r="O544" s="19">
        <v>27</v>
      </c>
      <c r="P544" s="19"/>
      <c r="Q544" s="19" t="s">
        <v>395</v>
      </c>
      <c r="R544" s="19"/>
      <c r="S544" s="19"/>
      <c r="T544" s="19">
        <v>3</v>
      </c>
      <c r="U544" s="20">
        <f t="shared" si="90"/>
        <v>3.6850000000000005</v>
      </c>
      <c r="V544" s="19" t="s">
        <v>1224</v>
      </c>
      <c r="W544" s="19"/>
      <c r="X544" s="19"/>
      <c r="Y544" s="21">
        <v>3.35</v>
      </c>
      <c r="Z544" s="92">
        <v>1.3</v>
      </c>
      <c r="AA544" s="92">
        <v>1.2949999999999999</v>
      </c>
    </row>
    <row r="545" spans="1:27" x14ac:dyDescent="0.25">
      <c r="A545" s="33">
        <f t="shared" si="80"/>
        <v>542</v>
      </c>
      <c r="B545" s="19">
        <v>17000</v>
      </c>
      <c r="C545" s="19" t="s">
        <v>1223</v>
      </c>
      <c r="D545" s="19" t="s">
        <v>1217</v>
      </c>
      <c r="E545" s="22" t="s">
        <v>988</v>
      </c>
      <c r="F545" s="19"/>
      <c r="G545" s="19"/>
      <c r="H545" s="19" t="s">
        <v>1043</v>
      </c>
      <c r="I545" s="19" t="s">
        <v>1072</v>
      </c>
      <c r="J545" s="19"/>
      <c r="K545" s="19"/>
      <c r="L545" s="19"/>
      <c r="M545" s="19"/>
      <c r="N545" s="19">
        <v>9</v>
      </c>
      <c r="O545" s="19">
        <v>27</v>
      </c>
      <c r="P545" s="19"/>
      <c r="Q545" s="19" t="s">
        <v>395</v>
      </c>
      <c r="R545" s="19"/>
      <c r="S545" s="19"/>
      <c r="T545" s="19">
        <v>4</v>
      </c>
      <c r="U545" s="20">
        <f t="shared" si="90"/>
        <v>3.6850000000000005</v>
      </c>
      <c r="V545" s="19" t="s">
        <v>1224</v>
      </c>
      <c r="W545" s="19"/>
      <c r="X545" s="19"/>
      <c r="Y545" s="21">
        <v>3.35</v>
      </c>
      <c r="Z545" s="92">
        <v>1.3</v>
      </c>
      <c r="AA545" s="92">
        <v>1.2949999999999999</v>
      </c>
    </row>
    <row r="546" spans="1:27" x14ac:dyDescent="0.25">
      <c r="A546" s="33">
        <f t="shared" si="80"/>
        <v>543</v>
      </c>
      <c r="B546" s="19">
        <v>17000</v>
      </c>
      <c r="C546" s="19" t="s">
        <v>1223</v>
      </c>
      <c r="D546" s="19" t="s">
        <v>1217</v>
      </c>
      <c r="E546" s="22" t="s">
        <v>988</v>
      </c>
      <c r="F546" s="19"/>
      <c r="G546" s="19"/>
      <c r="H546" s="19">
        <v>60</v>
      </c>
      <c r="I546" s="19" t="s">
        <v>1072</v>
      </c>
      <c r="J546" s="19"/>
      <c r="K546" s="19"/>
      <c r="L546" s="19"/>
      <c r="M546" s="19"/>
      <c r="N546" s="19">
        <v>9</v>
      </c>
      <c r="O546" s="19">
        <v>27</v>
      </c>
      <c r="P546" s="19"/>
      <c r="Q546" s="19" t="s">
        <v>395</v>
      </c>
      <c r="R546" s="19"/>
      <c r="S546" s="19"/>
      <c r="T546" s="19">
        <v>4</v>
      </c>
      <c r="U546" s="20">
        <f t="shared" si="90"/>
        <v>3.6850000000000005</v>
      </c>
      <c r="V546" s="19" t="s">
        <v>1224</v>
      </c>
      <c r="W546" s="19"/>
      <c r="X546" s="19"/>
      <c r="Y546" s="21">
        <v>3.35</v>
      </c>
      <c r="Z546" s="92">
        <v>1.3</v>
      </c>
      <c r="AA546" s="92">
        <v>1.2949999999999999</v>
      </c>
    </row>
    <row r="547" spans="1:27" x14ac:dyDescent="0.25">
      <c r="A547" s="33">
        <f t="shared" si="80"/>
        <v>544</v>
      </c>
      <c r="B547" s="19">
        <v>17000</v>
      </c>
      <c r="C547" s="19" t="s">
        <v>1225</v>
      </c>
      <c r="D547" s="19" t="s">
        <v>1217</v>
      </c>
      <c r="E547" s="22" t="s">
        <v>988</v>
      </c>
      <c r="F547" s="19"/>
      <c r="G547" s="19"/>
      <c r="H547" s="19" t="s">
        <v>384</v>
      </c>
      <c r="I547" s="19" t="s">
        <v>1072</v>
      </c>
      <c r="J547" s="19"/>
      <c r="K547" s="19"/>
      <c r="L547" s="19"/>
      <c r="M547" s="19"/>
      <c r="N547" s="19">
        <v>9</v>
      </c>
      <c r="O547" s="19">
        <v>30</v>
      </c>
      <c r="P547" s="19"/>
      <c r="Q547" s="19" t="s">
        <v>395</v>
      </c>
      <c r="R547" s="19"/>
      <c r="S547" s="19"/>
      <c r="T547" s="19">
        <v>1</v>
      </c>
      <c r="U547" s="20">
        <f t="shared" si="90"/>
        <v>3.6850000000000005</v>
      </c>
      <c r="V547" s="19" t="s">
        <v>1226</v>
      </c>
      <c r="W547" s="19"/>
      <c r="X547" s="19"/>
      <c r="Y547" s="21">
        <v>3.35</v>
      </c>
      <c r="Z547" s="92">
        <v>1.3</v>
      </c>
      <c r="AA547" s="92">
        <v>1.2949999999999999</v>
      </c>
    </row>
    <row r="548" spans="1:27" x14ac:dyDescent="0.25">
      <c r="A548" s="33">
        <f t="shared" si="80"/>
        <v>545</v>
      </c>
      <c r="B548" s="19">
        <v>17000</v>
      </c>
      <c r="C548" s="19" t="s">
        <v>1225</v>
      </c>
      <c r="D548" s="19" t="s">
        <v>1217</v>
      </c>
      <c r="E548" s="22" t="s">
        <v>988</v>
      </c>
      <c r="F548" s="19"/>
      <c r="G548" s="19"/>
      <c r="H548" s="19" t="s">
        <v>387</v>
      </c>
      <c r="I548" s="19" t="s">
        <v>1072</v>
      </c>
      <c r="J548" s="19"/>
      <c r="K548" s="19"/>
      <c r="L548" s="19"/>
      <c r="M548" s="19"/>
      <c r="N548" s="19">
        <v>9</v>
      </c>
      <c r="O548" s="19">
        <v>30</v>
      </c>
      <c r="P548" s="19"/>
      <c r="Q548" s="19" t="s">
        <v>395</v>
      </c>
      <c r="R548" s="19"/>
      <c r="S548" s="19"/>
      <c r="T548" s="19">
        <v>2</v>
      </c>
      <c r="U548" s="20">
        <f t="shared" si="90"/>
        <v>3.6850000000000005</v>
      </c>
      <c r="V548" s="19" t="s">
        <v>1226</v>
      </c>
      <c r="W548" s="19"/>
      <c r="X548" s="19"/>
      <c r="Y548" s="21">
        <v>3.35</v>
      </c>
      <c r="Z548" s="92">
        <v>1.3</v>
      </c>
      <c r="AA548" s="92">
        <v>1.2949999999999999</v>
      </c>
    </row>
    <row r="549" spans="1:27" x14ac:dyDescent="0.25">
      <c r="A549" s="33">
        <f t="shared" si="80"/>
        <v>546</v>
      </c>
      <c r="B549" s="19">
        <v>17000</v>
      </c>
      <c r="C549" s="19" t="s">
        <v>1225</v>
      </c>
      <c r="D549" s="19" t="s">
        <v>1217</v>
      </c>
      <c r="E549" s="22" t="s">
        <v>988</v>
      </c>
      <c r="F549" s="19"/>
      <c r="G549" s="19"/>
      <c r="H549" s="19" t="s">
        <v>1219</v>
      </c>
      <c r="I549" s="19" t="s">
        <v>1072</v>
      </c>
      <c r="J549" s="19"/>
      <c r="K549" s="19"/>
      <c r="L549" s="19"/>
      <c r="M549" s="19"/>
      <c r="N549" s="19">
        <v>9</v>
      </c>
      <c r="O549" s="19">
        <v>30</v>
      </c>
      <c r="P549" s="19"/>
      <c r="Q549" s="19" t="s">
        <v>395</v>
      </c>
      <c r="R549" s="19"/>
      <c r="S549" s="19"/>
      <c r="T549" s="19">
        <v>3</v>
      </c>
      <c r="U549" s="20">
        <f t="shared" si="90"/>
        <v>3.6850000000000005</v>
      </c>
      <c r="V549" s="19" t="s">
        <v>1226</v>
      </c>
      <c r="W549" s="19"/>
      <c r="X549" s="19"/>
      <c r="Y549" s="21">
        <v>3.35</v>
      </c>
      <c r="Z549" s="92">
        <v>1.3</v>
      </c>
      <c r="AA549" s="92">
        <v>1.2949999999999999</v>
      </c>
    </row>
    <row r="550" spans="1:27" x14ac:dyDescent="0.25">
      <c r="A550" s="33">
        <f t="shared" si="80"/>
        <v>547</v>
      </c>
      <c r="B550" s="19">
        <v>17000</v>
      </c>
      <c r="C550" s="19" t="s">
        <v>1225</v>
      </c>
      <c r="D550" s="19" t="s">
        <v>1217</v>
      </c>
      <c r="E550" s="22" t="s">
        <v>988</v>
      </c>
      <c r="F550" s="19"/>
      <c r="G550" s="19"/>
      <c r="H550" s="19" t="s">
        <v>1043</v>
      </c>
      <c r="I550" s="19" t="s">
        <v>1072</v>
      </c>
      <c r="J550" s="19"/>
      <c r="K550" s="19"/>
      <c r="L550" s="19"/>
      <c r="M550" s="19"/>
      <c r="N550" s="19">
        <v>9</v>
      </c>
      <c r="O550" s="19">
        <v>30</v>
      </c>
      <c r="P550" s="19"/>
      <c r="Q550" s="19" t="s">
        <v>395</v>
      </c>
      <c r="R550" s="19"/>
      <c r="S550" s="19"/>
      <c r="T550" s="19">
        <v>4</v>
      </c>
      <c r="U550" s="20">
        <f t="shared" si="90"/>
        <v>3.6850000000000005</v>
      </c>
      <c r="V550" s="19" t="s">
        <v>1226</v>
      </c>
      <c r="W550" s="19"/>
      <c r="X550" s="19"/>
      <c r="Y550" s="21">
        <v>3.35</v>
      </c>
      <c r="Z550" s="92">
        <v>1.3</v>
      </c>
      <c r="AA550" s="92">
        <v>1.2949999999999999</v>
      </c>
    </row>
    <row r="551" spans="1:27" x14ac:dyDescent="0.25">
      <c r="A551" s="33">
        <f t="shared" ref="A551:A614" si="91">ROW()-3</f>
        <v>548</v>
      </c>
      <c r="B551" s="19">
        <v>17000</v>
      </c>
      <c r="C551" s="19" t="s">
        <v>1225</v>
      </c>
      <c r="D551" s="19" t="s">
        <v>1217</v>
      </c>
      <c r="E551" s="22" t="s">
        <v>988</v>
      </c>
      <c r="F551" s="19"/>
      <c r="G551" s="19"/>
      <c r="H551" s="19">
        <v>60</v>
      </c>
      <c r="I551" s="19" t="s">
        <v>1072</v>
      </c>
      <c r="J551" s="19"/>
      <c r="K551" s="19"/>
      <c r="L551" s="19"/>
      <c r="M551" s="19"/>
      <c r="N551" s="19">
        <v>9</v>
      </c>
      <c r="O551" s="19">
        <v>30</v>
      </c>
      <c r="P551" s="19"/>
      <c r="Q551" s="19" t="s">
        <v>395</v>
      </c>
      <c r="R551" s="19"/>
      <c r="S551" s="19"/>
      <c r="T551" s="19">
        <v>4</v>
      </c>
      <c r="U551" s="20">
        <f t="shared" si="90"/>
        <v>3.6850000000000005</v>
      </c>
      <c r="V551" s="19" t="s">
        <v>1226</v>
      </c>
      <c r="W551" s="19"/>
      <c r="X551" s="19"/>
      <c r="Y551" s="21">
        <v>3.35</v>
      </c>
      <c r="Z551" s="92">
        <v>1.3</v>
      </c>
      <c r="AA551" s="92">
        <v>1.2949999999999999</v>
      </c>
    </row>
    <row r="552" spans="1:27" x14ac:dyDescent="0.25">
      <c r="A552" s="33">
        <f t="shared" si="91"/>
        <v>549</v>
      </c>
      <c r="B552" s="19">
        <v>17000</v>
      </c>
      <c r="C552" s="19" t="s">
        <v>1227</v>
      </c>
      <c r="D552" s="19" t="s">
        <v>1217</v>
      </c>
      <c r="E552" s="22" t="s">
        <v>988</v>
      </c>
      <c r="F552" s="19"/>
      <c r="G552" s="19"/>
      <c r="H552" s="19" t="s">
        <v>384</v>
      </c>
      <c r="I552" s="19" t="s">
        <v>1072</v>
      </c>
      <c r="J552" s="19"/>
      <c r="K552" s="19"/>
      <c r="L552" s="19"/>
      <c r="M552" s="19"/>
      <c r="N552" s="19">
        <v>9</v>
      </c>
      <c r="O552" s="19">
        <v>35</v>
      </c>
      <c r="P552" s="19"/>
      <c r="Q552" s="19" t="s">
        <v>395</v>
      </c>
      <c r="R552" s="19"/>
      <c r="S552" s="19"/>
      <c r="T552" s="19">
        <v>1</v>
      </c>
      <c r="U552" s="20">
        <f t="shared" si="90"/>
        <v>3.6850000000000005</v>
      </c>
      <c r="V552" s="19" t="s">
        <v>1228</v>
      </c>
      <c r="W552" s="19"/>
      <c r="X552" s="19"/>
      <c r="Y552" s="21">
        <v>3.35</v>
      </c>
      <c r="Z552" s="92">
        <v>1.3</v>
      </c>
      <c r="AA552" s="92">
        <v>1.2949999999999999</v>
      </c>
    </row>
    <row r="553" spans="1:27" x14ac:dyDescent="0.25">
      <c r="A553" s="33">
        <f t="shared" si="91"/>
        <v>550</v>
      </c>
      <c r="B553" s="19">
        <v>17000</v>
      </c>
      <c r="C553" s="19" t="s">
        <v>1227</v>
      </c>
      <c r="D553" s="19" t="s">
        <v>1217</v>
      </c>
      <c r="E553" s="22" t="s">
        <v>988</v>
      </c>
      <c r="F553" s="19"/>
      <c r="G553" s="19"/>
      <c r="H553" s="19" t="s">
        <v>387</v>
      </c>
      <c r="I553" s="19" t="s">
        <v>1072</v>
      </c>
      <c r="J553" s="19"/>
      <c r="K553" s="19"/>
      <c r="L553" s="19"/>
      <c r="M553" s="19"/>
      <c r="N553" s="19">
        <v>9</v>
      </c>
      <c r="O553" s="19">
        <v>35</v>
      </c>
      <c r="P553" s="19"/>
      <c r="Q553" s="19" t="s">
        <v>395</v>
      </c>
      <c r="R553" s="19"/>
      <c r="S553" s="19"/>
      <c r="T553" s="19">
        <v>2</v>
      </c>
      <c r="U553" s="20">
        <f t="shared" si="90"/>
        <v>3.6850000000000005</v>
      </c>
      <c r="V553" s="19" t="s">
        <v>1228</v>
      </c>
      <c r="W553" s="19"/>
      <c r="X553" s="19"/>
      <c r="Y553" s="21">
        <v>3.35</v>
      </c>
      <c r="Z553" s="92">
        <v>1.3</v>
      </c>
      <c r="AA553" s="92">
        <v>1.2949999999999999</v>
      </c>
    </row>
    <row r="554" spans="1:27" x14ac:dyDescent="0.25">
      <c r="A554" s="33">
        <f t="shared" si="91"/>
        <v>551</v>
      </c>
      <c r="B554" s="19">
        <v>17000</v>
      </c>
      <c r="C554" s="19" t="s">
        <v>1227</v>
      </c>
      <c r="D554" s="19" t="s">
        <v>1217</v>
      </c>
      <c r="E554" s="22" t="s">
        <v>988</v>
      </c>
      <c r="F554" s="19"/>
      <c r="G554" s="19"/>
      <c r="H554" s="19" t="s">
        <v>1219</v>
      </c>
      <c r="I554" s="19" t="s">
        <v>1072</v>
      </c>
      <c r="J554" s="19"/>
      <c r="K554" s="19"/>
      <c r="L554" s="19"/>
      <c r="M554" s="19"/>
      <c r="N554" s="19">
        <v>9</v>
      </c>
      <c r="O554" s="19">
        <v>35</v>
      </c>
      <c r="P554" s="19"/>
      <c r="Q554" s="19" t="s">
        <v>395</v>
      </c>
      <c r="R554" s="19"/>
      <c r="S554" s="19"/>
      <c r="T554" s="19">
        <v>3</v>
      </c>
      <c r="U554" s="20">
        <f t="shared" si="90"/>
        <v>3.6850000000000005</v>
      </c>
      <c r="V554" s="19" t="s">
        <v>1228</v>
      </c>
      <c r="W554" s="19"/>
      <c r="X554" s="19"/>
      <c r="Y554" s="21">
        <v>3.35</v>
      </c>
      <c r="Z554" s="92">
        <v>1.3</v>
      </c>
      <c r="AA554" s="92">
        <v>1.2949999999999999</v>
      </c>
    </row>
    <row r="555" spans="1:27" x14ac:dyDescent="0.25">
      <c r="A555" s="33">
        <f t="shared" si="91"/>
        <v>552</v>
      </c>
      <c r="B555" s="19">
        <v>17000</v>
      </c>
      <c r="C555" s="19" t="s">
        <v>1227</v>
      </c>
      <c r="D555" s="19" t="s">
        <v>1217</v>
      </c>
      <c r="E555" s="22" t="s">
        <v>988</v>
      </c>
      <c r="F555" s="19"/>
      <c r="G555" s="19"/>
      <c r="H555" s="19" t="s">
        <v>1043</v>
      </c>
      <c r="I555" s="19" t="s">
        <v>1072</v>
      </c>
      <c r="J555" s="19"/>
      <c r="K555" s="19"/>
      <c r="L555" s="19"/>
      <c r="M555" s="19"/>
      <c r="N555" s="19">
        <v>9</v>
      </c>
      <c r="O555" s="19">
        <v>35</v>
      </c>
      <c r="P555" s="19"/>
      <c r="Q555" s="19" t="s">
        <v>395</v>
      </c>
      <c r="R555" s="19"/>
      <c r="S555" s="19"/>
      <c r="T555" s="19">
        <v>4</v>
      </c>
      <c r="U555" s="20">
        <f t="shared" si="90"/>
        <v>3.6850000000000005</v>
      </c>
      <c r="V555" s="19" t="s">
        <v>1228</v>
      </c>
      <c r="W555" s="19"/>
      <c r="X555" s="19"/>
      <c r="Y555" s="21">
        <v>3.35</v>
      </c>
      <c r="Z555" s="92">
        <v>1.3</v>
      </c>
      <c r="AA555" s="92">
        <v>1.2949999999999999</v>
      </c>
    </row>
    <row r="556" spans="1:27" x14ac:dyDescent="0.25">
      <c r="A556" s="33">
        <f t="shared" si="91"/>
        <v>553</v>
      </c>
      <c r="B556" s="19">
        <v>17000</v>
      </c>
      <c r="C556" s="19" t="s">
        <v>1227</v>
      </c>
      <c r="D556" s="19" t="s">
        <v>1217</v>
      </c>
      <c r="E556" s="22" t="s">
        <v>988</v>
      </c>
      <c r="F556" s="19"/>
      <c r="G556" s="19"/>
      <c r="H556" s="19">
        <v>60</v>
      </c>
      <c r="I556" s="19" t="s">
        <v>1072</v>
      </c>
      <c r="J556" s="19"/>
      <c r="K556" s="19"/>
      <c r="L556" s="19"/>
      <c r="M556" s="19"/>
      <c r="N556" s="19">
        <v>9</v>
      </c>
      <c r="O556" s="19">
        <v>35</v>
      </c>
      <c r="P556" s="19"/>
      <c r="Q556" s="19" t="s">
        <v>395</v>
      </c>
      <c r="R556" s="19"/>
      <c r="S556" s="19"/>
      <c r="T556" s="19">
        <v>4</v>
      </c>
      <c r="U556" s="20">
        <f t="shared" si="90"/>
        <v>3.6850000000000005</v>
      </c>
      <c r="V556" s="19" t="s">
        <v>1228</v>
      </c>
      <c r="W556" s="19"/>
      <c r="X556" s="19"/>
      <c r="Y556" s="21">
        <v>3.35</v>
      </c>
      <c r="Z556" s="92">
        <v>1.3</v>
      </c>
      <c r="AA556" s="92">
        <v>1.2949999999999999</v>
      </c>
    </row>
    <row r="557" spans="1:27" x14ac:dyDescent="0.25">
      <c r="A557" s="33">
        <f t="shared" si="91"/>
        <v>554</v>
      </c>
      <c r="B557" s="19">
        <v>17000</v>
      </c>
      <c r="C557" s="19" t="s">
        <v>1229</v>
      </c>
      <c r="D557" s="19" t="s">
        <v>1217</v>
      </c>
      <c r="E557" s="22" t="s">
        <v>988</v>
      </c>
      <c r="F557" s="19"/>
      <c r="G557" s="19"/>
      <c r="H557" s="19" t="s">
        <v>384</v>
      </c>
      <c r="I557" s="19" t="s">
        <v>1072</v>
      </c>
      <c r="J557" s="19"/>
      <c r="K557" s="19"/>
      <c r="L557" s="19"/>
      <c r="M557" s="19"/>
      <c r="N557" s="19">
        <v>9</v>
      </c>
      <c r="O557" s="19">
        <v>40</v>
      </c>
      <c r="P557" s="19"/>
      <c r="Q557" s="19" t="s">
        <v>395</v>
      </c>
      <c r="R557" s="19"/>
      <c r="S557" s="19"/>
      <c r="T557" s="19">
        <v>1</v>
      </c>
      <c r="U557" s="20">
        <f t="shared" si="90"/>
        <v>3.6850000000000005</v>
      </c>
      <c r="V557" s="19" t="s">
        <v>1230</v>
      </c>
      <c r="W557" s="19"/>
      <c r="X557" s="19"/>
      <c r="Y557" s="21">
        <v>3.35</v>
      </c>
      <c r="Z557" s="92">
        <v>1.3</v>
      </c>
      <c r="AA557" s="92">
        <v>1.2949999999999999</v>
      </c>
    </row>
    <row r="558" spans="1:27" x14ac:dyDescent="0.25">
      <c r="A558" s="33">
        <f t="shared" si="91"/>
        <v>555</v>
      </c>
      <c r="B558" s="19">
        <v>17000</v>
      </c>
      <c r="C558" s="19" t="s">
        <v>1229</v>
      </c>
      <c r="D558" s="19" t="s">
        <v>1217</v>
      </c>
      <c r="E558" s="22" t="s">
        <v>988</v>
      </c>
      <c r="F558" s="19"/>
      <c r="G558" s="19"/>
      <c r="H558" s="19" t="s">
        <v>387</v>
      </c>
      <c r="I558" s="19" t="s">
        <v>1072</v>
      </c>
      <c r="J558" s="19"/>
      <c r="K558" s="19"/>
      <c r="L558" s="19"/>
      <c r="M558" s="19"/>
      <c r="N558" s="19">
        <v>9</v>
      </c>
      <c r="O558" s="19">
        <v>40</v>
      </c>
      <c r="P558" s="19"/>
      <c r="Q558" s="19" t="s">
        <v>395</v>
      </c>
      <c r="R558" s="19"/>
      <c r="S558" s="19"/>
      <c r="T558" s="19">
        <v>2</v>
      </c>
      <c r="U558" s="20">
        <f t="shared" si="90"/>
        <v>3.6850000000000005</v>
      </c>
      <c r="V558" s="19" t="s">
        <v>1230</v>
      </c>
      <c r="W558" s="19"/>
      <c r="X558" s="19"/>
      <c r="Y558" s="21">
        <v>3.35</v>
      </c>
      <c r="Z558" s="92">
        <v>1.3</v>
      </c>
      <c r="AA558" s="92">
        <v>1.2949999999999999</v>
      </c>
    </row>
    <row r="559" spans="1:27" x14ac:dyDescent="0.25">
      <c r="A559" s="33">
        <f t="shared" si="91"/>
        <v>556</v>
      </c>
      <c r="B559" s="19">
        <v>17000</v>
      </c>
      <c r="C559" s="19" t="s">
        <v>1229</v>
      </c>
      <c r="D559" s="19" t="s">
        <v>1217</v>
      </c>
      <c r="E559" s="22" t="s">
        <v>988</v>
      </c>
      <c r="F559" s="19"/>
      <c r="G559" s="19"/>
      <c r="H559" s="19" t="s">
        <v>1219</v>
      </c>
      <c r="I559" s="19" t="s">
        <v>1072</v>
      </c>
      <c r="J559" s="19"/>
      <c r="K559" s="19"/>
      <c r="L559" s="19"/>
      <c r="M559" s="19"/>
      <c r="N559" s="19">
        <v>9</v>
      </c>
      <c r="O559" s="19">
        <v>40</v>
      </c>
      <c r="P559" s="19"/>
      <c r="Q559" s="19" t="s">
        <v>395</v>
      </c>
      <c r="R559" s="19"/>
      <c r="S559" s="19"/>
      <c r="T559" s="19">
        <v>3</v>
      </c>
      <c r="U559" s="20">
        <f t="shared" si="90"/>
        <v>3.6850000000000005</v>
      </c>
      <c r="V559" s="19" t="s">
        <v>1230</v>
      </c>
      <c r="W559" s="19"/>
      <c r="X559" s="19"/>
      <c r="Y559" s="21">
        <v>3.35</v>
      </c>
      <c r="Z559" s="92">
        <v>1.3</v>
      </c>
      <c r="AA559" s="92">
        <v>1.2949999999999999</v>
      </c>
    </row>
    <row r="560" spans="1:27" x14ac:dyDescent="0.25">
      <c r="A560" s="33">
        <f t="shared" si="91"/>
        <v>557</v>
      </c>
      <c r="B560" s="19">
        <v>17000</v>
      </c>
      <c r="C560" s="19" t="s">
        <v>1229</v>
      </c>
      <c r="D560" s="19" t="s">
        <v>1217</v>
      </c>
      <c r="E560" s="22" t="s">
        <v>988</v>
      </c>
      <c r="F560" s="19"/>
      <c r="G560" s="19"/>
      <c r="H560" s="19" t="s">
        <v>1043</v>
      </c>
      <c r="I560" s="19" t="s">
        <v>1072</v>
      </c>
      <c r="J560" s="19"/>
      <c r="K560" s="19"/>
      <c r="L560" s="19"/>
      <c r="M560" s="19"/>
      <c r="N560" s="19">
        <v>9</v>
      </c>
      <c r="O560" s="19">
        <v>40</v>
      </c>
      <c r="P560" s="19"/>
      <c r="Q560" s="19" t="s">
        <v>395</v>
      </c>
      <c r="R560" s="19"/>
      <c r="S560" s="19"/>
      <c r="T560" s="19">
        <v>4</v>
      </c>
      <c r="U560" s="20">
        <f t="shared" si="90"/>
        <v>3.6850000000000005</v>
      </c>
      <c r="V560" s="19" t="s">
        <v>1230</v>
      </c>
      <c r="W560" s="19"/>
      <c r="X560" s="19"/>
      <c r="Y560" s="21">
        <v>3.35</v>
      </c>
      <c r="Z560" s="92">
        <v>1.3</v>
      </c>
      <c r="AA560" s="92">
        <v>1.2949999999999999</v>
      </c>
    </row>
    <row r="561" spans="1:27" x14ac:dyDescent="0.25">
      <c r="A561" s="33">
        <f t="shared" si="91"/>
        <v>558</v>
      </c>
      <c r="B561" s="19">
        <v>17000</v>
      </c>
      <c r="C561" s="19" t="s">
        <v>1229</v>
      </c>
      <c r="D561" s="19" t="s">
        <v>1217</v>
      </c>
      <c r="E561" s="22" t="s">
        <v>988</v>
      </c>
      <c r="F561" s="19"/>
      <c r="G561" s="19"/>
      <c r="H561" s="19">
        <v>60</v>
      </c>
      <c r="I561" s="19" t="s">
        <v>1072</v>
      </c>
      <c r="J561" s="19"/>
      <c r="K561" s="19"/>
      <c r="L561" s="19"/>
      <c r="M561" s="19"/>
      <c r="N561" s="19">
        <v>9</v>
      </c>
      <c r="O561" s="19">
        <v>40</v>
      </c>
      <c r="P561" s="19"/>
      <c r="Q561" s="19" t="s">
        <v>395</v>
      </c>
      <c r="R561" s="19"/>
      <c r="S561" s="19"/>
      <c r="T561" s="19">
        <v>4</v>
      </c>
      <c r="U561" s="20">
        <f t="shared" si="90"/>
        <v>3.6850000000000005</v>
      </c>
      <c r="V561" s="19" t="s">
        <v>1230</v>
      </c>
      <c r="W561" s="19"/>
      <c r="X561" s="19"/>
      <c r="Y561" s="21">
        <v>3.35</v>
      </c>
      <c r="Z561" s="92">
        <v>1.3</v>
      </c>
      <c r="AA561" s="92">
        <v>1.2949999999999999</v>
      </c>
    </row>
    <row r="562" spans="1:27" x14ac:dyDescent="0.25">
      <c r="A562" s="33">
        <f t="shared" si="91"/>
        <v>559</v>
      </c>
      <c r="B562" s="210" t="s">
        <v>1231</v>
      </c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1"/>
      <c r="X562" s="19"/>
      <c r="Y562" s="74"/>
      <c r="Z562" s="76"/>
      <c r="AA562" s="76"/>
    </row>
    <row r="563" spans="1:27" x14ac:dyDescent="0.25">
      <c r="A563" s="33">
        <f t="shared" si="91"/>
        <v>560</v>
      </c>
      <c r="B563" s="19">
        <v>17210</v>
      </c>
      <c r="C563" s="19"/>
      <c r="D563" s="19" t="s">
        <v>1217</v>
      </c>
      <c r="E563" s="22" t="s">
        <v>368</v>
      </c>
      <c r="F563" s="19"/>
      <c r="G563" s="19"/>
      <c r="H563" s="19" t="s">
        <v>384</v>
      </c>
      <c r="I563" s="19" t="s">
        <v>1072</v>
      </c>
      <c r="J563" s="19"/>
      <c r="K563" s="19"/>
      <c r="L563" s="19"/>
      <c r="M563" s="19"/>
      <c r="N563" s="19">
        <v>8</v>
      </c>
      <c r="O563" s="19">
        <v>27</v>
      </c>
      <c r="P563" s="19"/>
      <c r="Q563" s="19" t="s">
        <v>395</v>
      </c>
      <c r="R563" s="19"/>
      <c r="S563" s="19"/>
      <c r="T563" s="19">
        <v>1</v>
      </c>
      <c r="U563" s="20">
        <f t="shared" ref="U563:U602" si="92">Y563*1.1</f>
        <v>0</v>
      </c>
      <c r="V563" s="19" t="s">
        <v>1232</v>
      </c>
      <c r="W563" s="19"/>
      <c r="X563" s="19"/>
      <c r="Y563" s="21">
        <v>0</v>
      </c>
      <c r="Z563" s="92">
        <v>1.3</v>
      </c>
      <c r="AA563" s="92">
        <v>1.2949999999999999</v>
      </c>
    </row>
    <row r="564" spans="1:27" x14ac:dyDescent="0.25">
      <c r="A564" s="33">
        <f t="shared" si="91"/>
        <v>561</v>
      </c>
      <c r="B564" s="19">
        <v>17210</v>
      </c>
      <c r="C564" s="19"/>
      <c r="D564" s="19" t="s">
        <v>1217</v>
      </c>
      <c r="E564" s="22" t="s">
        <v>368</v>
      </c>
      <c r="F564" s="19"/>
      <c r="G564" s="19"/>
      <c r="H564" s="19" t="s">
        <v>387</v>
      </c>
      <c r="I564" s="19" t="s">
        <v>1072</v>
      </c>
      <c r="J564" s="19"/>
      <c r="K564" s="19"/>
      <c r="L564" s="19"/>
      <c r="M564" s="19"/>
      <c r="N564" s="19">
        <v>8</v>
      </c>
      <c r="O564" s="19">
        <v>27</v>
      </c>
      <c r="P564" s="19"/>
      <c r="Q564" s="19" t="s">
        <v>395</v>
      </c>
      <c r="R564" s="19"/>
      <c r="S564" s="19"/>
      <c r="T564" s="19">
        <v>2</v>
      </c>
      <c r="U564" s="20">
        <f t="shared" si="92"/>
        <v>0</v>
      </c>
      <c r="V564" s="19" t="s">
        <v>1232</v>
      </c>
      <c r="W564" s="19"/>
      <c r="X564" s="19"/>
      <c r="Y564" s="21">
        <v>0</v>
      </c>
      <c r="Z564" s="92">
        <v>1.3</v>
      </c>
      <c r="AA564" s="92">
        <v>1.2949999999999999</v>
      </c>
    </row>
    <row r="565" spans="1:27" x14ac:dyDescent="0.25">
      <c r="A565" s="33">
        <f t="shared" si="91"/>
        <v>562</v>
      </c>
      <c r="B565" s="19">
        <v>17210</v>
      </c>
      <c r="C565" s="19"/>
      <c r="D565" s="19" t="s">
        <v>1217</v>
      </c>
      <c r="E565" s="22" t="s">
        <v>368</v>
      </c>
      <c r="F565" s="19"/>
      <c r="G565" s="19"/>
      <c r="H565" s="19" t="s">
        <v>1219</v>
      </c>
      <c r="I565" s="19" t="s">
        <v>1072</v>
      </c>
      <c r="J565" s="19"/>
      <c r="K565" s="19"/>
      <c r="L565" s="19"/>
      <c r="M565" s="19"/>
      <c r="N565" s="19">
        <v>8</v>
      </c>
      <c r="O565" s="19">
        <v>27</v>
      </c>
      <c r="P565" s="19"/>
      <c r="Q565" s="19" t="s">
        <v>395</v>
      </c>
      <c r="R565" s="19"/>
      <c r="S565" s="19"/>
      <c r="T565" s="19">
        <v>3</v>
      </c>
      <c r="U565" s="20">
        <f t="shared" si="92"/>
        <v>0</v>
      </c>
      <c r="V565" s="19" t="s">
        <v>1232</v>
      </c>
      <c r="W565" s="19"/>
      <c r="X565" s="19"/>
      <c r="Y565" s="21">
        <v>0</v>
      </c>
      <c r="Z565" s="92">
        <v>1.3</v>
      </c>
      <c r="AA565" s="92">
        <v>1.2949999999999999</v>
      </c>
    </row>
    <row r="566" spans="1:27" x14ac:dyDescent="0.25">
      <c r="A566" s="33">
        <f t="shared" si="91"/>
        <v>563</v>
      </c>
      <c r="B566" s="19">
        <v>17210</v>
      </c>
      <c r="C566" s="19"/>
      <c r="D566" s="19" t="s">
        <v>1217</v>
      </c>
      <c r="E566" s="22" t="s">
        <v>368</v>
      </c>
      <c r="F566" s="19"/>
      <c r="G566" s="19"/>
      <c r="H566" s="19" t="s">
        <v>1043</v>
      </c>
      <c r="I566" s="19" t="s">
        <v>1072</v>
      </c>
      <c r="J566" s="19"/>
      <c r="K566" s="19"/>
      <c r="L566" s="19"/>
      <c r="M566" s="19"/>
      <c r="N566" s="19">
        <v>8</v>
      </c>
      <c r="O566" s="19">
        <v>27</v>
      </c>
      <c r="P566" s="19"/>
      <c r="Q566" s="19" t="s">
        <v>395</v>
      </c>
      <c r="R566" s="19"/>
      <c r="S566" s="19"/>
      <c r="T566" s="19">
        <v>4</v>
      </c>
      <c r="U566" s="20">
        <f t="shared" si="92"/>
        <v>0</v>
      </c>
      <c r="V566" s="19" t="s">
        <v>1232</v>
      </c>
      <c r="W566" s="19"/>
      <c r="X566" s="19"/>
      <c r="Y566" s="21">
        <v>0</v>
      </c>
      <c r="Z566" s="92">
        <v>1.3</v>
      </c>
      <c r="AA566" s="92">
        <v>1.2949999999999999</v>
      </c>
    </row>
    <row r="567" spans="1:27" x14ac:dyDescent="0.25">
      <c r="A567" s="33">
        <f t="shared" si="91"/>
        <v>564</v>
      </c>
      <c r="B567" s="19">
        <v>17210</v>
      </c>
      <c r="C567" s="19"/>
      <c r="D567" s="19" t="s">
        <v>1217</v>
      </c>
      <c r="E567" s="22" t="s">
        <v>368</v>
      </c>
      <c r="F567" s="19"/>
      <c r="G567" s="19"/>
      <c r="H567" s="19">
        <v>60</v>
      </c>
      <c r="I567" s="19" t="s">
        <v>1072</v>
      </c>
      <c r="J567" s="19"/>
      <c r="K567" s="19"/>
      <c r="L567" s="19"/>
      <c r="M567" s="19"/>
      <c r="N567" s="19">
        <v>8</v>
      </c>
      <c r="O567" s="19">
        <v>27</v>
      </c>
      <c r="P567" s="19"/>
      <c r="Q567" s="19" t="s">
        <v>395</v>
      </c>
      <c r="R567" s="19"/>
      <c r="S567" s="19"/>
      <c r="T567" s="19">
        <v>5</v>
      </c>
      <c r="U567" s="20">
        <f t="shared" si="92"/>
        <v>0</v>
      </c>
      <c r="V567" s="19" t="s">
        <v>1232</v>
      </c>
      <c r="W567" s="19"/>
      <c r="X567" s="19"/>
      <c r="Y567" s="21">
        <v>0</v>
      </c>
      <c r="Z567" s="92">
        <v>1.3</v>
      </c>
      <c r="AA567" s="92">
        <v>1.2949999999999999</v>
      </c>
    </row>
    <row r="568" spans="1:27" x14ac:dyDescent="0.25">
      <c r="A568" s="33">
        <f t="shared" si="91"/>
        <v>565</v>
      </c>
      <c r="B568" s="19">
        <v>17210</v>
      </c>
      <c r="C568" s="19"/>
      <c r="D568" s="19" t="s">
        <v>1217</v>
      </c>
      <c r="E568" s="22" t="s">
        <v>368</v>
      </c>
      <c r="F568" s="19"/>
      <c r="G568" s="19"/>
      <c r="H568" s="19" t="s">
        <v>384</v>
      </c>
      <c r="I568" s="19" t="s">
        <v>1072</v>
      </c>
      <c r="J568" s="19"/>
      <c r="K568" s="19"/>
      <c r="L568" s="19"/>
      <c r="M568" s="19"/>
      <c r="N568" s="19">
        <v>8</v>
      </c>
      <c r="O568" s="19">
        <v>30</v>
      </c>
      <c r="P568" s="19"/>
      <c r="Q568" s="19" t="s">
        <v>395</v>
      </c>
      <c r="R568" s="19"/>
      <c r="S568" s="19"/>
      <c r="T568" s="19">
        <v>1</v>
      </c>
      <c r="U568" s="20">
        <f t="shared" si="92"/>
        <v>0</v>
      </c>
      <c r="V568" s="19" t="s">
        <v>1233</v>
      </c>
      <c r="W568" s="19"/>
      <c r="X568" s="19"/>
      <c r="Y568" s="21">
        <v>0</v>
      </c>
      <c r="Z568" s="92">
        <v>1.3</v>
      </c>
      <c r="AA568" s="92">
        <v>1.2949999999999999</v>
      </c>
    </row>
    <row r="569" spans="1:27" x14ac:dyDescent="0.25">
      <c r="A569" s="33">
        <f t="shared" si="91"/>
        <v>566</v>
      </c>
      <c r="B569" s="19">
        <v>17210</v>
      </c>
      <c r="C569" s="19"/>
      <c r="D569" s="19" t="s">
        <v>1217</v>
      </c>
      <c r="E569" s="22" t="s">
        <v>368</v>
      </c>
      <c r="F569" s="19"/>
      <c r="G569" s="19"/>
      <c r="H569" s="19" t="s">
        <v>387</v>
      </c>
      <c r="I569" s="19" t="s">
        <v>1072</v>
      </c>
      <c r="J569" s="19"/>
      <c r="K569" s="19"/>
      <c r="L569" s="19"/>
      <c r="M569" s="19"/>
      <c r="N569" s="19">
        <v>8</v>
      </c>
      <c r="O569" s="19">
        <v>30</v>
      </c>
      <c r="P569" s="19"/>
      <c r="Q569" s="19" t="s">
        <v>395</v>
      </c>
      <c r="R569" s="19"/>
      <c r="S569" s="19"/>
      <c r="T569" s="19">
        <v>2</v>
      </c>
      <c r="U569" s="20">
        <f t="shared" si="92"/>
        <v>0</v>
      </c>
      <c r="V569" s="19" t="s">
        <v>1233</v>
      </c>
      <c r="W569" s="19"/>
      <c r="X569" s="19"/>
      <c r="Y569" s="21">
        <v>0</v>
      </c>
      <c r="Z569" s="92">
        <v>1.3</v>
      </c>
      <c r="AA569" s="92">
        <v>1.2949999999999999</v>
      </c>
    </row>
    <row r="570" spans="1:27" x14ac:dyDescent="0.25">
      <c r="A570" s="33">
        <f t="shared" si="91"/>
        <v>567</v>
      </c>
      <c r="B570" s="19">
        <v>17210</v>
      </c>
      <c r="C570" s="19"/>
      <c r="D570" s="19" t="s">
        <v>1217</v>
      </c>
      <c r="E570" s="22" t="s">
        <v>368</v>
      </c>
      <c r="F570" s="19"/>
      <c r="G570" s="19"/>
      <c r="H570" s="19" t="s">
        <v>1219</v>
      </c>
      <c r="I570" s="19" t="s">
        <v>1072</v>
      </c>
      <c r="J570" s="19"/>
      <c r="K570" s="19"/>
      <c r="L570" s="19"/>
      <c r="M570" s="19"/>
      <c r="N570" s="19">
        <v>8</v>
      </c>
      <c r="O570" s="19">
        <v>30</v>
      </c>
      <c r="P570" s="19"/>
      <c r="Q570" s="19" t="s">
        <v>395</v>
      </c>
      <c r="R570" s="19"/>
      <c r="S570" s="19"/>
      <c r="T570" s="19">
        <v>3</v>
      </c>
      <c r="U570" s="20">
        <f t="shared" si="92"/>
        <v>0</v>
      </c>
      <c r="V570" s="19" t="s">
        <v>1233</v>
      </c>
      <c r="W570" s="19"/>
      <c r="X570" s="19"/>
      <c r="Y570" s="21">
        <v>0</v>
      </c>
      <c r="Z570" s="92">
        <v>1.3</v>
      </c>
      <c r="AA570" s="92">
        <v>1.2949999999999999</v>
      </c>
    </row>
    <row r="571" spans="1:27" x14ac:dyDescent="0.25">
      <c r="A571" s="33">
        <f t="shared" si="91"/>
        <v>568</v>
      </c>
      <c r="B571" s="19">
        <v>17210</v>
      </c>
      <c r="C571" s="19"/>
      <c r="D571" s="19" t="s">
        <v>1217</v>
      </c>
      <c r="E571" s="22" t="s">
        <v>368</v>
      </c>
      <c r="F571" s="19"/>
      <c r="G571" s="19"/>
      <c r="H571" s="19" t="s">
        <v>1043</v>
      </c>
      <c r="I571" s="19" t="s">
        <v>1072</v>
      </c>
      <c r="J571" s="19"/>
      <c r="K571" s="19"/>
      <c r="L571" s="19"/>
      <c r="M571" s="19"/>
      <c r="N571" s="19">
        <v>8</v>
      </c>
      <c r="O571" s="19">
        <v>30</v>
      </c>
      <c r="P571" s="19"/>
      <c r="Q571" s="19" t="s">
        <v>395</v>
      </c>
      <c r="R571" s="19"/>
      <c r="S571" s="19"/>
      <c r="T571" s="19">
        <v>4</v>
      </c>
      <c r="U571" s="20">
        <f t="shared" si="92"/>
        <v>0</v>
      </c>
      <c r="V571" s="19" t="s">
        <v>1233</v>
      </c>
      <c r="W571" s="19"/>
      <c r="X571" s="19"/>
      <c r="Y571" s="21">
        <v>0</v>
      </c>
      <c r="Z571" s="92">
        <v>1.3</v>
      </c>
      <c r="AA571" s="92">
        <v>1.2949999999999999</v>
      </c>
    </row>
    <row r="572" spans="1:27" x14ac:dyDescent="0.25">
      <c r="A572" s="33">
        <f t="shared" si="91"/>
        <v>569</v>
      </c>
      <c r="B572" s="19">
        <v>17210</v>
      </c>
      <c r="C572" s="19"/>
      <c r="D572" s="19" t="s">
        <v>1217</v>
      </c>
      <c r="E572" s="22" t="s">
        <v>368</v>
      </c>
      <c r="F572" s="19"/>
      <c r="G572" s="19"/>
      <c r="H572" s="19">
        <v>60</v>
      </c>
      <c r="I572" s="19" t="s">
        <v>1072</v>
      </c>
      <c r="J572" s="19"/>
      <c r="K572" s="19"/>
      <c r="L572" s="19"/>
      <c r="M572" s="19"/>
      <c r="N572" s="19">
        <v>8</v>
      </c>
      <c r="O572" s="19">
        <v>30</v>
      </c>
      <c r="P572" s="19"/>
      <c r="Q572" s="19" t="s">
        <v>395</v>
      </c>
      <c r="R572" s="19"/>
      <c r="S572" s="19"/>
      <c r="T572" s="19">
        <v>5</v>
      </c>
      <c r="U572" s="20">
        <f t="shared" si="92"/>
        <v>0</v>
      </c>
      <c r="V572" s="19" t="s">
        <v>1233</v>
      </c>
      <c r="W572" s="19"/>
      <c r="X572" s="19"/>
      <c r="Y572" s="21">
        <v>0</v>
      </c>
      <c r="Z572" s="92">
        <v>1.3</v>
      </c>
      <c r="AA572" s="92">
        <v>1.2949999999999999</v>
      </c>
    </row>
    <row r="573" spans="1:27" x14ac:dyDescent="0.25">
      <c r="A573" s="33">
        <f t="shared" si="91"/>
        <v>570</v>
      </c>
      <c r="B573" s="19">
        <v>17210</v>
      </c>
      <c r="C573" s="19"/>
      <c r="D573" s="19" t="s">
        <v>1217</v>
      </c>
      <c r="E573" s="22" t="s">
        <v>368</v>
      </c>
      <c r="F573" s="19"/>
      <c r="G573" s="19"/>
      <c r="H573" s="19" t="s">
        <v>384</v>
      </c>
      <c r="I573" s="19" t="s">
        <v>1072</v>
      </c>
      <c r="J573" s="19"/>
      <c r="K573" s="19"/>
      <c r="L573" s="19"/>
      <c r="M573" s="19"/>
      <c r="N573" s="19">
        <v>8</v>
      </c>
      <c r="O573" s="19">
        <v>35</v>
      </c>
      <c r="P573" s="19"/>
      <c r="Q573" s="19" t="s">
        <v>395</v>
      </c>
      <c r="R573" s="19"/>
      <c r="S573" s="19"/>
      <c r="T573" s="19">
        <v>1</v>
      </c>
      <c r="U573" s="20">
        <f t="shared" si="92"/>
        <v>0</v>
      </c>
      <c r="V573" s="19" t="s">
        <v>1234</v>
      </c>
      <c r="W573" s="19"/>
      <c r="X573" s="19"/>
      <c r="Y573" s="21">
        <v>0</v>
      </c>
      <c r="Z573" s="92">
        <v>1.3</v>
      </c>
      <c r="AA573" s="92">
        <v>1.2949999999999999</v>
      </c>
    </row>
    <row r="574" spans="1:27" x14ac:dyDescent="0.25">
      <c r="A574" s="33">
        <f t="shared" si="91"/>
        <v>571</v>
      </c>
      <c r="B574" s="19">
        <v>17210</v>
      </c>
      <c r="C574" s="19"/>
      <c r="D574" s="19" t="s">
        <v>1217</v>
      </c>
      <c r="E574" s="22" t="s">
        <v>368</v>
      </c>
      <c r="F574" s="19"/>
      <c r="G574" s="19"/>
      <c r="H574" s="19" t="s">
        <v>387</v>
      </c>
      <c r="I574" s="19" t="s">
        <v>1072</v>
      </c>
      <c r="J574" s="19"/>
      <c r="K574" s="19"/>
      <c r="L574" s="19"/>
      <c r="M574" s="19"/>
      <c r="N574" s="19">
        <v>8</v>
      </c>
      <c r="O574" s="19">
        <v>35</v>
      </c>
      <c r="P574" s="19"/>
      <c r="Q574" s="19" t="s">
        <v>395</v>
      </c>
      <c r="R574" s="19"/>
      <c r="S574" s="19"/>
      <c r="T574" s="19">
        <v>2</v>
      </c>
      <c r="U574" s="20">
        <f t="shared" si="92"/>
        <v>0</v>
      </c>
      <c r="V574" s="19" t="s">
        <v>1234</v>
      </c>
      <c r="W574" s="19"/>
      <c r="X574" s="19"/>
      <c r="Y574" s="21">
        <v>0</v>
      </c>
      <c r="Z574" s="92">
        <v>1.3</v>
      </c>
      <c r="AA574" s="92">
        <v>1.2949999999999999</v>
      </c>
    </row>
    <row r="575" spans="1:27" x14ac:dyDescent="0.25">
      <c r="A575" s="33">
        <f t="shared" si="91"/>
        <v>572</v>
      </c>
      <c r="B575" s="19">
        <v>17210</v>
      </c>
      <c r="C575" s="19"/>
      <c r="D575" s="19" t="s">
        <v>1217</v>
      </c>
      <c r="E575" s="22" t="s">
        <v>368</v>
      </c>
      <c r="F575" s="19"/>
      <c r="G575" s="19"/>
      <c r="H575" s="19" t="s">
        <v>1219</v>
      </c>
      <c r="I575" s="19" t="s">
        <v>1072</v>
      </c>
      <c r="J575" s="19"/>
      <c r="K575" s="19"/>
      <c r="L575" s="19"/>
      <c r="M575" s="19"/>
      <c r="N575" s="19">
        <v>8</v>
      </c>
      <c r="O575" s="19">
        <v>35</v>
      </c>
      <c r="P575" s="19"/>
      <c r="Q575" s="19" t="s">
        <v>395</v>
      </c>
      <c r="R575" s="19"/>
      <c r="S575" s="19"/>
      <c r="T575" s="19">
        <v>3</v>
      </c>
      <c r="U575" s="20">
        <f t="shared" si="92"/>
        <v>0</v>
      </c>
      <c r="V575" s="19" t="s">
        <v>1234</v>
      </c>
      <c r="W575" s="19"/>
      <c r="X575" s="19"/>
      <c r="Y575" s="21">
        <v>0</v>
      </c>
      <c r="Z575" s="92">
        <v>1.3</v>
      </c>
      <c r="AA575" s="92">
        <v>1.2949999999999999</v>
      </c>
    </row>
    <row r="576" spans="1:27" x14ac:dyDescent="0.25">
      <c r="A576" s="33">
        <f t="shared" si="91"/>
        <v>573</v>
      </c>
      <c r="B576" s="19">
        <v>17210</v>
      </c>
      <c r="C576" s="19"/>
      <c r="D576" s="19" t="s">
        <v>1217</v>
      </c>
      <c r="E576" s="22" t="s">
        <v>368</v>
      </c>
      <c r="F576" s="19"/>
      <c r="G576" s="19"/>
      <c r="H576" s="19" t="s">
        <v>1043</v>
      </c>
      <c r="I576" s="19" t="s">
        <v>1072</v>
      </c>
      <c r="J576" s="19"/>
      <c r="K576" s="19"/>
      <c r="L576" s="19"/>
      <c r="M576" s="19"/>
      <c r="N576" s="19">
        <v>8</v>
      </c>
      <c r="O576" s="19">
        <v>35</v>
      </c>
      <c r="P576" s="19"/>
      <c r="Q576" s="19" t="s">
        <v>395</v>
      </c>
      <c r="R576" s="19"/>
      <c r="S576" s="19"/>
      <c r="T576" s="19">
        <v>4</v>
      </c>
      <c r="U576" s="20">
        <f t="shared" si="92"/>
        <v>0</v>
      </c>
      <c r="V576" s="19" t="s">
        <v>1234</v>
      </c>
      <c r="W576" s="19"/>
      <c r="X576" s="19"/>
      <c r="Y576" s="21">
        <v>0</v>
      </c>
      <c r="Z576" s="92">
        <v>1.3</v>
      </c>
      <c r="AA576" s="92">
        <v>1.2949999999999999</v>
      </c>
    </row>
    <row r="577" spans="1:27" x14ac:dyDescent="0.25">
      <c r="A577" s="33">
        <f t="shared" si="91"/>
        <v>574</v>
      </c>
      <c r="B577" s="19">
        <v>17210</v>
      </c>
      <c r="C577" s="19"/>
      <c r="D577" s="19" t="s">
        <v>1217</v>
      </c>
      <c r="E577" s="22" t="s">
        <v>368</v>
      </c>
      <c r="F577" s="19"/>
      <c r="G577" s="19"/>
      <c r="H577" s="19">
        <v>60</v>
      </c>
      <c r="I577" s="19" t="s">
        <v>1072</v>
      </c>
      <c r="J577" s="19"/>
      <c r="K577" s="19"/>
      <c r="L577" s="19"/>
      <c r="M577" s="19"/>
      <c r="N577" s="19">
        <v>8</v>
      </c>
      <c r="O577" s="19">
        <v>35</v>
      </c>
      <c r="P577" s="19"/>
      <c r="Q577" s="19" t="s">
        <v>395</v>
      </c>
      <c r="R577" s="19"/>
      <c r="S577" s="19"/>
      <c r="T577" s="19">
        <v>5</v>
      </c>
      <c r="U577" s="20">
        <f t="shared" si="92"/>
        <v>0</v>
      </c>
      <c r="V577" s="19" t="s">
        <v>1234</v>
      </c>
      <c r="W577" s="19"/>
      <c r="X577" s="19"/>
      <c r="Y577" s="21">
        <v>0</v>
      </c>
      <c r="Z577" s="92">
        <v>1.3</v>
      </c>
      <c r="AA577" s="92">
        <v>1.2949999999999999</v>
      </c>
    </row>
    <row r="578" spans="1:27" x14ac:dyDescent="0.25">
      <c r="A578" s="33">
        <f t="shared" si="91"/>
        <v>575</v>
      </c>
      <c r="B578" s="19">
        <v>17210</v>
      </c>
      <c r="C578" s="19"/>
      <c r="D578" s="19" t="s">
        <v>1217</v>
      </c>
      <c r="E578" s="22" t="s">
        <v>368</v>
      </c>
      <c r="F578" s="19"/>
      <c r="G578" s="19"/>
      <c r="H578" s="19" t="s">
        <v>384</v>
      </c>
      <c r="I578" s="19" t="s">
        <v>1072</v>
      </c>
      <c r="J578" s="19"/>
      <c r="K578" s="19"/>
      <c r="L578" s="19"/>
      <c r="M578" s="19"/>
      <c r="N578" s="19">
        <v>8</v>
      </c>
      <c r="O578" s="19">
        <v>40</v>
      </c>
      <c r="P578" s="19"/>
      <c r="Q578" s="19" t="s">
        <v>395</v>
      </c>
      <c r="R578" s="19"/>
      <c r="S578" s="19"/>
      <c r="T578" s="19">
        <v>1</v>
      </c>
      <c r="U578" s="20">
        <f t="shared" si="92"/>
        <v>0</v>
      </c>
      <c r="V578" s="19" t="s">
        <v>1235</v>
      </c>
      <c r="W578" s="19"/>
      <c r="X578" s="19"/>
      <c r="Y578" s="21">
        <v>0</v>
      </c>
      <c r="Z578" s="92">
        <v>1.3</v>
      </c>
      <c r="AA578" s="92">
        <v>1.2949999999999999</v>
      </c>
    </row>
    <row r="579" spans="1:27" x14ac:dyDescent="0.25">
      <c r="A579" s="33">
        <f t="shared" si="91"/>
        <v>576</v>
      </c>
      <c r="B579" s="19">
        <v>17210</v>
      </c>
      <c r="C579" s="19"/>
      <c r="D579" s="19" t="s">
        <v>1217</v>
      </c>
      <c r="E579" s="22" t="s">
        <v>368</v>
      </c>
      <c r="F579" s="19"/>
      <c r="G579" s="19"/>
      <c r="H579" s="19" t="s">
        <v>387</v>
      </c>
      <c r="I579" s="19" t="s">
        <v>1072</v>
      </c>
      <c r="J579" s="19"/>
      <c r="K579" s="19"/>
      <c r="L579" s="19"/>
      <c r="M579" s="19"/>
      <c r="N579" s="19">
        <v>8</v>
      </c>
      <c r="O579" s="19">
        <v>40</v>
      </c>
      <c r="P579" s="19"/>
      <c r="Q579" s="19" t="s">
        <v>395</v>
      </c>
      <c r="R579" s="19"/>
      <c r="S579" s="19"/>
      <c r="T579" s="19">
        <v>2</v>
      </c>
      <c r="U579" s="20">
        <f t="shared" si="92"/>
        <v>0</v>
      </c>
      <c r="V579" s="19" t="s">
        <v>1235</v>
      </c>
      <c r="W579" s="19"/>
      <c r="X579" s="19"/>
      <c r="Y579" s="21">
        <v>0</v>
      </c>
      <c r="Z579" s="92">
        <v>1.3</v>
      </c>
      <c r="AA579" s="92">
        <v>1.2949999999999999</v>
      </c>
    </row>
    <row r="580" spans="1:27" x14ac:dyDescent="0.25">
      <c r="A580" s="33">
        <f t="shared" si="91"/>
        <v>577</v>
      </c>
      <c r="B580" s="19">
        <v>17210</v>
      </c>
      <c r="C580" s="19"/>
      <c r="D580" s="19" t="s">
        <v>1217</v>
      </c>
      <c r="E580" s="22" t="s">
        <v>368</v>
      </c>
      <c r="F580" s="19"/>
      <c r="G580" s="19"/>
      <c r="H580" s="19" t="s">
        <v>1219</v>
      </c>
      <c r="I580" s="19" t="s">
        <v>1072</v>
      </c>
      <c r="J580" s="19"/>
      <c r="K580" s="19"/>
      <c r="L580" s="19"/>
      <c r="M580" s="19"/>
      <c r="N580" s="19">
        <v>8</v>
      </c>
      <c r="O580" s="19">
        <v>40</v>
      </c>
      <c r="P580" s="19"/>
      <c r="Q580" s="19" t="s">
        <v>395</v>
      </c>
      <c r="R580" s="19"/>
      <c r="S580" s="19"/>
      <c r="T580" s="19">
        <v>3</v>
      </c>
      <c r="U580" s="20">
        <f t="shared" si="92"/>
        <v>0</v>
      </c>
      <c r="V580" s="19" t="s">
        <v>1235</v>
      </c>
      <c r="W580" s="19"/>
      <c r="X580" s="19"/>
      <c r="Y580" s="21">
        <v>0</v>
      </c>
      <c r="Z580" s="92">
        <v>1.3</v>
      </c>
      <c r="AA580" s="92">
        <v>1.2949999999999999</v>
      </c>
    </row>
    <row r="581" spans="1:27" x14ac:dyDescent="0.25">
      <c r="A581" s="33">
        <f t="shared" si="91"/>
        <v>578</v>
      </c>
      <c r="B581" s="19">
        <v>17210</v>
      </c>
      <c r="C581" s="19"/>
      <c r="D581" s="19" t="s">
        <v>1217</v>
      </c>
      <c r="E581" s="22" t="s">
        <v>368</v>
      </c>
      <c r="F581" s="19"/>
      <c r="G581" s="19"/>
      <c r="H581" s="19" t="s">
        <v>1043</v>
      </c>
      <c r="I581" s="19" t="s">
        <v>1072</v>
      </c>
      <c r="J581" s="19"/>
      <c r="K581" s="19"/>
      <c r="L581" s="19"/>
      <c r="M581" s="19"/>
      <c r="N581" s="19">
        <v>8</v>
      </c>
      <c r="O581" s="19">
        <v>40</v>
      </c>
      <c r="P581" s="19"/>
      <c r="Q581" s="19" t="s">
        <v>395</v>
      </c>
      <c r="R581" s="19"/>
      <c r="S581" s="19"/>
      <c r="T581" s="19">
        <v>4</v>
      </c>
      <c r="U581" s="20">
        <f t="shared" si="92"/>
        <v>0</v>
      </c>
      <c r="V581" s="19" t="s">
        <v>1235</v>
      </c>
      <c r="W581" s="19"/>
      <c r="X581" s="19"/>
      <c r="Y581" s="21">
        <v>0</v>
      </c>
      <c r="Z581" s="92">
        <v>1.3</v>
      </c>
      <c r="AA581" s="92">
        <v>1.2949999999999999</v>
      </c>
    </row>
    <row r="582" spans="1:27" x14ac:dyDescent="0.25">
      <c r="A582" s="33">
        <f t="shared" si="91"/>
        <v>579</v>
      </c>
      <c r="B582" s="19">
        <v>17210</v>
      </c>
      <c r="C582" s="19"/>
      <c r="D582" s="19" t="s">
        <v>1217</v>
      </c>
      <c r="E582" s="22" t="s">
        <v>368</v>
      </c>
      <c r="F582" s="19"/>
      <c r="G582" s="19"/>
      <c r="H582" s="19">
        <v>60</v>
      </c>
      <c r="I582" s="19" t="s">
        <v>1072</v>
      </c>
      <c r="J582" s="19"/>
      <c r="K582" s="19"/>
      <c r="L582" s="19"/>
      <c r="M582" s="19"/>
      <c r="N582" s="19">
        <v>8</v>
      </c>
      <c r="O582" s="19">
        <v>40</v>
      </c>
      <c r="P582" s="19"/>
      <c r="Q582" s="19" t="s">
        <v>395</v>
      </c>
      <c r="R582" s="19"/>
      <c r="S582" s="19"/>
      <c r="T582" s="19">
        <v>5</v>
      </c>
      <c r="U582" s="20">
        <f t="shared" si="92"/>
        <v>0</v>
      </c>
      <c r="V582" s="19" t="s">
        <v>1235</v>
      </c>
      <c r="W582" s="19"/>
      <c r="X582" s="19"/>
      <c r="Y582" s="21">
        <v>0</v>
      </c>
      <c r="Z582" s="92">
        <v>1.3</v>
      </c>
      <c r="AA582" s="92">
        <v>1.2949999999999999</v>
      </c>
    </row>
    <row r="583" spans="1:27" x14ac:dyDescent="0.25">
      <c r="A583" s="33">
        <f t="shared" si="91"/>
        <v>580</v>
      </c>
      <c r="B583" s="19">
        <v>17210</v>
      </c>
      <c r="C583" s="19" t="s">
        <v>1236</v>
      </c>
      <c r="D583" s="19" t="s">
        <v>1217</v>
      </c>
      <c r="E583" s="22" t="s">
        <v>368</v>
      </c>
      <c r="F583" s="19"/>
      <c r="G583" s="19"/>
      <c r="H583" s="19" t="s">
        <v>384</v>
      </c>
      <c r="I583" s="19" t="s">
        <v>1072</v>
      </c>
      <c r="J583" s="19"/>
      <c r="K583" s="19"/>
      <c r="L583" s="19"/>
      <c r="M583" s="19"/>
      <c r="N583" s="19">
        <v>9</v>
      </c>
      <c r="O583" s="19">
        <v>27</v>
      </c>
      <c r="P583" s="19"/>
      <c r="Q583" s="19" t="s">
        <v>395</v>
      </c>
      <c r="R583" s="19"/>
      <c r="S583" s="19"/>
      <c r="T583" s="19">
        <v>1</v>
      </c>
      <c r="U583" s="20">
        <f t="shared" si="92"/>
        <v>2.9700000000000006</v>
      </c>
      <c r="V583" s="19" t="s">
        <v>1237</v>
      </c>
      <c r="W583" s="19"/>
      <c r="X583" s="19"/>
      <c r="Y583" s="21">
        <v>2.7</v>
      </c>
      <c r="Z583" s="92">
        <v>1.3</v>
      </c>
      <c r="AA583" s="92">
        <v>1.2949999999999999</v>
      </c>
    </row>
    <row r="584" spans="1:27" x14ac:dyDescent="0.25">
      <c r="A584" s="33">
        <f t="shared" si="91"/>
        <v>581</v>
      </c>
      <c r="B584" s="19">
        <v>17210</v>
      </c>
      <c r="C584" s="19" t="s">
        <v>1236</v>
      </c>
      <c r="D584" s="19" t="s">
        <v>1217</v>
      </c>
      <c r="E584" s="22" t="s">
        <v>368</v>
      </c>
      <c r="F584" s="19"/>
      <c r="G584" s="19"/>
      <c r="H584" s="19" t="s">
        <v>387</v>
      </c>
      <c r="I584" s="19" t="s">
        <v>1072</v>
      </c>
      <c r="J584" s="19"/>
      <c r="K584" s="19"/>
      <c r="L584" s="19"/>
      <c r="M584" s="19"/>
      <c r="N584" s="19">
        <v>9</v>
      </c>
      <c r="O584" s="19">
        <v>27</v>
      </c>
      <c r="P584" s="19"/>
      <c r="Q584" s="19" t="s">
        <v>395</v>
      </c>
      <c r="R584" s="19"/>
      <c r="S584" s="19"/>
      <c r="T584" s="19">
        <v>2</v>
      </c>
      <c r="U584" s="20">
        <f t="shared" si="92"/>
        <v>2.9700000000000006</v>
      </c>
      <c r="V584" s="19" t="s">
        <v>1237</v>
      </c>
      <c r="W584" s="19"/>
      <c r="X584" s="19"/>
      <c r="Y584" s="21">
        <v>2.7</v>
      </c>
      <c r="Z584" s="92">
        <v>1.3</v>
      </c>
      <c r="AA584" s="92">
        <v>1.2949999999999999</v>
      </c>
    </row>
    <row r="585" spans="1:27" x14ac:dyDescent="0.25">
      <c r="A585" s="33">
        <f t="shared" si="91"/>
        <v>582</v>
      </c>
      <c r="B585" s="19">
        <v>17210</v>
      </c>
      <c r="C585" s="19" t="s">
        <v>1236</v>
      </c>
      <c r="D585" s="19" t="s">
        <v>1217</v>
      </c>
      <c r="E585" s="22" t="s">
        <v>368</v>
      </c>
      <c r="F585" s="19"/>
      <c r="G585" s="19"/>
      <c r="H585" s="19" t="s">
        <v>1219</v>
      </c>
      <c r="I585" s="19" t="s">
        <v>1072</v>
      </c>
      <c r="J585" s="19"/>
      <c r="K585" s="19"/>
      <c r="L585" s="19"/>
      <c r="M585" s="19"/>
      <c r="N585" s="19">
        <v>9</v>
      </c>
      <c r="O585" s="19">
        <v>27</v>
      </c>
      <c r="P585" s="19"/>
      <c r="Q585" s="19" t="s">
        <v>395</v>
      </c>
      <c r="R585" s="19"/>
      <c r="S585" s="19"/>
      <c r="T585" s="19">
        <v>3</v>
      </c>
      <c r="U585" s="20">
        <f t="shared" si="92"/>
        <v>2.9700000000000006</v>
      </c>
      <c r="V585" s="19" t="s">
        <v>1237</v>
      </c>
      <c r="W585" s="19"/>
      <c r="X585" s="19"/>
      <c r="Y585" s="21">
        <v>2.7</v>
      </c>
      <c r="Z585" s="92">
        <v>1.3</v>
      </c>
      <c r="AA585" s="92">
        <v>1.2949999999999999</v>
      </c>
    </row>
    <row r="586" spans="1:27" x14ac:dyDescent="0.25">
      <c r="A586" s="33">
        <f t="shared" si="91"/>
        <v>583</v>
      </c>
      <c r="B586" s="19">
        <v>17210</v>
      </c>
      <c r="C586" s="19" t="s">
        <v>1236</v>
      </c>
      <c r="D586" s="19" t="s">
        <v>1217</v>
      </c>
      <c r="E586" s="22" t="s">
        <v>368</v>
      </c>
      <c r="F586" s="19"/>
      <c r="G586" s="19"/>
      <c r="H586" s="19" t="s">
        <v>1043</v>
      </c>
      <c r="I586" s="19" t="s">
        <v>1072</v>
      </c>
      <c r="J586" s="19"/>
      <c r="K586" s="19"/>
      <c r="L586" s="19"/>
      <c r="M586" s="19"/>
      <c r="N586" s="19">
        <v>9</v>
      </c>
      <c r="O586" s="19">
        <v>27</v>
      </c>
      <c r="P586" s="19"/>
      <c r="Q586" s="19" t="s">
        <v>395</v>
      </c>
      <c r="R586" s="19"/>
      <c r="S586" s="19"/>
      <c r="T586" s="19">
        <v>4</v>
      </c>
      <c r="U586" s="20">
        <f t="shared" si="92"/>
        <v>2.9700000000000006</v>
      </c>
      <c r="V586" s="19" t="s">
        <v>1237</v>
      </c>
      <c r="W586" s="19"/>
      <c r="X586" s="19"/>
      <c r="Y586" s="21">
        <v>2.7</v>
      </c>
      <c r="Z586" s="92">
        <v>1.3</v>
      </c>
      <c r="AA586" s="92">
        <v>1.2949999999999999</v>
      </c>
    </row>
    <row r="587" spans="1:27" x14ac:dyDescent="0.25">
      <c r="A587" s="33">
        <f t="shared" si="91"/>
        <v>584</v>
      </c>
      <c r="B587" s="19">
        <v>17210</v>
      </c>
      <c r="C587" s="19" t="s">
        <v>1236</v>
      </c>
      <c r="D587" s="19" t="s">
        <v>1217</v>
      </c>
      <c r="E587" s="22" t="s">
        <v>368</v>
      </c>
      <c r="F587" s="19"/>
      <c r="G587" s="19"/>
      <c r="H587" s="19">
        <v>60</v>
      </c>
      <c r="I587" s="19" t="s">
        <v>1072</v>
      </c>
      <c r="J587" s="19"/>
      <c r="K587" s="19"/>
      <c r="L587" s="19"/>
      <c r="M587" s="19"/>
      <c r="N587" s="19">
        <v>9</v>
      </c>
      <c r="O587" s="19">
        <v>27</v>
      </c>
      <c r="P587" s="19"/>
      <c r="Q587" s="19" t="s">
        <v>395</v>
      </c>
      <c r="R587" s="19"/>
      <c r="S587" s="19"/>
      <c r="T587" s="19">
        <v>4</v>
      </c>
      <c r="U587" s="20">
        <f t="shared" si="92"/>
        <v>2.9700000000000006</v>
      </c>
      <c r="V587" s="19" t="s">
        <v>1237</v>
      </c>
      <c r="W587" s="19"/>
      <c r="X587" s="19"/>
      <c r="Y587" s="21">
        <v>2.7</v>
      </c>
      <c r="Z587" s="92">
        <v>1.3</v>
      </c>
      <c r="AA587" s="92">
        <v>1.2949999999999999</v>
      </c>
    </row>
    <row r="588" spans="1:27" x14ac:dyDescent="0.25">
      <c r="A588" s="33">
        <f t="shared" si="91"/>
        <v>585</v>
      </c>
      <c r="B588" s="19">
        <v>17210</v>
      </c>
      <c r="C588" s="19" t="s">
        <v>1238</v>
      </c>
      <c r="D588" s="19" t="s">
        <v>1217</v>
      </c>
      <c r="E588" s="22" t="s">
        <v>368</v>
      </c>
      <c r="F588" s="19"/>
      <c r="G588" s="19"/>
      <c r="H588" s="19" t="s">
        <v>384</v>
      </c>
      <c r="I588" s="19" t="s">
        <v>1072</v>
      </c>
      <c r="J588" s="19"/>
      <c r="K588" s="19"/>
      <c r="L588" s="19"/>
      <c r="M588" s="19"/>
      <c r="N588" s="19">
        <v>9</v>
      </c>
      <c r="O588" s="19">
        <v>30</v>
      </c>
      <c r="P588" s="19"/>
      <c r="Q588" s="19" t="s">
        <v>395</v>
      </c>
      <c r="R588" s="19"/>
      <c r="S588" s="19"/>
      <c r="T588" s="19">
        <v>1</v>
      </c>
      <c r="U588" s="20">
        <f t="shared" si="92"/>
        <v>2.9700000000000006</v>
      </c>
      <c r="V588" s="19" t="s">
        <v>1239</v>
      </c>
      <c r="W588" s="19"/>
      <c r="X588" s="19"/>
      <c r="Y588" s="21">
        <v>2.7</v>
      </c>
      <c r="Z588" s="92">
        <v>1.3</v>
      </c>
      <c r="AA588" s="92">
        <v>1.2949999999999999</v>
      </c>
    </row>
    <row r="589" spans="1:27" x14ac:dyDescent="0.25">
      <c r="A589" s="33">
        <f t="shared" si="91"/>
        <v>586</v>
      </c>
      <c r="B589" s="19">
        <v>17210</v>
      </c>
      <c r="C589" s="19" t="s">
        <v>1238</v>
      </c>
      <c r="D589" s="19" t="s">
        <v>1217</v>
      </c>
      <c r="E589" s="22" t="s">
        <v>368</v>
      </c>
      <c r="F589" s="19"/>
      <c r="G589" s="19"/>
      <c r="H589" s="19" t="s">
        <v>387</v>
      </c>
      <c r="I589" s="19" t="s">
        <v>1072</v>
      </c>
      <c r="J589" s="19"/>
      <c r="K589" s="19"/>
      <c r="L589" s="19"/>
      <c r="M589" s="19"/>
      <c r="N589" s="19">
        <v>9</v>
      </c>
      <c r="O589" s="19">
        <v>30</v>
      </c>
      <c r="P589" s="19"/>
      <c r="Q589" s="19" t="s">
        <v>395</v>
      </c>
      <c r="R589" s="19"/>
      <c r="S589" s="19"/>
      <c r="T589" s="19">
        <v>2</v>
      </c>
      <c r="U589" s="20">
        <f t="shared" si="92"/>
        <v>2.9700000000000006</v>
      </c>
      <c r="V589" s="19" t="s">
        <v>1239</v>
      </c>
      <c r="W589" s="19"/>
      <c r="X589" s="19"/>
      <c r="Y589" s="21">
        <v>2.7</v>
      </c>
      <c r="Z589" s="92">
        <v>1.3</v>
      </c>
      <c r="AA589" s="92">
        <v>1.2949999999999999</v>
      </c>
    </row>
    <row r="590" spans="1:27" x14ac:dyDescent="0.25">
      <c r="A590" s="33">
        <f t="shared" si="91"/>
        <v>587</v>
      </c>
      <c r="B590" s="19">
        <v>17210</v>
      </c>
      <c r="C590" s="19" t="s">
        <v>1238</v>
      </c>
      <c r="D590" s="19" t="s">
        <v>1217</v>
      </c>
      <c r="E590" s="22" t="s">
        <v>368</v>
      </c>
      <c r="F590" s="19"/>
      <c r="G590" s="19"/>
      <c r="H590" s="19" t="s">
        <v>1219</v>
      </c>
      <c r="I590" s="19" t="s">
        <v>1072</v>
      </c>
      <c r="J590" s="19"/>
      <c r="K590" s="19"/>
      <c r="L590" s="19"/>
      <c r="M590" s="19"/>
      <c r="N590" s="19">
        <v>9</v>
      </c>
      <c r="O590" s="19">
        <v>30</v>
      </c>
      <c r="P590" s="19"/>
      <c r="Q590" s="19" t="s">
        <v>395</v>
      </c>
      <c r="R590" s="19"/>
      <c r="S590" s="19"/>
      <c r="T590" s="19">
        <v>3</v>
      </c>
      <c r="U590" s="20">
        <f t="shared" si="92"/>
        <v>2.9700000000000006</v>
      </c>
      <c r="V590" s="19" t="s">
        <v>1239</v>
      </c>
      <c r="W590" s="19"/>
      <c r="X590" s="19"/>
      <c r="Y590" s="21">
        <v>2.7</v>
      </c>
      <c r="Z590" s="92">
        <v>1.3</v>
      </c>
      <c r="AA590" s="92">
        <v>1.2949999999999999</v>
      </c>
    </row>
    <row r="591" spans="1:27" x14ac:dyDescent="0.25">
      <c r="A591" s="33">
        <f t="shared" si="91"/>
        <v>588</v>
      </c>
      <c r="B591" s="19">
        <v>17210</v>
      </c>
      <c r="C591" s="19" t="s">
        <v>1238</v>
      </c>
      <c r="D591" s="19" t="s">
        <v>1217</v>
      </c>
      <c r="E591" s="22" t="s">
        <v>368</v>
      </c>
      <c r="F591" s="19"/>
      <c r="G591" s="19"/>
      <c r="H591" s="19" t="s">
        <v>1043</v>
      </c>
      <c r="I591" s="19" t="s">
        <v>1072</v>
      </c>
      <c r="J591" s="19"/>
      <c r="K591" s="19"/>
      <c r="L591" s="19"/>
      <c r="M591" s="19"/>
      <c r="N591" s="19">
        <v>9</v>
      </c>
      <c r="O591" s="19">
        <v>30</v>
      </c>
      <c r="P591" s="19"/>
      <c r="Q591" s="19" t="s">
        <v>395</v>
      </c>
      <c r="R591" s="19"/>
      <c r="S591" s="19"/>
      <c r="T591" s="19">
        <v>4</v>
      </c>
      <c r="U591" s="20">
        <f t="shared" si="92"/>
        <v>2.9700000000000006</v>
      </c>
      <c r="V591" s="19" t="s">
        <v>1239</v>
      </c>
      <c r="W591" s="19"/>
      <c r="X591" s="19"/>
      <c r="Y591" s="21">
        <v>2.7</v>
      </c>
      <c r="Z591" s="92">
        <v>1.3</v>
      </c>
      <c r="AA591" s="92">
        <v>1.2949999999999999</v>
      </c>
    </row>
    <row r="592" spans="1:27" x14ac:dyDescent="0.25">
      <c r="A592" s="33">
        <f t="shared" si="91"/>
        <v>589</v>
      </c>
      <c r="B592" s="19">
        <v>17210</v>
      </c>
      <c r="C592" s="19" t="s">
        <v>1238</v>
      </c>
      <c r="D592" s="19" t="s">
        <v>1217</v>
      </c>
      <c r="E592" s="22" t="s">
        <v>368</v>
      </c>
      <c r="F592" s="19"/>
      <c r="G592" s="19"/>
      <c r="H592" s="19">
        <v>60</v>
      </c>
      <c r="I592" s="19" t="s">
        <v>1072</v>
      </c>
      <c r="J592" s="19"/>
      <c r="K592" s="19"/>
      <c r="L592" s="19"/>
      <c r="M592" s="19"/>
      <c r="N592" s="19">
        <v>9</v>
      </c>
      <c r="O592" s="19">
        <v>30</v>
      </c>
      <c r="P592" s="19"/>
      <c r="Q592" s="19" t="s">
        <v>395</v>
      </c>
      <c r="R592" s="19"/>
      <c r="S592" s="19"/>
      <c r="T592" s="19">
        <v>4</v>
      </c>
      <c r="U592" s="20">
        <f t="shared" si="92"/>
        <v>2.9700000000000006</v>
      </c>
      <c r="V592" s="19" t="s">
        <v>1239</v>
      </c>
      <c r="W592" s="19"/>
      <c r="X592" s="19"/>
      <c r="Y592" s="21">
        <v>2.7</v>
      </c>
      <c r="Z592" s="92">
        <v>1.3</v>
      </c>
      <c r="AA592" s="92">
        <v>1.2949999999999999</v>
      </c>
    </row>
    <row r="593" spans="1:27" x14ac:dyDescent="0.25">
      <c r="A593" s="33">
        <f t="shared" si="91"/>
        <v>590</v>
      </c>
      <c r="B593" s="19">
        <v>17210</v>
      </c>
      <c r="C593" s="19" t="s">
        <v>1240</v>
      </c>
      <c r="D593" s="19" t="s">
        <v>1217</v>
      </c>
      <c r="E593" s="22" t="s">
        <v>368</v>
      </c>
      <c r="F593" s="19"/>
      <c r="G593" s="19"/>
      <c r="H593" s="19" t="s">
        <v>384</v>
      </c>
      <c r="I593" s="19" t="s">
        <v>1072</v>
      </c>
      <c r="J593" s="19"/>
      <c r="K593" s="19"/>
      <c r="L593" s="19"/>
      <c r="M593" s="19"/>
      <c r="N593" s="19">
        <v>9</v>
      </c>
      <c r="O593" s="19">
        <v>35</v>
      </c>
      <c r="P593" s="19"/>
      <c r="Q593" s="19" t="s">
        <v>395</v>
      </c>
      <c r="R593" s="19"/>
      <c r="S593" s="19"/>
      <c r="T593" s="19">
        <v>1</v>
      </c>
      <c r="U593" s="20">
        <f t="shared" si="92"/>
        <v>2.9700000000000006</v>
      </c>
      <c r="V593" s="19" t="s">
        <v>1241</v>
      </c>
      <c r="W593" s="19"/>
      <c r="X593" s="19"/>
      <c r="Y593" s="21">
        <v>2.7</v>
      </c>
      <c r="Z593" s="92">
        <v>1.3</v>
      </c>
      <c r="AA593" s="92">
        <v>1.2949999999999999</v>
      </c>
    </row>
    <row r="594" spans="1:27" x14ac:dyDescent="0.25">
      <c r="A594" s="33">
        <f t="shared" si="91"/>
        <v>591</v>
      </c>
      <c r="B594" s="19">
        <v>17210</v>
      </c>
      <c r="C594" s="19" t="s">
        <v>1240</v>
      </c>
      <c r="D594" s="19" t="s">
        <v>1217</v>
      </c>
      <c r="E594" s="22" t="s">
        <v>368</v>
      </c>
      <c r="F594" s="19"/>
      <c r="G594" s="19"/>
      <c r="H594" s="19" t="s">
        <v>387</v>
      </c>
      <c r="I594" s="19" t="s">
        <v>1072</v>
      </c>
      <c r="J594" s="19"/>
      <c r="K594" s="19"/>
      <c r="L594" s="19"/>
      <c r="M594" s="19"/>
      <c r="N594" s="19">
        <v>9</v>
      </c>
      <c r="O594" s="19">
        <v>35</v>
      </c>
      <c r="P594" s="19"/>
      <c r="Q594" s="19" t="s">
        <v>395</v>
      </c>
      <c r="R594" s="19"/>
      <c r="S594" s="19"/>
      <c r="T594" s="19">
        <v>2</v>
      </c>
      <c r="U594" s="20">
        <f t="shared" si="92"/>
        <v>2.9700000000000006</v>
      </c>
      <c r="V594" s="19" t="s">
        <v>1241</v>
      </c>
      <c r="W594" s="19"/>
      <c r="X594" s="19"/>
      <c r="Y594" s="21">
        <v>2.7</v>
      </c>
      <c r="Z594" s="92">
        <v>1.3</v>
      </c>
      <c r="AA594" s="92">
        <v>1.2949999999999999</v>
      </c>
    </row>
    <row r="595" spans="1:27" x14ac:dyDescent="0.25">
      <c r="A595" s="33">
        <f t="shared" si="91"/>
        <v>592</v>
      </c>
      <c r="B595" s="19">
        <v>17210</v>
      </c>
      <c r="C595" s="19" t="s">
        <v>1240</v>
      </c>
      <c r="D595" s="19" t="s">
        <v>1217</v>
      </c>
      <c r="E595" s="22" t="s">
        <v>368</v>
      </c>
      <c r="F595" s="19"/>
      <c r="G595" s="19"/>
      <c r="H595" s="19" t="s">
        <v>1219</v>
      </c>
      <c r="I595" s="19" t="s">
        <v>1072</v>
      </c>
      <c r="J595" s="19"/>
      <c r="K595" s="19"/>
      <c r="L595" s="19"/>
      <c r="M595" s="19"/>
      <c r="N595" s="19">
        <v>9</v>
      </c>
      <c r="O595" s="19">
        <v>35</v>
      </c>
      <c r="P595" s="19"/>
      <c r="Q595" s="19" t="s">
        <v>395</v>
      </c>
      <c r="R595" s="19"/>
      <c r="S595" s="19"/>
      <c r="T595" s="19">
        <v>3</v>
      </c>
      <c r="U595" s="20">
        <f t="shared" si="92"/>
        <v>2.9700000000000006</v>
      </c>
      <c r="V595" s="19" t="s">
        <v>1241</v>
      </c>
      <c r="W595" s="19"/>
      <c r="X595" s="19"/>
      <c r="Y595" s="21">
        <v>2.7</v>
      </c>
      <c r="Z595" s="92">
        <v>1.3</v>
      </c>
      <c r="AA595" s="92">
        <v>1.2949999999999999</v>
      </c>
    </row>
    <row r="596" spans="1:27" x14ac:dyDescent="0.25">
      <c r="A596" s="33">
        <f t="shared" si="91"/>
        <v>593</v>
      </c>
      <c r="B596" s="19">
        <v>17210</v>
      </c>
      <c r="C596" s="19" t="s">
        <v>1240</v>
      </c>
      <c r="D596" s="19" t="s">
        <v>1217</v>
      </c>
      <c r="E596" s="22" t="s">
        <v>368</v>
      </c>
      <c r="F596" s="19"/>
      <c r="G596" s="19"/>
      <c r="H596" s="19" t="s">
        <v>1043</v>
      </c>
      <c r="I596" s="19" t="s">
        <v>1072</v>
      </c>
      <c r="J596" s="19"/>
      <c r="K596" s="19"/>
      <c r="L596" s="19"/>
      <c r="M596" s="19"/>
      <c r="N596" s="19">
        <v>9</v>
      </c>
      <c r="O596" s="19">
        <v>35</v>
      </c>
      <c r="P596" s="19"/>
      <c r="Q596" s="19" t="s">
        <v>395</v>
      </c>
      <c r="R596" s="19"/>
      <c r="S596" s="19"/>
      <c r="T596" s="19">
        <v>4</v>
      </c>
      <c r="U596" s="20">
        <f t="shared" si="92"/>
        <v>2.9700000000000006</v>
      </c>
      <c r="V596" s="19" t="s">
        <v>1241</v>
      </c>
      <c r="W596" s="19"/>
      <c r="X596" s="19"/>
      <c r="Y596" s="21">
        <v>2.7</v>
      </c>
      <c r="Z596" s="92">
        <v>1.3</v>
      </c>
      <c r="AA596" s="92">
        <v>1.2949999999999999</v>
      </c>
    </row>
    <row r="597" spans="1:27" x14ac:dyDescent="0.25">
      <c r="A597" s="33">
        <f t="shared" si="91"/>
        <v>594</v>
      </c>
      <c r="B597" s="19">
        <v>17210</v>
      </c>
      <c r="C597" s="19" t="s">
        <v>1240</v>
      </c>
      <c r="D597" s="19" t="s">
        <v>1217</v>
      </c>
      <c r="E597" s="22" t="s">
        <v>368</v>
      </c>
      <c r="F597" s="19"/>
      <c r="G597" s="19"/>
      <c r="H597" s="19">
        <v>60</v>
      </c>
      <c r="I597" s="19" t="s">
        <v>1072</v>
      </c>
      <c r="J597" s="19"/>
      <c r="K597" s="19"/>
      <c r="L597" s="19"/>
      <c r="M597" s="19"/>
      <c r="N597" s="19">
        <v>9</v>
      </c>
      <c r="O597" s="19">
        <v>35</v>
      </c>
      <c r="P597" s="19"/>
      <c r="Q597" s="19" t="s">
        <v>395</v>
      </c>
      <c r="R597" s="19"/>
      <c r="S597" s="19"/>
      <c r="T597" s="19">
        <v>4</v>
      </c>
      <c r="U597" s="20">
        <f t="shared" si="92"/>
        <v>2.9700000000000006</v>
      </c>
      <c r="V597" s="19" t="s">
        <v>1241</v>
      </c>
      <c r="W597" s="19"/>
      <c r="X597" s="19"/>
      <c r="Y597" s="21">
        <v>2.7</v>
      </c>
      <c r="Z597" s="92">
        <v>1.3</v>
      </c>
      <c r="AA597" s="92">
        <v>1.2949999999999999</v>
      </c>
    </row>
    <row r="598" spans="1:27" x14ac:dyDescent="0.25">
      <c r="A598" s="33">
        <f t="shared" si="91"/>
        <v>595</v>
      </c>
      <c r="B598" s="19">
        <v>17210</v>
      </c>
      <c r="C598" s="19" t="s">
        <v>1242</v>
      </c>
      <c r="D598" s="19" t="s">
        <v>1217</v>
      </c>
      <c r="E598" s="22" t="s">
        <v>368</v>
      </c>
      <c r="F598" s="19"/>
      <c r="G598" s="19"/>
      <c r="H598" s="19" t="s">
        <v>384</v>
      </c>
      <c r="I598" s="19" t="s">
        <v>1072</v>
      </c>
      <c r="J598" s="19"/>
      <c r="K598" s="19"/>
      <c r="L598" s="19"/>
      <c r="M598" s="19"/>
      <c r="N598" s="19">
        <v>9</v>
      </c>
      <c r="O598" s="19">
        <v>40</v>
      </c>
      <c r="P598" s="19"/>
      <c r="Q598" s="19" t="s">
        <v>395</v>
      </c>
      <c r="R598" s="19"/>
      <c r="S598" s="19"/>
      <c r="T598" s="19">
        <v>1</v>
      </c>
      <c r="U598" s="20">
        <f t="shared" si="92"/>
        <v>2.9700000000000006</v>
      </c>
      <c r="V598" s="19" t="s">
        <v>1243</v>
      </c>
      <c r="W598" s="19"/>
      <c r="X598" s="19"/>
      <c r="Y598" s="21">
        <v>2.7</v>
      </c>
      <c r="Z598" s="92">
        <v>1.3</v>
      </c>
      <c r="AA598" s="92">
        <v>1.2949999999999999</v>
      </c>
    </row>
    <row r="599" spans="1:27" x14ac:dyDescent="0.25">
      <c r="A599" s="33">
        <f t="shared" si="91"/>
        <v>596</v>
      </c>
      <c r="B599" s="19">
        <v>17210</v>
      </c>
      <c r="C599" s="19" t="s">
        <v>1242</v>
      </c>
      <c r="D599" s="19" t="s">
        <v>1217</v>
      </c>
      <c r="E599" s="22" t="s">
        <v>368</v>
      </c>
      <c r="F599" s="19"/>
      <c r="G599" s="19"/>
      <c r="H599" s="19" t="s">
        <v>387</v>
      </c>
      <c r="I599" s="19" t="s">
        <v>1072</v>
      </c>
      <c r="J599" s="19"/>
      <c r="K599" s="19"/>
      <c r="L599" s="19"/>
      <c r="M599" s="19"/>
      <c r="N599" s="19">
        <v>9</v>
      </c>
      <c r="O599" s="19">
        <v>40</v>
      </c>
      <c r="P599" s="19"/>
      <c r="Q599" s="19" t="s">
        <v>395</v>
      </c>
      <c r="R599" s="19"/>
      <c r="S599" s="19"/>
      <c r="T599" s="19">
        <v>2</v>
      </c>
      <c r="U599" s="20">
        <f t="shared" si="92"/>
        <v>2.9700000000000006</v>
      </c>
      <c r="V599" s="19" t="s">
        <v>1243</v>
      </c>
      <c r="W599" s="19"/>
      <c r="X599" s="19"/>
      <c r="Y599" s="21">
        <v>2.7</v>
      </c>
      <c r="Z599" s="92">
        <v>1.3</v>
      </c>
      <c r="AA599" s="92">
        <v>1.2949999999999999</v>
      </c>
    </row>
    <row r="600" spans="1:27" x14ac:dyDescent="0.25">
      <c r="A600" s="33">
        <f t="shared" si="91"/>
        <v>597</v>
      </c>
      <c r="B600" s="19">
        <v>17210</v>
      </c>
      <c r="C600" s="19" t="s">
        <v>1242</v>
      </c>
      <c r="D600" s="19" t="s">
        <v>1217</v>
      </c>
      <c r="E600" s="22" t="s">
        <v>368</v>
      </c>
      <c r="F600" s="19"/>
      <c r="G600" s="19"/>
      <c r="H600" s="19" t="s">
        <v>1219</v>
      </c>
      <c r="I600" s="19" t="s">
        <v>1072</v>
      </c>
      <c r="J600" s="19"/>
      <c r="K600" s="19"/>
      <c r="L600" s="19"/>
      <c r="M600" s="19"/>
      <c r="N600" s="19">
        <v>9</v>
      </c>
      <c r="O600" s="19">
        <v>40</v>
      </c>
      <c r="P600" s="19"/>
      <c r="Q600" s="19" t="s">
        <v>395</v>
      </c>
      <c r="R600" s="19"/>
      <c r="S600" s="19"/>
      <c r="T600" s="19">
        <v>3</v>
      </c>
      <c r="U600" s="20">
        <f t="shared" si="92"/>
        <v>2.9700000000000006</v>
      </c>
      <c r="V600" s="19" t="s">
        <v>1243</v>
      </c>
      <c r="W600" s="19"/>
      <c r="X600" s="19"/>
      <c r="Y600" s="21">
        <v>2.7</v>
      </c>
      <c r="Z600" s="92">
        <v>1.3</v>
      </c>
      <c r="AA600" s="92">
        <v>1.2949999999999999</v>
      </c>
    </row>
    <row r="601" spans="1:27" x14ac:dyDescent="0.25">
      <c r="A601" s="33">
        <f t="shared" si="91"/>
        <v>598</v>
      </c>
      <c r="B601" s="19">
        <v>17210</v>
      </c>
      <c r="C601" s="19" t="s">
        <v>1242</v>
      </c>
      <c r="D601" s="19" t="s">
        <v>1217</v>
      </c>
      <c r="E601" s="22" t="s">
        <v>368</v>
      </c>
      <c r="F601" s="19"/>
      <c r="G601" s="19"/>
      <c r="H601" s="19" t="s">
        <v>1043</v>
      </c>
      <c r="I601" s="19" t="s">
        <v>1072</v>
      </c>
      <c r="J601" s="19"/>
      <c r="K601" s="19"/>
      <c r="L601" s="19"/>
      <c r="M601" s="19"/>
      <c r="N601" s="19">
        <v>9</v>
      </c>
      <c r="O601" s="19">
        <v>40</v>
      </c>
      <c r="P601" s="19"/>
      <c r="Q601" s="19" t="s">
        <v>395</v>
      </c>
      <c r="R601" s="19"/>
      <c r="S601" s="19"/>
      <c r="T601" s="19">
        <v>4</v>
      </c>
      <c r="U601" s="20">
        <f t="shared" si="92"/>
        <v>2.9700000000000006</v>
      </c>
      <c r="V601" s="19" t="s">
        <v>1243</v>
      </c>
      <c r="W601" s="19"/>
      <c r="X601" s="19"/>
      <c r="Y601" s="21">
        <v>2.7</v>
      </c>
      <c r="Z601" s="92">
        <v>1.3</v>
      </c>
      <c r="AA601" s="92">
        <v>1.2949999999999999</v>
      </c>
    </row>
    <row r="602" spans="1:27" x14ac:dyDescent="0.25">
      <c r="A602" s="33">
        <f t="shared" si="91"/>
        <v>599</v>
      </c>
      <c r="B602" s="19">
        <v>17210</v>
      </c>
      <c r="C602" s="19" t="s">
        <v>1242</v>
      </c>
      <c r="D602" s="19" t="s">
        <v>1217</v>
      </c>
      <c r="E602" s="22" t="s">
        <v>368</v>
      </c>
      <c r="F602" s="19"/>
      <c r="G602" s="19"/>
      <c r="H602" s="19">
        <v>60</v>
      </c>
      <c r="I602" s="19" t="s">
        <v>1072</v>
      </c>
      <c r="J602" s="19"/>
      <c r="K602" s="19"/>
      <c r="L602" s="19"/>
      <c r="M602" s="19"/>
      <c r="N602" s="19">
        <v>9</v>
      </c>
      <c r="O602" s="19">
        <v>40</v>
      </c>
      <c r="P602" s="19"/>
      <c r="Q602" s="19" t="s">
        <v>395</v>
      </c>
      <c r="R602" s="19"/>
      <c r="S602" s="19"/>
      <c r="T602" s="19">
        <v>4</v>
      </c>
      <c r="U602" s="20">
        <f t="shared" si="92"/>
        <v>2.9700000000000006</v>
      </c>
      <c r="V602" s="19" t="s">
        <v>1243</v>
      </c>
      <c r="W602" s="19"/>
      <c r="X602" s="19"/>
      <c r="Y602" s="21">
        <v>2.7</v>
      </c>
      <c r="Z602" s="92">
        <v>1.3</v>
      </c>
      <c r="AA602" s="92">
        <v>1.2949999999999999</v>
      </c>
    </row>
    <row r="603" spans="1:27" x14ac:dyDescent="0.25">
      <c r="A603" s="33">
        <f t="shared" si="91"/>
        <v>600</v>
      </c>
      <c r="B603" s="210" t="s">
        <v>1244</v>
      </c>
      <c r="C603" s="210"/>
      <c r="D603" s="210"/>
      <c r="E603" s="210"/>
      <c r="F603" s="210"/>
      <c r="G603" s="210"/>
      <c r="H603" s="210"/>
      <c r="I603" s="210"/>
      <c r="J603" s="210"/>
      <c r="K603" s="210"/>
      <c r="L603" s="210"/>
      <c r="M603" s="210"/>
      <c r="N603" s="210"/>
      <c r="O603" s="210"/>
      <c r="P603" s="210"/>
      <c r="Q603" s="210"/>
      <c r="R603" s="210"/>
      <c r="S603" s="210"/>
      <c r="T603" s="210"/>
      <c r="U603" s="210"/>
      <c r="V603" s="210"/>
      <c r="W603" s="211"/>
      <c r="X603" s="19"/>
      <c r="Y603" s="74"/>
      <c r="Z603" s="76"/>
      <c r="AA603" s="76"/>
    </row>
    <row r="604" spans="1:27" x14ac:dyDescent="0.25">
      <c r="A604" s="33">
        <f t="shared" si="91"/>
        <v>601</v>
      </c>
      <c r="B604" s="19">
        <v>17310</v>
      </c>
      <c r="C604" s="19" t="s">
        <v>1245</v>
      </c>
      <c r="D604" s="19" t="s">
        <v>1217</v>
      </c>
      <c r="E604" s="29" t="s">
        <v>1246</v>
      </c>
      <c r="F604" s="19"/>
      <c r="G604" s="19"/>
      <c r="H604" s="19" t="s">
        <v>384</v>
      </c>
      <c r="I604" s="19" t="s">
        <v>149</v>
      </c>
      <c r="J604" s="19"/>
      <c r="K604" s="19"/>
      <c r="L604" s="19"/>
      <c r="M604" s="19"/>
      <c r="N604" s="19">
        <v>8</v>
      </c>
      <c r="O604" s="19" t="s">
        <v>208</v>
      </c>
      <c r="P604" s="19"/>
      <c r="Q604" s="19" t="s">
        <v>395</v>
      </c>
      <c r="R604" s="19"/>
      <c r="S604" s="19"/>
      <c r="T604" s="19">
        <v>1</v>
      </c>
      <c r="U604" s="20">
        <f t="shared" ref="U604:U613" si="93">Y604*1.1</f>
        <v>27.588000000000001</v>
      </c>
      <c r="V604" s="19" t="s">
        <v>1247</v>
      </c>
      <c r="W604" s="19"/>
      <c r="X604" s="19"/>
      <c r="Y604" s="21">
        <v>25.08</v>
      </c>
      <c r="Z604" s="92">
        <v>1.3</v>
      </c>
      <c r="AA604" s="92">
        <v>1.2949999999999999</v>
      </c>
    </row>
    <row r="605" spans="1:27" x14ac:dyDescent="0.25">
      <c r="A605" s="33">
        <f t="shared" si="91"/>
        <v>602</v>
      </c>
      <c r="B605" s="19">
        <v>17310</v>
      </c>
      <c r="C605" s="19" t="s">
        <v>1245</v>
      </c>
      <c r="D605" s="19" t="s">
        <v>1217</v>
      </c>
      <c r="E605" s="29" t="s">
        <v>1246</v>
      </c>
      <c r="F605" s="19"/>
      <c r="G605" s="19"/>
      <c r="H605" s="19" t="s">
        <v>387</v>
      </c>
      <c r="I605" s="19" t="s">
        <v>149</v>
      </c>
      <c r="J605" s="19"/>
      <c r="K605" s="19"/>
      <c r="L605" s="19"/>
      <c r="M605" s="19"/>
      <c r="N605" s="19">
        <v>8</v>
      </c>
      <c r="O605" s="19" t="s">
        <v>208</v>
      </c>
      <c r="P605" s="19"/>
      <c r="Q605" s="19" t="s">
        <v>395</v>
      </c>
      <c r="R605" s="19"/>
      <c r="S605" s="19"/>
      <c r="T605" s="19">
        <v>2</v>
      </c>
      <c r="U605" s="20">
        <f t="shared" si="93"/>
        <v>0</v>
      </c>
      <c r="V605" s="19" t="s">
        <v>1247</v>
      </c>
      <c r="W605" s="19"/>
      <c r="X605" s="19"/>
      <c r="Y605" s="21">
        <v>0</v>
      </c>
      <c r="Z605" s="92">
        <v>1.3</v>
      </c>
      <c r="AA605" s="92">
        <v>1.2949999999999999</v>
      </c>
    </row>
    <row r="606" spans="1:27" x14ac:dyDescent="0.25">
      <c r="A606" s="33">
        <f t="shared" si="91"/>
        <v>603</v>
      </c>
      <c r="B606" s="19">
        <v>17310</v>
      </c>
      <c r="C606" s="19" t="s">
        <v>1245</v>
      </c>
      <c r="D606" s="19" t="s">
        <v>1217</v>
      </c>
      <c r="E606" s="29" t="s">
        <v>1246</v>
      </c>
      <c r="F606" s="19"/>
      <c r="G606" s="19"/>
      <c r="H606" s="19" t="s">
        <v>1219</v>
      </c>
      <c r="I606" s="19" t="s">
        <v>149</v>
      </c>
      <c r="J606" s="19"/>
      <c r="K606" s="19"/>
      <c r="L606" s="19"/>
      <c r="M606" s="19"/>
      <c r="N606" s="19">
        <v>8</v>
      </c>
      <c r="O606" s="19" t="s">
        <v>208</v>
      </c>
      <c r="P606" s="19"/>
      <c r="Q606" s="19" t="s">
        <v>395</v>
      </c>
      <c r="R606" s="19"/>
      <c r="S606" s="19"/>
      <c r="T606" s="19">
        <v>3</v>
      </c>
      <c r="U606" s="20">
        <f t="shared" si="93"/>
        <v>0</v>
      </c>
      <c r="V606" s="19" t="s">
        <v>1247</v>
      </c>
      <c r="W606" s="19"/>
      <c r="X606" s="19"/>
      <c r="Y606" s="21">
        <v>0</v>
      </c>
      <c r="Z606" s="92">
        <v>1.3</v>
      </c>
      <c r="AA606" s="92">
        <v>1.2949999999999999</v>
      </c>
    </row>
    <row r="607" spans="1:27" x14ac:dyDescent="0.25">
      <c r="A607" s="33">
        <f t="shared" si="91"/>
        <v>604</v>
      </c>
      <c r="B607" s="19">
        <v>17310</v>
      </c>
      <c r="C607" s="19" t="s">
        <v>1245</v>
      </c>
      <c r="D607" s="19" t="s">
        <v>1217</v>
      </c>
      <c r="E607" s="29" t="s">
        <v>1246</v>
      </c>
      <c r="F607" s="19"/>
      <c r="G607" s="19"/>
      <c r="H607" s="19" t="s">
        <v>1043</v>
      </c>
      <c r="I607" s="19" t="s">
        <v>149</v>
      </c>
      <c r="J607" s="19"/>
      <c r="K607" s="19"/>
      <c r="L607" s="19"/>
      <c r="M607" s="19"/>
      <c r="N607" s="19">
        <v>8</v>
      </c>
      <c r="O607" s="19" t="s">
        <v>208</v>
      </c>
      <c r="P607" s="19"/>
      <c r="Q607" s="19" t="s">
        <v>395</v>
      </c>
      <c r="R607" s="19"/>
      <c r="S607" s="19"/>
      <c r="T607" s="19">
        <v>4</v>
      </c>
      <c r="U607" s="20">
        <f t="shared" si="93"/>
        <v>0</v>
      </c>
      <c r="V607" s="19" t="s">
        <v>1247</v>
      </c>
      <c r="W607" s="19"/>
      <c r="X607" s="19"/>
      <c r="Y607" s="21">
        <v>0</v>
      </c>
      <c r="Z607" s="92">
        <v>1.3</v>
      </c>
      <c r="AA607" s="92">
        <v>1.2949999999999999</v>
      </c>
    </row>
    <row r="608" spans="1:27" x14ac:dyDescent="0.25">
      <c r="A608" s="33">
        <f t="shared" si="91"/>
        <v>605</v>
      </c>
      <c r="B608" s="19">
        <v>17310</v>
      </c>
      <c r="C608" s="19" t="s">
        <v>1245</v>
      </c>
      <c r="D608" s="19" t="s">
        <v>1217</v>
      </c>
      <c r="E608" s="29" t="s">
        <v>1246</v>
      </c>
      <c r="F608" s="19"/>
      <c r="G608" s="19"/>
      <c r="H608" s="19">
        <v>60</v>
      </c>
      <c r="I608" s="19" t="s">
        <v>149</v>
      </c>
      <c r="J608" s="19"/>
      <c r="K608" s="19"/>
      <c r="L608" s="19"/>
      <c r="M608" s="19"/>
      <c r="N608" s="19">
        <v>8</v>
      </c>
      <c r="O608" s="19" t="s">
        <v>208</v>
      </c>
      <c r="P608" s="19"/>
      <c r="Q608" s="19" t="s">
        <v>395</v>
      </c>
      <c r="R608" s="19"/>
      <c r="S608" s="19"/>
      <c r="T608" s="19">
        <v>5</v>
      </c>
      <c r="U608" s="20">
        <f t="shared" si="93"/>
        <v>0</v>
      </c>
      <c r="V608" s="19" t="s">
        <v>1247</v>
      </c>
      <c r="W608" s="19"/>
      <c r="X608" s="19"/>
      <c r="Y608" s="21">
        <v>0</v>
      </c>
      <c r="Z608" s="92">
        <v>1.3</v>
      </c>
      <c r="AA608" s="92">
        <v>1.2949999999999999</v>
      </c>
    </row>
    <row r="609" spans="1:27" x14ac:dyDescent="0.25">
      <c r="A609" s="33">
        <f t="shared" si="91"/>
        <v>606</v>
      </c>
      <c r="B609" s="19">
        <v>17310</v>
      </c>
      <c r="C609" s="19" t="s">
        <v>1245</v>
      </c>
      <c r="D609" s="19" t="s">
        <v>1217</v>
      </c>
      <c r="E609" s="29" t="s">
        <v>1246</v>
      </c>
      <c r="F609" s="19"/>
      <c r="G609" s="19"/>
      <c r="H609" s="19" t="s">
        <v>384</v>
      </c>
      <c r="I609" s="19" t="s">
        <v>149</v>
      </c>
      <c r="J609" s="19"/>
      <c r="K609" s="19"/>
      <c r="L609" s="19"/>
      <c r="M609" s="19"/>
      <c r="N609" s="19">
        <v>9</v>
      </c>
      <c r="O609" s="19" t="s">
        <v>208</v>
      </c>
      <c r="P609" s="19"/>
      <c r="Q609" s="19" t="s">
        <v>395</v>
      </c>
      <c r="R609" s="19"/>
      <c r="S609" s="19"/>
      <c r="T609" s="19">
        <v>1</v>
      </c>
      <c r="U609" s="20">
        <f t="shared" si="93"/>
        <v>12.100000000000001</v>
      </c>
      <c r="V609" s="19" t="s">
        <v>1248</v>
      </c>
      <c r="W609" s="19"/>
      <c r="X609" s="19"/>
      <c r="Y609" s="21">
        <v>11</v>
      </c>
      <c r="Z609" s="92">
        <v>1.3</v>
      </c>
      <c r="AA609" s="92">
        <v>1.2949999999999999</v>
      </c>
    </row>
    <row r="610" spans="1:27" x14ac:dyDescent="0.25">
      <c r="A610" s="33">
        <f t="shared" si="91"/>
        <v>607</v>
      </c>
      <c r="B610" s="19">
        <v>17310</v>
      </c>
      <c r="C610" s="19" t="s">
        <v>1245</v>
      </c>
      <c r="D610" s="19" t="s">
        <v>1217</v>
      </c>
      <c r="E610" s="29" t="s">
        <v>1246</v>
      </c>
      <c r="F610" s="19"/>
      <c r="G610" s="19"/>
      <c r="H610" s="19" t="s">
        <v>387</v>
      </c>
      <c r="I610" s="19" t="s">
        <v>149</v>
      </c>
      <c r="J610" s="19"/>
      <c r="K610" s="19"/>
      <c r="L610" s="19"/>
      <c r="M610" s="19"/>
      <c r="N610" s="19">
        <v>9</v>
      </c>
      <c r="O610" s="19" t="s">
        <v>208</v>
      </c>
      <c r="P610" s="19"/>
      <c r="Q610" s="19" t="s">
        <v>395</v>
      </c>
      <c r="R610" s="19"/>
      <c r="S610" s="19"/>
      <c r="T610" s="19">
        <v>2</v>
      </c>
      <c r="U610" s="20">
        <f t="shared" si="93"/>
        <v>12.100000000000001</v>
      </c>
      <c r="V610" s="19" t="s">
        <v>1248</v>
      </c>
      <c r="W610" s="19"/>
      <c r="X610" s="19"/>
      <c r="Y610" s="21">
        <v>11</v>
      </c>
      <c r="Z610" s="92">
        <v>1.3</v>
      </c>
      <c r="AA610" s="92">
        <v>1.2949999999999999</v>
      </c>
    </row>
    <row r="611" spans="1:27" x14ac:dyDescent="0.25">
      <c r="A611" s="33">
        <f t="shared" si="91"/>
        <v>608</v>
      </c>
      <c r="B611" s="19">
        <v>17310</v>
      </c>
      <c r="C611" s="19" t="s">
        <v>1245</v>
      </c>
      <c r="D611" s="19" t="s">
        <v>1217</v>
      </c>
      <c r="E611" s="29" t="s">
        <v>1246</v>
      </c>
      <c r="F611" s="19"/>
      <c r="G611" s="19"/>
      <c r="H611" s="19" t="s">
        <v>1219</v>
      </c>
      <c r="I611" s="19" t="s">
        <v>149</v>
      </c>
      <c r="J611" s="19"/>
      <c r="K611" s="19"/>
      <c r="L611" s="19"/>
      <c r="M611" s="19"/>
      <c r="N611" s="19">
        <v>9</v>
      </c>
      <c r="O611" s="19" t="s">
        <v>208</v>
      </c>
      <c r="P611" s="19"/>
      <c r="Q611" s="19" t="s">
        <v>395</v>
      </c>
      <c r="R611" s="19"/>
      <c r="S611" s="19"/>
      <c r="T611" s="19">
        <v>3</v>
      </c>
      <c r="U611" s="20">
        <f t="shared" si="93"/>
        <v>12.100000000000001</v>
      </c>
      <c r="V611" s="19" t="s">
        <v>1248</v>
      </c>
      <c r="W611" s="19"/>
      <c r="X611" s="19"/>
      <c r="Y611" s="21">
        <v>11</v>
      </c>
      <c r="Z611" s="92">
        <v>1.3</v>
      </c>
      <c r="AA611" s="92">
        <v>1.2949999999999999</v>
      </c>
    </row>
    <row r="612" spans="1:27" x14ac:dyDescent="0.25">
      <c r="A612" s="33">
        <f t="shared" si="91"/>
        <v>609</v>
      </c>
      <c r="B612" s="19">
        <v>17310</v>
      </c>
      <c r="C612" s="19" t="s">
        <v>1245</v>
      </c>
      <c r="D612" s="19" t="s">
        <v>1217</v>
      </c>
      <c r="E612" s="29" t="s">
        <v>1246</v>
      </c>
      <c r="F612" s="19"/>
      <c r="G612" s="19"/>
      <c r="H612" s="19" t="s">
        <v>1043</v>
      </c>
      <c r="I612" s="19" t="s">
        <v>149</v>
      </c>
      <c r="J612" s="19"/>
      <c r="K612" s="19"/>
      <c r="L612" s="19"/>
      <c r="M612" s="19"/>
      <c r="N612" s="19">
        <v>9</v>
      </c>
      <c r="O612" s="19" t="s">
        <v>208</v>
      </c>
      <c r="P612" s="19"/>
      <c r="Q612" s="19" t="s">
        <v>395</v>
      </c>
      <c r="R612" s="19"/>
      <c r="S612" s="19"/>
      <c r="T612" s="19">
        <v>4</v>
      </c>
      <c r="U612" s="20">
        <f t="shared" si="93"/>
        <v>12.100000000000001</v>
      </c>
      <c r="V612" s="19" t="s">
        <v>1248</v>
      </c>
      <c r="W612" s="19"/>
      <c r="X612" s="19"/>
      <c r="Y612" s="21">
        <v>11</v>
      </c>
      <c r="Z612" s="92">
        <v>1.3</v>
      </c>
      <c r="AA612" s="92">
        <v>1.2949999999999999</v>
      </c>
    </row>
    <row r="613" spans="1:27" x14ac:dyDescent="0.25">
      <c r="A613" s="33">
        <f t="shared" si="91"/>
        <v>610</v>
      </c>
      <c r="B613" s="19">
        <v>17310</v>
      </c>
      <c r="C613" s="19" t="s">
        <v>1245</v>
      </c>
      <c r="D613" s="19" t="s">
        <v>1217</v>
      </c>
      <c r="E613" s="29" t="s">
        <v>1246</v>
      </c>
      <c r="F613" s="19"/>
      <c r="G613" s="19"/>
      <c r="H613" s="19">
        <v>60</v>
      </c>
      <c r="I613" s="19" t="s">
        <v>149</v>
      </c>
      <c r="J613" s="19"/>
      <c r="K613" s="19"/>
      <c r="L613" s="19"/>
      <c r="M613" s="19"/>
      <c r="N613" s="19">
        <v>9</v>
      </c>
      <c r="O613" s="19" t="s">
        <v>208</v>
      </c>
      <c r="P613" s="19"/>
      <c r="Q613" s="19" t="s">
        <v>395</v>
      </c>
      <c r="R613" s="19"/>
      <c r="S613" s="19"/>
      <c r="T613" s="19">
        <v>5</v>
      </c>
      <c r="U613" s="20">
        <f t="shared" si="93"/>
        <v>12.100000000000001</v>
      </c>
      <c r="V613" s="19" t="s">
        <v>1248</v>
      </c>
      <c r="W613" s="19"/>
      <c r="X613" s="19"/>
      <c r="Y613" s="21">
        <v>11</v>
      </c>
      <c r="Z613" s="92">
        <v>1.3</v>
      </c>
      <c r="AA613" s="92">
        <v>1.2949999999999999</v>
      </c>
    </row>
    <row r="614" spans="1:27" x14ac:dyDescent="0.25">
      <c r="A614" s="33">
        <f t="shared" si="91"/>
        <v>611</v>
      </c>
      <c r="B614" s="210" t="s">
        <v>1249</v>
      </c>
      <c r="C614" s="210"/>
      <c r="D614" s="210"/>
      <c r="E614" s="210"/>
      <c r="F614" s="210"/>
      <c r="G614" s="210"/>
      <c r="H614" s="210"/>
      <c r="I614" s="210"/>
      <c r="J614" s="210"/>
      <c r="K614" s="210"/>
      <c r="L614" s="210"/>
      <c r="M614" s="210"/>
      <c r="N614" s="210"/>
      <c r="O614" s="210"/>
      <c r="P614" s="210"/>
      <c r="Q614" s="210"/>
      <c r="R614" s="210"/>
      <c r="S614" s="210"/>
      <c r="T614" s="210"/>
      <c r="U614" s="210"/>
      <c r="V614" s="210"/>
      <c r="W614" s="211"/>
      <c r="X614" s="19"/>
      <c r="Y614" s="74"/>
      <c r="Z614" s="76"/>
      <c r="AA614" s="76"/>
    </row>
    <row r="615" spans="1:27" x14ac:dyDescent="0.25">
      <c r="A615" s="33">
        <f t="shared" ref="A615:A682" si="94">ROW()-3</f>
        <v>612</v>
      </c>
      <c r="B615" s="19">
        <v>17220</v>
      </c>
      <c r="C615" s="19"/>
      <c r="D615" s="19" t="s">
        <v>1217</v>
      </c>
      <c r="E615" s="22" t="s">
        <v>240</v>
      </c>
      <c r="F615" s="19"/>
      <c r="G615" s="19"/>
      <c r="H615" s="19">
        <v>6</v>
      </c>
      <c r="I615" s="19" t="s">
        <v>1072</v>
      </c>
      <c r="J615" s="19"/>
      <c r="K615" s="19"/>
      <c r="L615" s="19"/>
      <c r="M615" s="19" t="s">
        <v>362</v>
      </c>
      <c r="N615" s="19">
        <v>8</v>
      </c>
      <c r="O615" s="19">
        <v>27</v>
      </c>
      <c r="P615" s="19"/>
      <c r="Q615" s="19" t="s">
        <v>395</v>
      </c>
      <c r="R615" s="19"/>
      <c r="S615" s="19"/>
      <c r="T615" s="19">
        <v>1</v>
      </c>
      <c r="U615" s="20">
        <f t="shared" ref="U615:U658" si="95">Y615*1.1</f>
        <v>0</v>
      </c>
      <c r="V615" s="19" t="s">
        <v>1250</v>
      </c>
      <c r="W615" s="19"/>
      <c r="X615" s="19"/>
      <c r="Y615" s="21">
        <v>0</v>
      </c>
      <c r="Z615" s="92">
        <v>1.3</v>
      </c>
      <c r="AA615" s="92">
        <v>1.2949999999999999</v>
      </c>
    </row>
    <row r="616" spans="1:27" x14ac:dyDescent="0.25">
      <c r="A616" s="33">
        <f t="shared" si="94"/>
        <v>613</v>
      </c>
      <c r="B616" s="19">
        <v>17220</v>
      </c>
      <c r="C616" s="19"/>
      <c r="D616" s="19" t="s">
        <v>1217</v>
      </c>
      <c r="E616" s="22" t="s">
        <v>240</v>
      </c>
      <c r="F616" s="19"/>
      <c r="G616" s="19"/>
      <c r="H616" s="19">
        <v>6</v>
      </c>
      <c r="I616" s="19" t="s">
        <v>1072</v>
      </c>
      <c r="J616" s="19"/>
      <c r="K616" s="19"/>
      <c r="L616" s="19"/>
      <c r="M616" s="19" t="s">
        <v>362</v>
      </c>
      <c r="N616" s="19">
        <v>8</v>
      </c>
      <c r="O616" s="19">
        <v>30</v>
      </c>
      <c r="P616" s="19"/>
      <c r="Q616" s="19" t="s">
        <v>395</v>
      </c>
      <c r="R616" s="19"/>
      <c r="S616" s="19"/>
      <c r="T616" s="19">
        <v>1</v>
      </c>
      <c r="U616" s="20">
        <f t="shared" si="95"/>
        <v>0</v>
      </c>
      <c r="V616" s="19" t="s">
        <v>1251</v>
      </c>
      <c r="W616" s="19"/>
      <c r="X616" s="19"/>
      <c r="Y616" s="21">
        <v>0</v>
      </c>
      <c r="Z616" s="92">
        <v>1.3</v>
      </c>
      <c r="AA616" s="92">
        <v>1.2949999999999999</v>
      </c>
    </row>
    <row r="617" spans="1:27" x14ac:dyDescent="0.25">
      <c r="A617" s="33">
        <f t="shared" si="94"/>
        <v>614</v>
      </c>
      <c r="B617" s="19">
        <v>17220</v>
      </c>
      <c r="C617" s="19"/>
      <c r="D617" s="19" t="s">
        <v>1217</v>
      </c>
      <c r="E617" s="22" t="s">
        <v>240</v>
      </c>
      <c r="F617" s="19"/>
      <c r="G617" s="19"/>
      <c r="H617" s="19">
        <v>6</v>
      </c>
      <c r="I617" s="19" t="s">
        <v>1072</v>
      </c>
      <c r="J617" s="19"/>
      <c r="K617" s="19"/>
      <c r="L617" s="19"/>
      <c r="M617" s="19" t="s">
        <v>362</v>
      </c>
      <c r="N617" s="19">
        <v>8</v>
      </c>
      <c r="O617" s="19">
        <v>35</v>
      </c>
      <c r="P617" s="19"/>
      <c r="Q617" s="19" t="s">
        <v>395</v>
      </c>
      <c r="R617" s="19"/>
      <c r="S617" s="19"/>
      <c r="T617" s="19">
        <v>1</v>
      </c>
      <c r="U617" s="20">
        <f t="shared" si="95"/>
        <v>0</v>
      </c>
      <c r="V617" s="19" t="s">
        <v>1252</v>
      </c>
      <c r="W617" s="19"/>
      <c r="X617" s="19"/>
      <c r="Y617" s="21">
        <v>0</v>
      </c>
      <c r="Z617" s="92">
        <v>1.3</v>
      </c>
      <c r="AA617" s="92">
        <v>1.2949999999999999</v>
      </c>
    </row>
    <row r="618" spans="1:27" x14ac:dyDescent="0.25">
      <c r="A618" s="33">
        <f t="shared" si="94"/>
        <v>615</v>
      </c>
      <c r="B618" s="19">
        <v>17220</v>
      </c>
      <c r="C618" s="19"/>
      <c r="D618" s="19" t="s">
        <v>1217</v>
      </c>
      <c r="E618" s="22" t="s">
        <v>240</v>
      </c>
      <c r="F618" s="19"/>
      <c r="G618" s="19"/>
      <c r="H618" s="19">
        <v>6</v>
      </c>
      <c r="I618" s="19" t="s">
        <v>1072</v>
      </c>
      <c r="J618" s="19"/>
      <c r="K618" s="19"/>
      <c r="L618" s="19"/>
      <c r="M618" s="19" t="s">
        <v>362</v>
      </c>
      <c r="N618" s="19">
        <v>8</v>
      </c>
      <c r="O618" s="19">
        <v>40</v>
      </c>
      <c r="P618" s="19"/>
      <c r="Q618" s="19" t="s">
        <v>395</v>
      </c>
      <c r="R618" s="19"/>
      <c r="S618" s="19"/>
      <c r="T618" s="19">
        <v>1</v>
      </c>
      <c r="U618" s="20">
        <f t="shared" si="95"/>
        <v>0</v>
      </c>
      <c r="V618" s="19" t="s">
        <v>1253</v>
      </c>
      <c r="W618" s="19"/>
      <c r="X618" s="19"/>
      <c r="Y618" s="21">
        <v>0</v>
      </c>
      <c r="Z618" s="92">
        <v>1.3</v>
      </c>
      <c r="AA618" s="92">
        <v>1.2949999999999999</v>
      </c>
    </row>
    <row r="619" spans="1:27" x14ac:dyDescent="0.25">
      <c r="A619" s="33">
        <f t="shared" si="94"/>
        <v>616</v>
      </c>
      <c r="B619" s="19">
        <v>17220</v>
      </c>
      <c r="C619" s="19" t="s">
        <v>1254</v>
      </c>
      <c r="D619" s="19" t="s">
        <v>1217</v>
      </c>
      <c r="E619" s="22" t="s">
        <v>240</v>
      </c>
      <c r="F619" s="19"/>
      <c r="G619" s="19"/>
      <c r="H619" s="19">
        <v>6</v>
      </c>
      <c r="I619" s="19" t="s">
        <v>1072</v>
      </c>
      <c r="J619" s="19"/>
      <c r="K619" s="19"/>
      <c r="L619" s="19"/>
      <c r="M619" s="19" t="s">
        <v>362</v>
      </c>
      <c r="N619" s="19">
        <v>9</v>
      </c>
      <c r="O619" s="19">
        <v>27</v>
      </c>
      <c r="P619" s="19"/>
      <c r="Q619" s="19" t="s">
        <v>395</v>
      </c>
      <c r="R619" s="19"/>
      <c r="S619" s="19"/>
      <c r="T619" s="19">
        <v>1</v>
      </c>
      <c r="U619" s="20">
        <f t="shared" si="95"/>
        <v>2.7829999999999999</v>
      </c>
      <c r="V619" s="19" t="s">
        <v>1255</v>
      </c>
      <c r="W619" s="19"/>
      <c r="X619" s="19"/>
      <c r="Y619" s="21">
        <v>2.5299999999999998</v>
      </c>
      <c r="Z619" s="92">
        <v>1.3</v>
      </c>
      <c r="AA619" s="92">
        <v>1.2949999999999999</v>
      </c>
    </row>
    <row r="620" spans="1:27" x14ac:dyDescent="0.25">
      <c r="A620" s="33">
        <f t="shared" si="94"/>
        <v>617</v>
      </c>
      <c r="B620" s="19">
        <v>17220</v>
      </c>
      <c r="C620" s="19" t="s">
        <v>1256</v>
      </c>
      <c r="D620" s="19" t="s">
        <v>1217</v>
      </c>
      <c r="E620" s="22" t="s">
        <v>240</v>
      </c>
      <c r="F620" s="19"/>
      <c r="G620" s="19"/>
      <c r="H620" s="19">
        <v>6</v>
      </c>
      <c r="I620" s="19" t="s">
        <v>1072</v>
      </c>
      <c r="J620" s="19"/>
      <c r="K620" s="19"/>
      <c r="L620" s="19"/>
      <c r="M620" s="19" t="s">
        <v>362</v>
      </c>
      <c r="N620" s="19">
        <v>9</v>
      </c>
      <c r="O620" s="19">
        <v>30</v>
      </c>
      <c r="P620" s="19"/>
      <c r="Q620" s="19" t="s">
        <v>395</v>
      </c>
      <c r="R620" s="19"/>
      <c r="S620" s="19"/>
      <c r="T620" s="19">
        <v>1</v>
      </c>
      <c r="U620" s="20">
        <f t="shared" si="95"/>
        <v>2.7829999999999999</v>
      </c>
      <c r="V620" s="19" t="s">
        <v>1257</v>
      </c>
      <c r="W620" s="19"/>
      <c r="X620" s="19"/>
      <c r="Y620" s="21">
        <v>2.5299999999999998</v>
      </c>
      <c r="Z620" s="92">
        <v>1.3</v>
      </c>
      <c r="AA620" s="92">
        <v>1.2949999999999999</v>
      </c>
    </row>
    <row r="621" spans="1:27" x14ac:dyDescent="0.25">
      <c r="A621" s="33">
        <f t="shared" si="94"/>
        <v>618</v>
      </c>
      <c r="B621" s="19">
        <v>17220</v>
      </c>
      <c r="C621" s="19" t="s">
        <v>1258</v>
      </c>
      <c r="D621" s="19" t="s">
        <v>1217</v>
      </c>
      <c r="E621" s="22" t="s">
        <v>240</v>
      </c>
      <c r="F621" s="19"/>
      <c r="G621" s="19"/>
      <c r="H621" s="19">
        <v>6</v>
      </c>
      <c r="I621" s="19" t="s">
        <v>1072</v>
      </c>
      <c r="J621" s="19"/>
      <c r="K621" s="19"/>
      <c r="L621" s="19"/>
      <c r="M621" s="19" t="s">
        <v>362</v>
      </c>
      <c r="N621" s="19">
        <v>9</v>
      </c>
      <c r="O621" s="19">
        <v>35</v>
      </c>
      <c r="P621" s="19"/>
      <c r="Q621" s="19" t="s">
        <v>395</v>
      </c>
      <c r="R621" s="19"/>
      <c r="S621" s="19"/>
      <c r="T621" s="19">
        <v>1</v>
      </c>
      <c r="U621" s="20">
        <f t="shared" si="95"/>
        <v>2.7829999999999999</v>
      </c>
      <c r="V621" s="19" t="s">
        <v>1259</v>
      </c>
      <c r="W621" s="19"/>
      <c r="X621" s="19"/>
      <c r="Y621" s="21">
        <v>2.5299999999999998</v>
      </c>
      <c r="Z621" s="92">
        <v>1.3</v>
      </c>
      <c r="AA621" s="92">
        <v>1.2949999999999999</v>
      </c>
    </row>
    <row r="622" spans="1:27" x14ac:dyDescent="0.25">
      <c r="A622" s="33">
        <f t="shared" si="94"/>
        <v>619</v>
      </c>
      <c r="B622" s="19">
        <v>17220</v>
      </c>
      <c r="C622" s="19" t="s">
        <v>1260</v>
      </c>
      <c r="D622" s="19" t="s">
        <v>1217</v>
      </c>
      <c r="E622" s="22" t="s">
        <v>240</v>
      </c>
      <c r="F622" s="19"/>
      <c r="G622" s="19"/>
      <c r="H622" s="19">
        <v>6</v>
      </c>
      <c r="I622" s="19" t="s">
        <v>1072</v>
      </c>
      <c r="J622" s="19"/>
      <c r="K622" s="19"/>
      <c r="L622" s="19"/>
      <c r="M622" s="19" t="s">
        <v>362</v>
      </c>
      <c r="N622" s="19">
        <v>9</v>
      </c>
      <c r="O622" s="19">
        <v>40</v>
      </c>
      <c r="P622" s="19"/>
      <c r="Q622" s="19" t="s">
        <v>395</v>
      </c>
      <c r="R622" s="19"/>
      <c r="S622" s="19"/>
      <c r="T622" s="19">
        <v>1</v>
      </c>
      <c r="U622" s="20">
        <f t="shared" si="95"/>
        <v>2.7829999999999999</v>
      </c>
      <c r="V622" s="19" t="s">
        <v>1261</v>
      </c>
      <c r="W622" s="19"/>
      <c r="X622" s="19"/>
      <c r="Y622" s="21">
        <v>2.5299999999999998</v>
      </c>
      <c r="Z622" s="92">
        <v>1.3</v>
      </c>
      <c r="AA622" s="92">
        <v>1.2949999999999999</v>
      </c>
    </row>
    <row r="623" spans="1:27" x14ac:dyDescent="0.25">
      <c r="A623" s="33">
        <f t="shared" si="94"/>
        <v>620</v>
      </c>
      <c r="B623" s="19">
        <v>17220</v>
      </c>
      <c r="C623" s="19"/>
      <c r="D623" s="19" t="s">
        <v>1217</v>
      </c>
      <c r="E623" s="22" t="s">
        <v>368</v>
      </c>
      <c r="F623" s="19"/>
      <c r="G623" s="19"/>
      <c r="H623" s="19">
        <v>18</v>
      </c>
      <c r="I623" s="19" t="s">
        <v>1072</v>
      </c>
      <c r="J623" s="19"/>
      <c r="K623" s="19"/>
      <c r="L623" s="19"/>
      <c r="M623" s="19"/>
      <c r="N623" s="19">
        <v>8</v>
      </c>
      <c r="O623" s="19">
        <v>27</v>
      </c>
      <c r="P623" s="19"/>
      <c r="Q623" s="19" t="s">
        <v>395</v>
      </c>
      <c r="R623" s="19"/>
      <c r="S623" s="19"/>
      <c r="T623" s="19">
        <v>1</v>
      </c>
      <c r="U623" s="20">
        <f t="shared" si="95"/>
        <v>0</v>
      </c>
      <c r="V623" s="19" t="s">
        <v>1250</v>
      </c>
      <c r="W623" s="19"/>
      <c r="X623" s="19"/>
      <c r="Y623" s="21">
        <v>0</v>
      </c>
      <c r="Z623" s="92">
        <v>1.3</v>
      </c>
      <c r="AA623" s="92">
        <v>1.2949999999999999</v>
      </c>
    </row>
    <row r="624" spans="1:27" x14ac:dyDescent="0.25">
      <c r="A624" s="33">
        <f t="shared" si="94"/>
        <v>621</v>
      </c>
      <c r="B624" s="19">
        <v>17220</v>
      </c>
      <c r="C624" s="19"/>
      <c r="D624" s="19" t="s">
        <v>1217</v>
      </c>
      <c r="E624" s="22" t="s">
        <v>368</v>
      </c>
      <c r="F624" s="19"/>
      <c r="G624" s="19"/>
      <c r="H624" s="19">
        <v>30</v>
      </c>
      <c r="I624" s="19" t="s">
        <v>1072</v>
      </c>
      <c r="J624" s="19"/>
      <c r="K624" s="19"/>
      <c r="L624" s="19"/>
      <c r="M624" s="19"/>
      <c r="N624" s="19">
        <v>8</v>
      </c>
      <c r="O624" s="19">
        <v>27</v>
      </c>
      <c r="P624" s="19"/>
      <c r="Q624" s="19" t="s">
        <v>395</v>
      </c>
      <c r="R624" s="19"/>
      <c r="S624" s="19"/>
      <c r="T624" s="19">
        <v>1</v>
      </c>
      <c r="U624" s="20">
        <f t="shared" si="95"/>
        <v>0</v>
      </c>
      <c r="V624" s="19" t="s">
        <v>1250</v>
      </c>
      <c r="W624" s="19"/>
      <c r="X624" s="19"/>
      <c r="Y624" s="21">
        <v>0</v>
      </c>
      <c r="Z624" s="92">
        <v>1.3</v>
      </c>
      <c r="AA624" s="92">
        <v>1.2949999999999999</v>
      </c>
    </row>
    <row r="625" spans="1:27" x14ac:dyDescent="0.25">
      <c r="A625" s="33">
        <f t="shared" si="94"/>
        <v>622</v>
      </c>
      <c r="B625" s="19">
        <v>17220</v>
      </c>
      <c r="C625" s="19"/>
      <c r="D625" s="19" t="s">
        <v>1217</v>
      </c>
      <c r="E625" s="22" t="s">
        <v>368</v>
      </c>
      <c r="F625" s="19"/>
      <c r="G625" s="19"/>
      <c r="H625" s="19">
        <v>42</v>
      </c>
      <c r="I625" s="19" t="s">
        <v>1072</v>
      </c>
      <c r="J625" s="19"/>
      <c r="K625" s="19"/>
      <c r="L625" s="19"/>
      <c r="M625" s="19"/>
      <c r="N625" s="19">
        <v>8</v>
      </c>
      <c r="O625" s="19">
        <v>27</v>
      </c>
      <c r="P625" s="19"/>
      <c r="Q625" s="19" t="s">
        <v>395</v>
      </c>
      <c r="R625" s="19"/>
      <c r="S625" s="19"/>
      <c r="T625" s="19">
        <v>1</v>
      </c>
      <c r="U625" s="20">
        <f t="shared" si="95"/>
        <v>0</v>
      </c>
      <c r="V625" s="19" t="s">
        <v>1250</v>
      </c>
      <c r="W625" s="19"/>
      <c r="X625" s="19"/>
      <c r="Y625" s="21">
        <v>0</v>
      </c>
      <c r="Z625" s="92">
        <v>1.3</v>
      </c>
      <c r="AA625" s="92">
        <v>1.2949999999999999</v>
      </c>
    </row>
    <row r="626" spans="1:27" x14ac:dyDescent="0.25">
      <c r="A626" s="33">
        <f t="shared" si="94"/>
        <v>623</v>
      </c>
      <c r="B626" s="19">
        <v>17220</v>
      </c>
      <c r="C626" s="19"/>
      <c r="D626" s="19" t="s">
        <v>1217</v>
      </c>
      <c r="E626" s="22" t="s">
        <v>368</v>
      </c>
      <c r="F626" s="19"/>
      <c r="G626" s="19"/>
      <c r="H626" s="19">
        <v>54</v>
      </c>
      <c r="I626" s="19" t="s">
        <v>1072</v>
      </c>
      <c r="J626" s="19"/>
      <c r="K626" s="19"/>
      <c r="L626" s="19"/>
      <c r="M626" s="19"/>
      <c r="N626" s="19">
        <v>8</v>
      </c>
      <c r="O626" s="19">
        <v>27</v>
      </c>
      <c r="P626" s="19"/>
      <c r="Q626" s="19" t="s">
        <v>395</v>
      </c>
      <c r="R626" s="19"/>
      <c r="S626" s="19"/>
      <c r="T626" s="19">
        <v>1</v>
      </c>
      <c r="U626" s="20">
        <f t="shared" si="95"/>
        <v>0</v>
      </c>
      <c r="V626" s="19" t="s">
        <v>1250</v>
      </c>
      <c r="W626" s="19"/>
      <c r="X626" s="19"/>
      <c r="Y626" s="21">
        <v>0</v>
      </c>
      <c r="Z626" s="92">
        <v>1.3</v>
      </c>
      <c r="AA626" s="92">
        <v>1.2949999999999999</v>
      </c>
    </row>
    <row r="627" spans="1:27" x14ac:dyDescent="0.25">
      <c r="A627" s="33">
        <f t="shared" si="94"/>
        <v>624</v>
      </c>
      <c r="B627" s="19">
        <v>17220</v>
      </c>
      <c r="C627" s="19"/>
      <c r="D627" s="19" t="s">
        <v>1217</v>
      </c>
      <c r="E627" s="22" t="s">
        <v>368</v>
      </c>
      <c r="F627" s="19"/>
      <c r="G627" s="19"/>
      <c r="H627" s="19">
        <v>18</v>
      </c>
      <c r="I627" s="19" t="s">
        <v>1072</v>
      </c>
      <c r="J627" s="19"/>
      <c r="K627" s="19"/>
      <c r="L627" s="19"/>
      <c r="M627" s="19"/>
      <c r="N627" s="19">
        <v>8</v>
      </c>
      <c r="O627" s="19">
        <v>30</v>
      </c>
      <c r="P627" s="19"/>
      <c r="Q627" s="19" t="s">
        <v>395</v>
      </c>
      <c r="R627" s="19"/>
      <c r="S627" s="19"/>
      <c r="T627" s="19">
        <v>1</v>
      </c>
      <c r="U627" s="20">
        <f t="shared" si="95"/>
        <v>0</v>
      </c>
      <c r="V627" s="19" t="s">
        <v>1251</v>
      </c>
      <c r="W627" s="19"/>
      <c r="X627" s="19"/>
      <c r="Y627" s="21">
        <v>0</v>
      </c>
      <c r="Z627" s="92">
        <v>1.3</v>
      </c>
      <c r="AA627" s="92">
        <v>1.2949999999999999</v>
      </c>
    </row>
    <row r="628" spans="1:27" x14ac:dyDescent="0.25">
      <c r="A628" s="33">
        <f t="shared" si="94"/>
        <v>625</v>
      </c>
      <c r="B628" s="19">
        <v>17220</v>
      </c>
      <c r="C628" s="19"/>
      <c r="D628" s="19" t="s">
        <v>1217</v>
      </c>
      <c r="E628" s="22" t="s">
        <v>368</v>
      </c>
      <c r="F628" s="19"/>
      <c r="G628" s="19"/>
      <c r="H628" s="19">
        <v>30</v>
      </c>
      <c r="I628" s="19" t="s">
        <v>1072</v>
      </c>
      <c r="J628" s="19"/>
      <c r="K628" s="19"/>
      <c r="L628" s="19"/>
      <c r="M628" s="19"/>
      <c r="N628" s="19">
        <v>8</v>
      </c>
      <c r="O628" s="19">
        <v>30</v>
      </c>
      <c r="P628" s="19"/>
      <c r="Q628" s="19" t="s">
        <v>395</v>
      </c>
      <c r="R628" s="19"/>
      <c r="S628" s="19"/>
      <c r="T628" s="19">
        <v>1</v>
      </c>
      <c r="U628" s="20">
        <f t="shared" si="95"/>
        <v>0</v>
      </c>
      <c r="V628" s="19" t="s">
        <v>1251</v>
      </c>
      <c r="W628" s="19"/>
      <c r="X628" s="19"/>
      <c r="Y628" s="21">
        <v>0</v>
      </c>
      <c r="Z628" s="92">
        <v>1.3</v>
      </c>
      <c r="AA628" s="92">
        <v>1.2949999999999999</v>
      </c>
    </row>
    <row r="629" spans="1:27" x14ac:dyDescent="0.25">
      <c r="A629" s="33">
        <f t="shared" si="94"/>
        <v>626</v>
      </c>
      <c r="B629" s="19">
        <v>17220</v>
      </c>
      <c r="C629" s="19"/>
      <c r="D629" s="19" t="s">
        <v>1217</v>
      </c>
      <c r="E629" s="22" t="s">
        <v>368</v>
      </c>
      <c r="F629" s="19"/>
      <c r="G629" s="19"/>
      <c r="H629" s="19">
        <v>42</v>
      </c>
      <c r="I629" s="19" t="s">
        <v>1072</v>
      </c>
      <c r="J629" s="19"/>
      <c r="K629" s="19"/>
      <c r="L629" s="19"/>
      <c r="M629" s="19"/>
      <c r="N629" s="19">
        <v>8</v>
      </c>
      <c r="O629" s="19">
        <v>30</v>
      </c>
      <c r="P629" s="19"/>
      <c r="Q629" s="19" t="s">
        <v>395</v>
      </c>
      <c r="R629" s="19"/>
      <c r="S629" s="19"/>
      <c r="T629" s="19">
        <v>1</v>
      </c>
      <c r="U629" s="20">
        <f t="shared" si="95"/>
        <v>0</v>
      </c>
      <c r="V629" s="19" t="s">
        <v>1251</v>
      </c>
      <c r="W629" s="19"/>
      <c r="X629" s="19"/>
      <c r="Y629" s="21">
        <v>0</v>
      </c>
      <c r="Z629" s="92">
        <v>1.3</v>
      </c>
      <c r="AA629" s="92">
        <v>1.2949999999999999</v>
      </c>
    </row>
    <row r="630" spans="1:27" x14ac:dyDescent="0.25">
      <c r="A630" s="33">
        <f t="shared" si="94"/>
        <v>627</v>
      </c>
      <c r="B630" s="19">
        <v>17220</v>
      </c>
      <c r="C630" s="19"/>
      <c r="D630" s="19" t="s">
        <v>1217</v>
      </c>
      <c r="E630" s="22" t="s">
        <v>368</v>
      </c>
      <c r="F630" s="19"/>
      <c r="G630" s="19"/>
      <c r="H630" s="19">
        <v>54</v>
      </c>
      <c r="I630" s="19" t="s">
        <v>1072</v>
      </c>
      <c r="J630" s="19"/>
      <c r="K630" s="19"/>
      <c r="L630" s="19"/>
      <c r="M630" s="19"/>
      <c r="N630" s="19">
        <v>8</v>
      </c>
      <c r="O630" s="19">
        <v>30</v>
      </c>
      <c r="P630" s="19"/>
      <c r="Q630" s="19" t="s">
        <v>395</v>
      </c>
      <c r="R630" s="19"/>
      <c r="S630" s="19"/>
      <c r="T630" s="19">
        <v>1</v>
      </c>
      <c r="U630" s="20">
        <f t="shared" si="95"/>
        <v>0</v>
      </c>
      <c r="V630" s="19" t="s">
        <v>1251</v>
      </c>
      <c r="W630" s="19"/>
      <c r="X630" s="19"/>
      <c r="Y630" s="21">
        <v>0</v>
      </c>
      <c r="Z630" s="92">
        <v>1.3</v>
      </c>
      <c r="AA630" s="92">
        <v>1.2949999999999999</v>
      </c>
    </row>
    <row r="631" spans="1:27" x14ac:dyDescent="0.25">
      <c r="A631" s="33">
        <f t="shared" si="94"/>
        <v>628</v>
      </c>
      <c r="B631" s="19">
        <v>17220</v>
      </c>
      <c r="C631" s="19"/>
      <c r="D631" s="19" t="s">
        <v>1217</v>
      </c>
      <c r="E631" s="22" t="s">
        <v>368</v>
      </c>
      <c r="F631" s="19"/>
      <c r="G631" s="19"/>
      <c r="H631" s="19">
        <v>18</v>
      </c>
      <c r="I631" s="19" t="s">
        <v>1072</v>
      </c>
      <c r="J631" s="19"/>
      <c r="K631" s="19"/>
      <c r="L631" s="19"/>
      <c r="M631" s="19"/>
      <c r="N631" s="19">
        <v>8</v>
      </c>
      <c r="O631" s="19">
        <v>35</v>
      </c>
      <c r="P631" s="19"/>
      <c r="Q631" s="19" t="s">
        <v>395</v>
      </c>
      <c r="R631" s="19"/>
      <c r="S631" s="19"/>
      <c r="T631" s="19">
        <v>1</v>
      </c>
      <c r="U631" s="20">
        <f t="shared" si="95"/>
        <v>0</v>
      </c>
      <c r="V631" s="19" t="s">
        <v>1252</v>
      </c>
      <c r="W631" s="19"/>
      <c r="X631" s="19"/>
      <c r="Y631" s="21">
        <v>0</v>
      </c>
      <c r="Z631" s="92">
        <v>1.3</v>
      </c>
      <c r="AA631" s="92">
        <v>1.2949999999999999</v>
      </c>
    </row>
    <row r="632" spans="1:27" x14ac:dyDescent="0.25">
      <c r="A632" s="33">
        <f t="shared" si="94"/>
        <v>629</v>
      </c>
      <c r="B632" s="19">
        <v>17220</v>
      </c>
      <c r="C632" s="19"/>
      <c r="D632" s="19" t="s">
        <v>1217</v>
      </c>
      <c r="E632" s="22" t="s">
        <v>368</v>
      </c>
      <c r="F632" s="19"/>
      <c r="G632" s="19"/>
      <c r="H632" s="19">
        <v>30</v>
      </c>
      <c r="I632" s="19" t="s">
        <v>1072</v>
      </c>
      <c r="J632" s="19"/>
      <c r="K632" s="19"/>
      <c r="L632" s="19"/>
      <c r="M632" s="19"/>
      <c r="N632" s="19">
        <v>8</v>
      </c>
      <c r="O632" s="19">
        <v>35</v>
      </c>
      <c r="P632" s="19"/>
      <c r="Q632" s="19" t="s">
        <v>395</v>
      </c>
      <c r="R632" s="19"/>
      <c r="S632" s="19"/>
      <c r="T632" s="19">
        <v>1</v>
      </c>
      <c r="U632" s="20">
        <f t="shared" si="95"/>
        <v>0</v>
      </c>
      <c r="V632" s="19" t="s">
        <v>1252</v>
      </c>
      <c r="W632" s="19"/>
      <c r="X632" s="19"/>
      <c r="Y632" s="21">
        <v>0</v>
      </c>
      <c r="Z632" s="92">
        <v>1.3</v>
      </c>
      <c r="AA632" s="92">
        <v>1.2949999999999999</v>
      </c>
    </row>
    <row r="633" spans="1:27" x14ac:dyDescent="0.25">
      <c r="A633" s="33">
        <f t="shared" si="94"/>
        <v>630</v>
      </c>
      <c r="B633" s="19">
        <v>17220</v>
      </c>
      <c r="C633" s="19"/>
      <c r="D633" s="19" t="s">
        <v>1217</v>
      </c>
      <c r="E633" s="22" t="s">
        <v>368</v>
      </c>
      <c r="F633" s="19"/>
      <c r="G633" s="19"/>
      <c r="H633" s="19">
        <v>42</v>
      </c>
      <c r="I633" s="19" t="s">
        <v>1072</v>
      </c>
      <c r="J633" s="19"/>
      <c r="K633" s="19"/>
      <c r="L633" s="19"/>
      <c r="M633" s="19"/>
      <c r="N633" s="19">
        <v>8</v>
      </c>
      <c r="O633" s="19">
        <v>35</v>
      </c>
      <c r="P633" s="19"/>
      <c r="Q633" s="19" t="s">
        <v>395</v>
      </c>
      <c r="R633" s="19"/>
      <c r="S633" s="19"/>
      <c r="T633" s="19">
        <v>1</v>
      </c>
      <c r="U633" s="20">
        <f t="shared" si="95"/>
        <v>0</v>
      </c>
      <c r="V633" s="19" t="s">
        <v>1252</v>
      </c>
      <c r="W633" s="19"/>
      <c r="X633" s="19"/>
      <c r="Y633" s="21">
        <v>0</v>
      </c>
      <c r="Z633" s="92">
        <v>1.3</v>
      </c>
      <c r="AA633" s="92">
        <v>1.2949999999999999</v>
      </c>
    </row>
    <row r="634" spans="1:27" x14ac:dyDescent="0.25">
      <c r="A634" s="33">
        <f t="shared" si="94"/>
        <v>631</v>
      </c>
      <c r="B634" s="19">
        <v>17220</v>
      </c>
      <c r="C634" s="19"/>
      <c r="D634" s="19" t="s">
        <v>1217</v>
      </c>
      <c r="E634" s="22" t="s">
        <v>368</v>
      </c>
      <c r="F634" s="19"/>
      <c r="G634" s="19"/>
      <c r="H634" s="19">
        <v>54</v>
      </c>
      <c r="I634" s="19" t="s">
        <v>1072</v>
      </c>
      <c r="J634" s="19"/>
      <c r="K634" s="19"/>
      <c r="L634" s="19"/>
      <c r="M634" s="19"/>
      <c r="N634" s="19">
        <v>8</v>
      </c>
      <c r="O634" s="19">
        <v>35</v>
      </c>
      <c r="P634" s="19"/>
      <c r="Q634" s="19" t="s">
        <v>395</v>
      </c>
      <c r="R634" s="19"/>
      <c r="S634" s="19"/>
      <c r="T634" s="19">
        <v>1</v>
      </c>
      <c r="U634" s="20">
        <f t="shared" si="95"/>
        <v>0</v>
      </c>
      <c r="V634" s="19" t="s">
        <v>1252</v>
      </c>
      <c r="W634" s="19"/>
      <c r="X634" s="19"/>
      <c r="Y634" s="21">
        <v>0</v>
      </c>
      <c r="Z634" s="92">
        <v>1.3</v>
      </c>
      <c r="AA634" s="92">
        <v>1.2949999999999999</v>
      </c>
    </row>
    <row r="635" spans="1:27" x14ac:dyDescent="0.25">
      <c r="A635" s="33">
        <f t="shared" si="94"/>
        <v>632</v>
      </c>
      <c r="B635" s="19">
        <v>17220</v>
      </c>
      <c r="C635" s="19"/>
      <c r="D635" s="19" t="s">
        <v>1217</v>
      </c>
      <c r="E635" s="22" t="s">
        <v>368</v>
      </c>
      <c r="F635" s="19"/>
      <c r="G635" s="19"/>
      <c r="H635" s="19">
        <v>18</v>
      </c>
      <c r="I635" s="19" t="s">
        <v>1072</v>
      </c>
      <c r="J635" s="19"/>
      <c r="K635" s="19"/>
      <c r="L635" s="19"/>
      <c r="M635" s="19"/>
      <c r="N635" s="19">
        <v>8</v>
      </c>
      <c r="O635" s="19">
        <v>40</v>
      </c>
      <c r="P635" s="19"/>
      <c r="Q635" s="19" t="s">
        <v>395</v>
      </c>
      <c r="R635" s="19"/>
      <c r="S635" s="19"/>
      <c r="T635" s="19">
        <v>1</v>
      </c>
      <c r="U635" s="20">
        <f t="shared" si="95"/>
        <v>0</v>
      </c>
      <c r="V635" s="19" t="s">
        <v>1253</v>
      </c>
      <c r="W635" s="19"/>
      <c r="X635" s="19"/>
      <c r="Y635" s="21">
        <v>0</v>
      </c>
      <c r="Z635" s="92">
        <v>1.3</v>
      </c>
      <c r="AA635" s="92">
        <v>1.2949999999999999</v>
      </c>
    </row>
    <row r="636" spans="1:27" x14ac:dyDescent="0.25">
      <c r="A636" s="33">
        <f t="shared" si="94"/>
        <v>633</v>
      </c>
      <c r="B636" s="19">
        <v>17220</v>
      </c>
      <c r="C636" s="19"/>
      <c r="D636" s="19" t="s">
        <v>1217</v>
      </c>
      <c r="E636" s="22" t="s">
        <v>368</v>
      </c>
      <c r="F636" s="19"/>
      <c r="G636" s="19"/>
      <c r="H636" s="19">
        <v>30</v>
      </c>
      <c r="I636" s="19" t="s">
        <v>1072</v>
      </c>
      <c r="J636" s="19"/>
      <c r="K636" s="19"/>
      <c r="L636" s="19"/>
      <c r="M636" s="19"/>
      <c r="N636" s="19">
        <v>8</v>
      </c>
      <c r="O636" s="19">
        <v>40</v>
      </c>
      <c r="P636" s="19"/>
      <c r="Q636" s="19" t="s">
        <v>395</v>
      </c>
      <c r="R636" s="19"/>
      <c r="S636" s="19"/>
      <c r="T636" s="19">
        <v>1</v>
      </c>
      <c r="U636" s="20">
        <f t="shared" si="95"/>
        <v>0</v>
      </c>
      <c r="V636" s="19" t="s">
        <v>1253</v>
      </c>
      <c r="W636" s="19"/>
      <c r="X636" s="19"/>
      <c r="Y636" s="21">
        <v>0</v>
      </c>
      <c r="Z636" s="92">
        <v>1.3</v>
      </c>
      <c r="AA636" s="92">
        <v>1.2949999999999999</v>
      </c>
    </row>
    <row r="637" spans="1:27" x14ac:dyDescent="0.25">
      <c r="A637" s="33">
        <f t="shared" si="94"/>
        <v>634</v>
      </c>
      <c r="B637" s="19">
        <v>17220</v>
      </c>
      <c r="C637" s="19"/>
      <c r="D637" s="19" t="s">
        <v>1217</v>
      </c>
      <c r="E637" s="22" t="s">
        <v>368</v>
      </c>
      <c r="F637" s="19"/>
      <c r="G637" s="19"/>
      <c r="H637" s="19">
        <v>42</v>
      </c>
      <c r="I637" s="19" t="s">
        <v>1072</v>
      </c>
      <c r="J637" s="19"/>
      <c r="K637" s="19"/>
      <c r="L637" s="19"/>
      <c r="M637" s="19"/>
      <c r="N637" s="19">
        <v>8</v>
      </c>
      <c r="O637" s="19">
        <v>40</v>
      </c>
      <c r="P637" s="19"/>
      <c r="Q637" s="19" t="s">
        <v>395</v>
      </c>
      <c r="R637" s="19"/>
      <c r="S637" s="19"/>
      <c r="T637" s="19">
        <v>1</v>
      </c>
      <c r="U637" s="20">
        <f t="shared" si="95"/>
        <v>0</v>
      </c>
      <c r="V637" s="19" t="s">
        <v>1253</v>
      </c>
      <c r="W637" s="19"/>
      <c r="X637" s="19"/>
      <c r="Y637" s="21">
        <v>0</v>
      </c>
      <c r="Z637" s="92">
        <v>1.3</v>
      </c>
      <c r="AA637" s="92">
        <v>1.2949999999999999</v>
      </c>
    </row>
    <row r="638" spans="1:27" x14ac:dyDescent="0.25">
      <c r="A638" s="33">
        <f t="shared" si="94"/>
        <v>635</v>
      </c>
      <c r="B638" s="19">
        <v>17220</v>
      </c>
      <c r="C638" s="19"/>
      <c r="D638" s="19" t="s">
        <v>1217</v>
      </c>
      <c r="E638" s="22" t="s">
        <v>368</v>
      </c>
      <c r="F638" s="19"/>
      <c r="G638" s="19"/>
      <c r="H638" s="19">
        <v>54</v>
      </c>
      <c r="I638" s="19" t="s">
        <v>1072</v>
      </c>
      <c r="J638" s="19"/>
      <c r="K638" s="19"/>
      <c r="L638" s="19"/>
      <c r="M638" s="19"/>
      <c r="N638" s="19">
        <v>8</v>
      </c>
      <c r="O638" s="19">
        <v>40</v>
      </c>
      <c r="P638" s="19"/>
      <c r="Q638" s="19" t="s">
        <v>395</v>
      </c>
      <c r="R638" s="19"/>
      <c r="S638" s="19"/>
      <c r="T638" s="19">
        <v>1</v>
      </c>
      <c r="U638" s="20">
        <f t="shared" si="95"/>
        <v>0</v>
      </c>
      <c r="V638" s="19" t="s">
        <v>1253</v>
      </c>
      <c r="W638" s="19"/>
      <c r="X638" s="19"/>
      <c r="Y638" s="21">
        <v>0</v>
      </c>
      <c r="Z638" s="92">
        <v>1.3</v>
      </c>
      <c r="AA638" s="92">
        <v>1.2949999999999999</v>
      </c>
    </row>
    <row r="639" spans="1:27" x14ac:dyDescent="0.25">
      <c r="A639" s="33">
        <f t="shared" si="94"/>
        <v>636</v>
      </c>
      <c r="B639" s="19">
        <v>17220</v>
      </c>
      <c r="C639" s="19" t="s">
        <v>1254</v>
      </c>
      <c r="D639" s="19" t="s">
        <v>1217</v>
      </c>
      <c r="E639" s="22" t="s">
        <v>368</v>
      </c>
      <c r="F639" s="19"/>
      <c r="G639" s="19"/>
      <c r="H639" s="19">
        <v>18</v>
      </c>
      <c r="I639" s="19" t="s">
        <v>1072</v>
      </c>
      <c r="J639" s="19"/>
      <c r="K639" s="19"/>
      <c r="L639" s="19"/>
      <c r="M639" s="19"/>
      <c r="N639" s="19">
        <v>9</v>
      </c>
      <c r="O639" s="19">
        <v>27</v>
      </c>
      <c r="P639" s="19"/>
      <c r="Q639" s="19" t="s">
        <v>395</v>
      </c>
      <c r="R639" s="19"/>
      <c r="S639" s="19"/>
      <c r="T639" s="19">
        <v>1</v>
      </c>
      <c r="U639" s="20">
        <f t="shared" si="95"/>
        <v>2.7829999999999999</v>
      </c>
      <c r="V639" s="19" t="s">
        <v>1262</v>
      </c>
      <c r="W639" s="19"/>
      <c r="X639" s="19"/>
      <c r="Y639" s="21">
        <v>2.5299999999999998</v>
      </c>
      <c r="Z639" s="92">
        <v>1.3</v>
      </c>
      <c r="AA639" s="92">
        <v>1.2949999999999999</v>
      </c>
    </row>
    <row r="640" spans="1:27" x14ac:dyDescent="0.25">
      <c r="A640" s="33">
        <f t="shared" si="94"/>
        <v>637</v>
      </c>
      <c r="B640" s="19">
        <v>17220</v>
      </c>
      <c r="C640" s="19" t="s">
        <v>1254</v>
      </c>
      <c r="D640" s="19" t="s">
        <v>1217</v>
      </c>
      <c r="E640" s="22" t="s">
        <v>368</v>
      </c>
      <c r="F640" s="19"/>
      <c r="G640" s="19"/>
      <c r="H640" s="19">
        <v>30</v>
      </c>
      <c r="I640" s="19" t="s">
        <v>1072</v>
      </c>
      <c r="J640" s="19"/>
      <c r="K640" s="19"/>
      <c r="L640" s="19"/>
      <c r="M640" s="19"/>
      <c r="N640" s="19">
        <v>9</v>
      </c>
      <c r="O640" s="19">
        <v>27</v>
      </c>
      <c r="P640" s="19"/>
      <c r="Q640" s="19" t="s">
        <v>395</v>
      </c>
      <c r="R640" s="19"/>
      <c r="S640" s="19"/>
      <c r="T640" s="19">
        <v>1</v>
      </c>
      <c r="U640" s="20">
        <f t="shared" si="95"/>
        <v>2.7829999999999999</v>
      </c>
      <c r="V640" s="19" t="s">
        <v>1255</v>
      </c>
      <c r="W640" s="19"/>
      <c r="X640" s="19"/>
      <c r="Y640" s="21">
        <v>2.5299999999999998</v>
      </c>
      <c r="Z640" s="92">
        <v>1.3</v>
      </c>
      <c r="AA640" s="92">
        <v>1.2949999999999999</v>
      </c>
    </row>
    <row r="641" spans="1:27" x14ac:dyDescent="0.25">
      <c r="A641" s="33">
        <f t="shared" si="94"/>
        <v>638</v>
      </c>
      <c r="B641" s="19">
        <v>17220</v>
      </c>
      <c r="C641" s="19" t="s">
        <v>1254</v>
      </c>
      <c r="D641" s="19" t="s">
        <v>1217</v>
      </c>
      <c r="E641" s="22" t="s">
        <v>368</v>
      </c>
      <c r="F641" s="19"/>
      <c r="G641" s="19"/>
      <c r="H641" s="19">
        <v>42</v>
      </c>
      <c r="I641" s="19" t="s">
        <v>1072</v>
      </c>
      <c r="J641" s="19"/>
      <c r="K641" s="19"/>
      <c r="L641" s="19"/>
      <c r="M641" s="19"/>
      <c r="N641" s="19">
        <v>9</v>
      </c>
      <c r="O641" s="19">
        <v>27</v>
      </c>
      <c r="P641" s="19"/>
      <c r="Q641" s="19" t="s">
        <v>395</v>
      </c>
      <c r="R641" s="19"/>
      <c r="S641" s="19"/>
      <c r="T641" s="19">
        <v>1</v>
      </c>
      <c r="U641" s="20">
        <f t="shared" si="95"/>
        <v>2.7829999999999999</v>
      </c>
      <c r="V641" s="19" t="s">
        <v>1255</v>
      </c>
      <c r="W641" s="19"/>
      <c r="X641" s="19"/>
      <c r="Y641" s="21">
        <v>2.5299999999999998</v>
      </c>
      <c r="Z641" s="92">
        <v>1.3</v>
      </c>
      <c r="AA641" s="92">
        <v>1.2949999999999999</v>
      </c>
    </row>
    <row r="642" spans="1:27" x14ac:dyDescent="0.25">
      <c r="A642" s="33">
        <f t="shared" si="94"/>
        <v>639</v>
      </c>
      <c r="B642" s="19">
        <v>17220</v>
      </c>
      <c r="C642" s="19" t="s">
        <v>1254</v>
      </c>
      <c r="D642" s="19" t="s">
        <v>1217</v>
      </c>
      <c r="E642" s="22" t="s">
        <v>368</v>
      </c>
      <c r="F642" s="19"/>
      <c r="G642" s="19"/>
      <c r="H642" s="19">
        <v>54</v>
      </c>
      <c r="I642" s="19" t="s">
        <v>1072</v>
      </c>
      <c r="J642" s="19"/>
      <c r="K642" s="19"/>
      <c r="L642" s="19"/>
      <c r="M642" s="19"/>
      <c r="N642" s="19">
        <v>9</v>
      </c>
      <c r="O642" s="19">
        <v>27</v>
      </c>
      <c r="P642" s="19"/>
      <c r="Q642" s="19" t="s">
        <v>395</v>
      </c>
      <c r="R642" s="19"/>
      <c r="S642" s="19"/>
      <c r="T642" s="19">
        <v>1</v>
      </c>
      <c r="U642" s="20">
        <f t="shared" si="95"/>
        <v>2.7829999999999999</v>
      </c>
      <c r="V642" s="19" t="s">
        <v>1255</v>
      </c>
      <c r="W642" s="19"/>
      <c r="X642" s="19"/>
      <c r="Y642" s="21">
        <v>2.5299999999999998</v>
      </c>
      <c r="Z642" s="92">
        <v>1.3</v>
      </c>
      <c r="AA642" s="92">
        <v>1.2949999999999999</v>
      </c>
    </row>
    <row r="643" spans="1:27" x14ac:dyDescent="0.25">
      <c r="A643" s="33">
        <f t="shared" si="94"/>
        <v>640</v>
      </c>
      <c r="B643" s="19">
        <v>17220</v>
      </c>
      <c r="C643" s="19" t="s">
        <v>1254</v>
      </c>
      <c r="D643" s="19" t="s">
        <v>1217</v>
      </c>
      <c r="E643" s="22" t="s">
        <v>368</v>
      </c>
      <c r="F643" s="19"/>
      <c r="G643" s="19"/>
      <c r="H643" s="19">
        <v>60</v>
      </c>
      <c r="I643" s="19" t="s">
        <v>1072</v>
      </c>
      <c r="J643" s="19"/>
      <c r="K643" s="19"/>
      <c r="L643" s="19"/>
      <c r="M643" s="19"/>
      <c r="N643" s="19">
        <v>9</v>
      </c>
      <c r="O643" s="19">
        <v>27</v>
      </c>
      <c r="P643" s="19"/>
      <c r="Q643" s="19" t="s">
        <v>395</v>
      </c>
      <c r="R643" s="19"/>
      <c r="S643" s="19"/>
      <c r="T643" s="19">
        <v>2</v>
      </c>
      <c r="U643" s="20">
        <f t="shared" si="95"/>
        <v>2.7829999999999999</v>
      </c>
      <c r="V643" s="19" t="s">
        <v>1255</v>
      </c>
      <c r="W643" s="19"/>
      <c r="X643" s="19"/>
      <c r="Y643" s="21">
        <v>2.5299999999999998</v>
      </c>
      <c r="Z643" s="92">
        <v>1.3</v>
      </c>
      <c r="AA643" s="92">
        <v>1.2949999999999999</v>
      </c>
    </row>
    <row r="644" spans="1:27" x14ac:dyDescent="0.25">
      <c r="A644" s="33">
        <f t="shared" si="94"/>
        <v>641</v>
      </c>
      <c r="B644" s="19">
        <v>17220</v>
      </c>
      <c r="C644" s="19" t="s">
        <v>1256</v>
      </c>
      <c r="D644" s="19" t="s">
        <v>1217</v>
      </c>
      <c r="E644" s="22" t="s">
        <v>368</v>
      </c>
      <c r="F644" s="19"/>
      <c r="G644" s="19"/>
      <c r="H644" s="19">
        <v>18</v>
      </c>
      <c r="I644" s="19" t="s">
        <v>1072</v>
      </c>
      <c r="J644" s="19"/>
      <c r="K644" s="19"/>
      <c r="L644" s="19"/>
      <c r="M644" s="19"/>
      <c r="N644" s="19">
        <v>9</v>
      </c>
      <c r="O644" s="19">
        <v>30</v>
      </c>
      <c r="P644" s="19"/>
      <c r="Q644" s="19" t="s">
        <v>395</v>
      </c>
      <c r="R644" s="19"/>
      <c r="S644" s="19"/>
      <c r="T644" s="19">
        <v>1</v>
      </c>
      <c r="U644" s="20">
        <f t="shared" si="95"/>
        <v>2.7829999999999999</v>
      </c>
      <c r="V644" s="19" t="s">
        <v>1257</v>
      </c>
      <c r="W644" s="19"/>
      <c r="X644" s="19"/>
      <c r="Y644" s="21">
        <v>2.5299999999999998</v>
      </c>
      <c r="Z644" s="92">
        <v>1.3</v>
      </c>
      <c r="AA644" s="92">
        <v>1.2949999999999999</v>
      </c>
    </row>
    <row r="645" spans="1:27" x14ac:dyDescent="0.25">
      <c r="A645" s="33">
        <f t="shared" si="94"/>
        <v>642</v>
      </c>
      <c r="B645" s="19">
        <v>17220</v>
      </c>
      <c r="C645" s="19" t="s">
        <v>1256</v>
      </c>
      <c r="D645" s="19" t="s">
        <v>1217</v>
      </c>
      <c r="E645" s="22" t="s">
        <v>368</v>
      </c>
      <c r="F645" s="19"/>
      <c r="G645" s="19"/>
      <c r="H645" s="19">
        <v>30</v>
      </c>
      <c r="I645" s="19" t="s">
        <v>1072</v>
      </c>
      <c r="J645" s="19"/>
      <c r="K645" s="19"/>
      <c r="L645" s="19"/>
      <c r="M645" s="19"/>
      <c r="N645" s="19">
        <v>9</v>
      </c>
      <c r="O645" s="19">
        <v>30</v>
      </c>
      <c r="P645" s="19"/>
      <c r="Q645" s="19" t="s">
        <v>395</v>
      </c>
      <c r="R645" s="19"/>
      <c r="S645" s="19"/>
      <c r="T645" s="19">
        <v>1</v>
      </c>
      <c r="U645" s="20">
        <f t="shared" si="95"/>
        <v>2.7829999999999999</v>
      </c>
      <c r="V645" s="19" t="s">
        <v>1257</v>
      </c>
      <c r="W645" s="19"/>
      <c r="X645" s="19"/>
      <c r="Y645" s="21">
        <v>2.5299999999999998</v>
      </c>
      <c r="Z645" s="92">
        <v>1.3</v>
      </c>
      <c r="AA645" s="92">
        <v>1.2949999999999999</v>
      </c>
    </row>
    <row r="646" spans="1:27" x14ac:dyDescent="0.25">
      <c r="A646" s="33">
        <f t="shared" si="94"/>
        <v>643</v>
      </c>
      <c r="B646" s="19">
        <v>17220</v>
      </c>
      <c r="C646" s="19" t="s">
        <v>1256</v>
      </c>
      <c r="D646" s="19" t="s">
        <v>1217</v>
      </c>
      <c r="E646" s="22" t="s">
        <v>368</v>
      </c>
      <c r="F646" s="19"/>
      <c r="G646" s="19"/>
      <c r="H646" s="19">
        <v>42</v>
      </c>
      <c r="I646" s="19" t="s">
        <v>1072</v>
      </c>
      <c r="J646" s="19"/>
      <c r="K646" s="19"/>
      <c r="L646" s="19"/>
      <c r="M646" s="19"/>
      <c r="N646" s="19">
        <v>9</v>
      </c>
      <c r="O646" s="19">
        <v>30</v>
      </c>
      <c r="P646" s="19"/>
      <c r="Q646" s="19" t="s">
        <v>395</v>
      </c>
      <c r="R646" s="19"/>
      <c r="S646" s="19"/>
      <c r="T646" s="19">
        <v>1</v>
      </c>
      <c r="U646" s="20">
        <f t="shared" si="95"/>
        <v>2.7829999999999999</v>
      </c>
      <c r="V646" s="19" t="s">
        <v>1257</v>
      </c>
      <c r="W646" s="19"/>
      <c r="X646" s="19"/>
      <c r="Y646" s="21">
        <v>2.5299999999999998</v>
      </c>
      <c r="Z646" s="92">
        <v>1.3</v>
      </c>
      <c r="AA646" s="92">
        <v>1.2949999999999999</v>
      </c>
    </row>
    <row r="647" spans="1:27" x14ac:dyDescent="0.25">
      <c r="A647" s="33">
        <f t="shared" si="94"/>
        <v>644</v>
      </c>
      <c r="B647" s="19">
        <v>17220</v>
      </c>
      <c r="C647" s="19" t="s">
        <v>1256</v>
      </c>
      <c r="D647" s="19" t="s">
        <v>1217</v>
      </c>
      <c r="E647" s="22" t="s">
        <v>368</v>
      </c>
      <c r="F647" s="19"/>
      <c r="G647" s="19"/>
      <c r="H647" s="19">
        <v>54</v>
      </c>
      <c r="I647" s="19" t="s">
        <v>1072</v>
      </c>
      <c r="J647" s="19"/>
      <c r="K647" s="19"/>
      <c r="L647" s="19"/>
      <c r="M647" s="19"/>
      <c r="N647" s="19">
        <v>9</v>
      </c>
      <c r="O647" s="19">
        <v>30</v>
      </c>
      <c r="P647" s="19"/>
      <c r="Q647" s="19" t="s">
        <v>395</v>
      </c>
      <c r="R647" s="19"/>
      <c r="S647" s="19"/>
      <c r="T647" s="19">
        <v>1</v>
      </c>
      <c r="U647" s="20">
        <f t="shared" si="95"/>
        <v>2.7829999999999999</v>
      </c>
      <c r="V647" s="19" t="s">
        <v>1257</v>
      </c>
      <c r="W647" s="19"/>
      <c r="X647" s="19"/>
      <c r="Y647" s="21">
        <v>2.5299999999999998</v>
      </c>
      <c r="Z647" s="92">
        <v>1.3</v>
      </c>
      <c r="AA647" s="92">
        <v>1.2949999999999999</v>
      </c>
    </row>
    <row r="648" spans="1:27" x14ac:dyDescent="0.25">
      <c r="A648" s="33">
        <f t="shared" si="94"/>
        <v>645</v>
      </c>
      <c r="B648" s="19">
        <v>17220</v>
      </c>
      <c r="C648" s="19" t="s">
        <v>1256</v>
      </c>
      <c r="D648" s="19" t="s">
        <v>1217</v>
      </c>
      <c r="E648" s="22" t="s">
        <v>368</v>
      </c>
      <c r="F648" s="19"/>
      <c r="G648" s="19"/>
      <c r="H648" s="19">
        <v>60</v>
      </c>
      <c r="I648" s="19" t="s">
        <v>1072</v>
      </c>
      <c r="J648" s="19"/>
      <c r="K648" s="19"/>
      <c r="L648" s="19"/>
      <c r="M648" s="19"/>
      <c r="N648" s="19">
        <v>9</v>
      </c>
      <c r="O648" s="19">
        <v>30</v>
      </c>
      <c r="P648" s="19"/>
      <c r="Q648" s="19" t="s">
        <v>395</v>
      </c>
      <c r="R648" s="19"/>
      <c r="S648" s="19"/>
      <c r="T648" s="19">
        <v>2</v>
      </c>
      <c r="U648" s="20">
        <f t="shared" si="95"/>
        <v>2.7829999999999999</v>
      </c>
      <c r="V648" s="19" t="s">
        <v>1257</v>
      </c>
      <c r="W648" s="19"/>
      <c r="X648" s="19"/>
      <c r="Y648" s="21">
        <v>2.5299999999999998</v>
      </c>
      <c r="Z648" s="92">
        <v>1.3</v>
      </c>
      <c r="AA648" s="92">
        <v>1.2949999999999999</v>
      </c>
    </row>
    <row r="649" spans="1:27" x14ac:dyDescent="0.25">
      <c r="A649" s="33">
        <f t="shared" si="94"/>
        <v>646</v>
      </c>
      <c r="B649" s="19">
        <v>17220</v>
      </c>
      <c r="C649" s="19" t="s">
        <v>1258</v>
      </c>
      <c r="D649" s="19" t="s">
        <v>1217</v>
      </c>
      <c r="E649" s="22" t="s">
        <v>368</v>
      </c>
      <c r="F649" s="19"/>
      <c r="G649" s="19"/>
      <c r="H649" s="19">
        <v>18</v>
      </c>
      <c r="I649" s="19" t="s">
        <v>1072</v>
      </c>
      <c r="J649" s="19"/>
      <c r="K649" s="19"/>
      <c r="L649" s="19"/>
      <c r="M649" s="19"/>
      <c r="N649" s="19">
        <v>9</v>
      </c>
      <c r="O649" s="19">
        <v>35</v>
      </c>
      <c r="P649" s="19"/>
      <c r="Q649" s="19" t="s">
        <v>395</v>
      </c>
      <c r="R649" s="19"/>
      <c r="S649" s="19"/>
      <c r="T649" s="19">
        <v>1</v>
      </c>
      <c r="U649" s="20">
        <f t="shared" si="95"/>
        <v>2.7829999999999999</v>
      </c>
      <c r="V649" s="19" t="s">
        <v>1259</v>
      </c>
      <c r="W649" s="19"/>
      <c r="X649" s="19"/>
      <c r="Y649" s="21">
        <v>2.5299999999999998</v>
      </c>
      <c r="Z649" s="92">
        <v>1.3</v>
      </c>
      <c r="AA649" s="92">
        <v>1.2949999999999999</v>
      </c>
    </row>
    <row r="650" spans="1:27" x14ac:dyDescent="0.25">
      <c r="A650" s="33">
        <f t="shared" si="94"/>
        <v>647</v>
      </c>
      <c r="B650" s="19">
        <v>17220</v>
      </c>
      <c r="C650" s="19" t="s">
        <v>1258</v>
      </c>
      <c r="D650" s="19" t="s">
        <v>1217</v>
      </c>
      <c r="E650" s="22" t="s">
        <v>368</v>
      </c>
      <c r="F650" s="19"/>
      <c r="G650" s="19"/>
      <c r="H650" s="19">
        <v>30</v>
      </c>
      <c r="I650" s="19" t="s">
        <v>1072</v>
      </c>
      <c r="J650" s="19"/>
      <c r="K650" s="19"/>
      <c r="L650" s="19"/>
      <c r="M650" s="19"/>
      <c r="N650" s="19">
        <v>9</v>
      </c>
      <c r="O650" s="19">
        <v>35</v>
      </c>
      <c r="P650" s="19"/>
      <c r="Q650" s="19" t="s">
        <v>395</v>
      </c>
      <c r="R650" s="19"/>
      <c r="S650" s="19"/>
      <c r="T650" s="19">
        <v>1</v>
      </c>
      <c r="U650" s="20">
        <f t="shared" si="95"/>
        <v>2.7829999999999999</v>
      </c>
      <c r="V650" s="19" t="s">
        <v>1259</v>
      </c>
      <c r="W650" s="19"/>
      <c r="X650" s="19"/>
      <c r="Y650" s="21">
        <v>2.5299999999999998</v>
      </c>
      <c r="Z650" s="92">
        <v>1.3</v>
      </c>
      <c r="AA650" s="92">
        <v>1.2949999999999999</v>
      </c>
    </row>
    <row r="651" spans="1:27" x14ac:dyDescent="0.25">
      <c r="A651" s="33">
        <f t="shared" si="94"/>
        <v>648</v>
      </c>
      <c r="B651" s="19">
        <v>17220</v>
      </c>
      <c r="C651" s="19" t="s">
        <v>1258</v>
      </c>
      <c r="D651" s="19" t="s">
        <v>1217</v>
      </c>
      <c r="E651" s="22" t="s">
        <v>368</v>
      </c>
      <c r="F651" s="19"/>
      <c r="G651" s="19"/>
      <c r="H651" s="19">
        <v>42</v>
      </c>
      <c r="I651" s="19" t="s">
        <v>1072</v>
      </c>
      <c r="J651" s="19"/>
      <c r="K651" s="19"/>
      <c r="L651" s="19"/>
      <c r="M651" s="19"/>
      <c r="N651" s="19">
        <v>9</v>
      </c>
      <c r="O651" s="19">
        <v>35</v>
      </c>
      <c r="P651" s="19"/>
      <c r="Q651" s="19" t="s">
        <v>395</v>
      </c>
      <c r="R651" s="19"/>
      <c r="S651" s="19"/>
      <c r="T651" s="19">
        <v>1</v>
      </c>
      <c r="U651" s="20">
        <f t="shared" si="95"/>
        <v>2.7829999999999999</v>
      </c>
      <c r="V651" s="19" t="s">
        <v>1259</v>
      </c>
      <c r="W651" s="19"/>
      <c r="X651" s="19"/>
      <c r="Y651" s="21">
        <v>2.5299999999999998</v>
      </c>
      <c r="Z651" s="92">
        <v>1.3</v>
      </c>
      <c r="AA651" s="92">
        <v>1.2949999999999999</v>
      </c>
    </row>
    <row r="652" spans="1:27" x14ac:dyDescent="0.25">
      <c r="A652" s="33">
        <f t="shared" si="94"/>
        <v>649</v>
      </c>
      <c r="B652" s="19">
        <v>17220</v>
      </c>
      <c r="C652" s="19" t="s">
        <v>1258</v>
      </c>
      <c r="D652" s="19" t="s">
        <v>1217</v>
      </c>
      <c r="E652" s="22" t="s">
        <v>368</v>
      </c>
      <c r="F652" s="19"/>
      <c r="G652" s="19"/>
      <c r="H652" s="19">
        <v>54</v>
      </c>
      <c r="I652" s="19" t="s">
        <v>1072</v>
      </c>
      <c r="J652" s="19"/>
      <c r="K652" s="19"/>
      <c r="L652" s="19"/>
      <c r="M652" s="19"/>
      <c r="N652" s="19">
        <v>9</v>
      </c>
      <c r="O652" s="19">
        <v>35</v>
      </c>
      <c r="P652" s="19"/>
      <c r="Q652" s="19" t="s">
        <v>395</v>
      </c>
      <c r="R652" s="19"/>
      <c r="S652" s="19"/>
      <c r="T652" s="19">
        <v>1</v>
      </c>
      <c r="U652" s="20">
        <f t="shared" si="95"/>
        <v>2.7829999999999999</v>
      </c>
      <c r="V652" s="19" t="s">
        <v>1259</v>
      </c>
      <c r="W652" s="19"/>
      <c r="X652" s="19"/>
      <c r="Y652" s="21">
        <v>2.5299999999999998</v>
      </c>
      <c r="Z652" s="92">
        <v>1.3</v>
      </c>
      <c r="AA652" s="92">
        <v>1.2949999999999999</v>
      </c>
    </row>
    <row r="653" spans="1:27" x14ac:dyDescent="0.25">
      <c r="A653" s="33">
        <f t="shared" si="94"/>
        <v>650</v>
      </c>
      <c r="B653" s="19">
        <v>17220</v>
      </c>
      <c r="C653" s="19" t="s">
        <v>1258</v>
      </c>
      <c r="D653" s="19" t="s">
        <v>1217</v>
      </c>
      <c r="E653" s="22" t="s">
        <v>368</v>
      </c>
      <c r="F653" s="19"/>
      <c r="G653" s="19"/>
      <c r="H653" s="19">
        <v>60</v>
      </c>
      <c r="I653" s="19" t="s">
        <v>1072</v>
      </c>
      <c r="J653" s="19"/>
      <c r="K653" s="19"/>
      <c r="L653" s="19"/>
      <c r="M653" s="19"/>
      <c r="N653" s="19">
        <v>9</v>
      </c>
      <c r="O653" s="19">
        <v>35</v>
      </c>
      <c r="P653" s="19"/>
      <c r="Q653" s="19" t="s">
        <v>395</v>
      </c>
      <c r="R653" s="19"/>
      <c r="S653" s="19"/>
      <c r="T653" s="19">
        <v>2</v>
      </c>
      <c r="U653" s="20">
        <f t="shared" si="95"/>
        <v>2.7829999999999999</v>
      </c>
      <c r="V653" s="19" t="s">
        <v>1259</v>
      </c>
      <c r="W653" s="19"/>
      <c r="X653" s="19"/>
      <c r="Y653" s="21">
        <v>2.5299999999999998</v>
      </c>
      <c r="Z653" s="92">
        <v>1.3</v>
      </c>
      <c r="AA653" s="92">
        <v>1.2949999999999999</v>
      </c>
    </row>
    <row r="654" spans="1:27" x14ac:dyDescent="0.25">
      <c r="A654" s="33">
        <f t="shared" si="94"/>
        <v>651</v>
      </c>
      <c r="B654" s="19">
        <v>17220</v>
      </c>
      <c r="C654" s="19" t="s">
        <v>1260</v>
      </c>
      <c r="D654" s="19" t="s">
        <v>1217</v>
      </c>
      <c r="E654" s="22" t="s">
        <v>368</v>
      </c>
      <c r="F654" s="19"/>
      <c r="G654" s="19"/>
      <c r="H654" s="19">
        <v>18</v>
      </c>
      <c r="I654" s="19" t="s">
        <v>1072</v>
      </c>
      <c r="J654" s="19"/>
      <c r="K654" s="19"/>
      <c r="L654" s="19"/>
      <c r="M654" s="19"/>
      <c r="N654" s="19">
        <v>9</v>
      </c>
      <c r="O654" s="19">
        <v>40</v>
      </c>
      <c r="P654" s="19"/>
      <c r="Q654" s="19" t="s">
        <v>395</v>
      </c>
      <c r="R654" s="19"/>
      <c r="S654" s="19"/>
      <c r="T654" s="19">
        <v>1</v>
      </c>
      <c r="U654" s="20">
        <f t="shared" si="95"/>
        <v>2.7829999999999999</v>
      </c>
      <c r="V654" s="19" t="s">
        <v>1261</v>
      </c>
      <c r="W654" s="19"/>
      <c r="X654" s="19"/>
      <c r="Y654" s="21">
        <v>2.5299999999999998</v>
      </c>
      <c r="Z654" s="92">
        <v>1.3</v>
      </c>
      <c r="AA654" s="92">
        <v>1.2949999999999999</v>
      </c>
    </row>
    <row r="655" spans="1:27" x14ac:dyDescent="0.25">
      <c r="A655" s="33">
        <f t="shared" si="94"/>
        <v>652</v>
      </c>
      <c r="B655" s="19">
        <v>17220</v>
      </c>
      <c r="C655" s="19" t="s">
        <v>1260</v>
      </c>
      <c r="D655" s="19" t="s">
        <v>1217</v>
      </c>
      <c r="E655" s="22" t="s">
        <v>368</v>
      </c>
      <c r="F655" s="19"/>
      <c r="G655" s="19"/>
      <c r="H655" s="19">
        <v>30</v>
      </c>
      <c r="I655" s="19" t="s">
        <v>1072</v>
      </c>
      <c r="J655" s="19"/>
      <c r="K655" s="19"/>
      <c r="L655" s="19"/>
      <c r="M655" s="19"/>
      <c r="N655" s="19">
        <v>9</v>
      </c>
      <c r="O655" s="19">
        <v>40</v>
      </c>
      <c r="P655" s="19"/>
      <c r="Q655" s="19" t="s">
        <v>395</v>
      </c>
      <c r="R655" s="19"/>
      <c r="S655" s="19"/>
      <c r="T655" s="19">
        <v>1</v>
      </c>
      <c r="U655" s="20">
        <f t="shared" si="95"/>
        <v>2.7829999999999999</v>
      </c>
      <c r="V655" s="19" t="s">
        <v>1261</v>
      </c>
      <c r="W655" s="19"/>
      <c r="X655" s="19"/>
      <c r="Y655" s="21">
        <v>2.5299999999999998</v>
      </c>
      <c r="Z655" s="92">
        <v>1.3</v>
      </c>
      <c r="AA655" s="92">
        <v>1.2949999999999999</v>
      </c>
    </row>
    <row r="656" spans="1:27" x14ac:dyDescent="0.25">
      <c r="A656" s="33">
        <f t="shared" si="94"/>
        <v>653</v>
      </c>
      <c r="B656" s="19">
        <v>17220</v>
      </c>
      <c r="C656" s="19" t="s">
        <v>1260</v>
      </c>
      <c r="D656" s="19" t="s">
        <v>1217</v>
      </c>
      <c r="E656" s="22" t="s">
        <v>368</v>
      </c>
      <c r="F656" s="19"/>
      <c r="G656" s="19"/>
      <c r="H656" s="19">
        <v>42</v>
      </c>
      <c r="I656" s="19" t="s">
        <v>1072</v>
      </c>
      <c r="J656" s="19"/>
      <c r="K656" s="19"/>
      <c r="L656" s="19"/>
      <c r="M656" s="19"/>
      <c r="N656" s="19">
        <v>9</v>
      </c>
      <c r="O656" s="19">
        <v>40</v>
      </c>
      <c r="P656" s="19"/>
      <c r="Q656" s="19" t="s">
        <v>395</v>
      </c>
      <c r="R656" s="19"/>
      <c r="S656" s="19"/>
      <c r="T656" s="19">
        <v>1</v>
      </c>
      <c r="U656" s="20">
        <f t="shared" si="95"/>
        <v>2.7829999999999999</v>
      </c>
      <c r="V656" s="19" t="s">
        <v>1261</v>
      </c>
      <c r="W656" s="19"/>
      <c r="X656" s="19"/>
      <c r="Y656" s="21">
        <v>2.5299999999999998</v>
      </c>
      <c r="Z656" s="92">
        <v>1.3</v>
      </c>
      <c r="AA656" s="92">
        <v>1.2949999999999999</v>
      </c>
    </row>
    <row r="657" spans="1:27" x14ac:dyDescent="0.25">
      <c r="A657" s="33">
        <f t="shared" si="94"/>
        <v>654</v>
      </c>
      <c r="B657" s="19">
        <v>17220</v>
      </c>
      <c r="C657" s="19" t="s">
        <v>1260</v>
      </c>
      <c r="D657" s="19" t="s">
        <v>1217</v>
      </c>
      <c r="E657" s="22" t="s">
        <v>368</v>
      </c>
      <c r="F657" s="19"/>
      <c r="G657" s="19"/>
      <c r="H657" s="19">
        <v>54</v>
      </c>
      <c r="I657" s="19" t="s">
        <v>1072</v>
      </c>
      <c r="J657" s="19"/>
      <c r="K657" s="19"/>
      <c r="L657" s="19"/>
      <c r="M657" s="19"/>
      <c r="N657" s="19">
        <v>9</v>
      </c>
      <c r="O657" s="19">
        <v>40</v>
      </c>
      <c r="P657" s="19"/>
      <c r="Q657" s="19" t="s">
        <v>395</v>
      </c>
      <c r="R657" s="19"/>
      <c r="S657" s="19"/>
      <c r="T657" s="19">
        <v>1</v>
      </c>
      <c r="U657" s="20">
        <f t="shared" si="95"/>
        <v>2.7829999999999999</v>
      </c>
      <c r="V657" s="19" t="s">
        <v>1261</v>
      </c>
      <c r="W657" s="19"/>
      <c r="X657" s="19"/>
      <c r="Y657" s="21">
        <v>2.5299999999999998</v>
      </c>
      <c r="Z657" s="92">
        <v>1.3</v>
      </c>
      <c r="AA657" s="92">
        <v>1.2949999999999999</v>
      </c>
    </row>
    <row r="658" spans="1:27" x14ac:dyDescent="0.25">
      <c r="A658" s="33">
        <f t="shared" si="94"/>
        <v>655</v>
      </c>
      <c r="B658" s="19">
        <v>17220</v>
      </c>
      <c r="C658" s="19" t="s">
        <v>1260</v>
      </c>
      <c r="D658" s="19" t="s">
        <v>1217</v>
      </c>
      <c r="E658" s="22" t="s">
        <v>368</v>
      </c>
      <c r="F658" s="19"/>
      <c r="G658" s="19"/>
      <c r="H658" s="19">
        <v>60</v>
      </c>
      <c r="I658" s="19" t="s">
        <v>1072</v>
      </c>
      <c r="J658" s="19"/>
      <c r="K658" s="19"/>
      <c r="L658" s="19"/>
      <c r="M658" s="19"/>
      <c r="N658" s="19">
        <v>9</v>
      </c>
      <c r="O658" s="19">
        <v>40</v>
      </c>
      <c r="P658" s="19"/>
      <c r="Q658" s="19" t="s">
        <v>395</v>
      </c>
      <c r="R658" s="19"/>
      <c r="S658" s="19"/>
      <c r="T658" s="19">
        <v>2</v>
      </c>
      <c r="U658" s="20">
        <f t="shared" si="95"/>
        <v>2.7829999999999999</v>
      </c>
      <c r="V658" s="19" t="s">
        <v>1261</v>
      </c>
      <c r="W658" s="19"/>
      <c r="X658" s="19"/>
      <c r="Y658" s="21">
        <v>2.5299999999999998</v>
      </c>
      <c r="Z658" s="92">
        <v>1.3</v>
      </c>
      <c r="AA658" s="92">
        <v>1.2949999999999999</v>
      </c>
    </row>
    <row r="659" spans="1:27" x14ac:dyDescent="0.25">
      <c r="A659" s="33">
        <f t="shared" si="94"/>
        <v>656</v>
      </c>
      <c r="B659" s="210" t="s">
        <v>1263</v>
      </c>
      <c r="C659" s="210"/>
      <c r="D659" s="210"/>
      <c r="E659" s="210"/>
      <c r="F659" s="210"/>
      <c r="G659" s="210"/>
      <c r="H659" s="210"/>
      <c r="I659" s="210"/>
      <c r="J659" s="210"/>
      <c r="K659" s="210"/>
      <c r="L659" s="210"/>
      <c r="M659" s="210"/>
      <c r="N659" s="210"/>
      <c r="O659" s="210"/>
      <c r="P659" s="210"/>
      <c r="Q659" s="210"/>
      <c r="R659" s="210"/>
      <c r="S659" s="210"/>
      <c r="T659" s="210"/>
      <c r="U659" s="210"/>
      <c r="V659" s="210"/>
      <c r="W659" s="211"/>
      <c r="X659" s="19"/>
      <c r="Y659" s="74"/>
      <c r="Z659" s="76"/>
      <c r="AA659" s="76"/>
    </row>
    <row r="660" spans="1:27" x14ac:dyDescent="0.25">
      <c r="A660" s="33">
        <f t="shared" si="94"/>
        <v>657</v>
      </c>
      <c r="B660" s="19">
        <v>17020</v>
      </c>
      <c r="C660" s="19"/>
      <c r="D660" s="19" t="s">
        <v>1217</v>
      </c>
      <c r="E660" s="22" t="s">
        <v>240</v>
      </c>
      <c r="F660" s="19"/>
      <c r="G660" s="19"/>
      <c r="H660" s="19"/>
      <c r="I660" s="19" t="s">
        <v>1072</v>
      </c>
      <c r="J660" s="19"/>
      <c r="K660" s="19"/>
      <c r="L660" s="19"/>
      <c r="M660" s="19" t="s">
        <v>161</v>
      </c>
      <c r="N660" s="19">
        <v>8</v>
      </c>
      <c r="O660" s="19">
        <v>27</v>
      </c>
      <c r="P660" s="19"/>
      <c r="Q660" s="19" t="s">
        <v>395</v>
      </c>
      <c r="R660" s="19"/>
      <c r="S660" s="19"/>
      <c r="T660" s="19">
        <v>1</v>
      </c>
      <c r="U660" s="20">
        <f t="shared" ref="U660:U703" si="96">Y660*1.1</f>
        <v>0</v>
      </c>
      <c r="V660" s="19" t="s">
        <v>1264</v>
      </c>
      <c r="W660" s="19"/>
      <c r="X660" s="19"/>
      <c r="Y660" s="21">
        <v>0</v>
      </c>
      <c r="Z660" s="92">
        <v>1.3</v>
      </c>
      <c r="AA660" s="92">
        <v>1.2949999999999999</v>
      </c>
    </row>
    <row r="661" spans="1:27" x14ac:dyDescent="0.25">
      <c r="A661" s="33">
        <f t="shared" si="94"/>
        <v>658</v>
      </c>
      <c r="B661" s="19">
        <v>17020</v>
      </c>
      <c r="C661" s="19"/>
      <c r="D661" s="19" t="s">
        <v>1217</v>
      </c>
      <c r="E661" s="22" t="s">
        <v>240</v>
      </c>
      <c r="F661" s="19"/>
      <c r="G661" s="19"/>
      <c r="H661" s="19"/>
      <c r="I661" s="19" t="s">
        <v>1072</v>
      </c>
      <c r="J661" s="19"/>
      <c r="K661" s="19"/>
      <c r="L661" s="19"/>
      <c r="M661" s="19" t="s">
        <v>161</v>
      </c>
      <c r="N661" s="19">
        <v>8</v>
      </c>
      <c r="O661" s="19">
        <v>30</v>
      </c>
      <c r="P661" s="19"/>
      <c r="Q661" s="19" t="s">
        <v>395</v>
      </c>
      <c r="R661" s="19"/>
      <c r="S661" s="19"/>
      <c r="T661" s="19">
        <v>1</v>
      </c>
      <c r="U661" s="20">
        <f t="shared" si="96"/>
        <v>0</v>
      </c>
      <c r="V661" s="19" t="s">
        <v>1265</v>
      </c>
      <c r="W661" s="19"/>
      <c r="X661" s="19"/>
      <c r="Y661" s="21">
        <v>0</v>
      </c>
      <c r="Z661" s="92">
        <v>1.3</v>
      </c>
      <c r="AA661" s="92">
        <v>1.2949999999999999</v>
      </c>
    </row>
    <row r="662" spans="1:27" x14ac:dyDescent="0.25">
      <c r="A662" s="33">
        <f t="shared" si="94"/>
        <v>659</v>
      </c>
      <c r="B662" s="19">
        <v>17020</v>
      </c>
      <c r="C662" s="19"/>
      <c r="D662" s="19" t="s">
        <v>1217</v>
      </c>
      <c r="E662" s="22" t="s">
        <v>240</v>
      </c>
      <c r="F662" s="19"/>
      <c r="G662" s="19"/>
      <c r="H662" s="19"/>
      <c r="I662" s="19" t="s">
        <v>1072</v>
      </c>
      <c r="J662" s="19"/>
      <c r="K662" s="19"/>
      <c r="L662" s="19"/>
      <c r="M662" s="19" t="s">
        <v>161</v>
      </c>
      <c r="N662" s="19">
        <v>8</v>
      </c>
      <c r="O662" s="19">
        <v>35</v>
      </c>
      <c r="P662" s="19"/>
      <c r="Q662" s="19" t="s">
        <v>395</v>
      </c>
      <c r="R662" s="19"/>
      <c r="S662" s="19"/>
      <c r="T662" s="19">
        <v>1</v>
      </c>
      <c r="U662" s="20">
        <f t="shared" si="96"/>
        <v>0</v>
      </c>
      <c r="V662" s="19" t="s">
        <v>1266</v>
      </c>
      <c r="W662" s="19"/>
      <c r="X662" s="19"/>
      <c r="Y662" s="21">
        <v>0</v>
      </c>
      <c r="Z662" s="92">
        <v>1.3</v>
      </c>
      <c r="AA662" s="92">
        <v>1.2949999999999999</v>
      </c>
    </row>
    <row r="663" spans="1:27" x14ac:dyDescent="0.25">
      <c r="A663" s="33">
        <f t="shared" si="94"/>
        <v>660</v>
      </c>
      <c r="B663" s="19">
        <v>17020</v>
      </c>
      <c r="C663" s="19"/>
      <c r="D663" s="19" t="s">
        <v>1217</v>
      </c>
      <c r="E663" s="22" t="s">
        <v>240</v>
      </c>
      <c r="F663" s="19"/>
      <c r="G663" s="19"/>
      <c r="H663" s="19"/>
      <c r="I663" s="19" t="s">
        <v>1072</v>
      </c>
      <c r="J663" s="19"/>
      <c r="K663" s="19"/>
      <c r="L663" s="19"/>
      <c r="M663" s="19" t="s">
        <v>161</v>
      </c>
      <c r="N663" s="19">
        <v>8</v>
      </c>
      <c r="O663" s="19">
        <v>40</v>
      </c>
      <c r="P663" s="19"/>
      <c r="Q663" s="19" t="s">
        <v>395</v>
      </c>
      <c r="R663" s="19"/>
      <c r="S663" s="19"/>
      <c r="T663" s="19">
        <v>1</v>
      </c>
      <c r="U663" s="20">
        <f t="shared" si="96"/>
        <v>0</v>
      </c>
      <c r="V663" s="19" t="s">
        <v>1267</v>
      </c>
      <c r="W663" s="19"/>
      <c r="X663" s="19"/>
      <c r="Y663" s="21">
        <v>0</v>
      </c>
      <c r="Z663" s="92">
        <v>1.3</v>
      </c>
      <c r="AA663" s="92">
        <v>1.2949999999999999</v>
      </c>
    </row>
    <row r="664" spans="1:27" x14ac:dyDescent="0.25">
      <c r="A664" s="33">
        <f t="shared" si="94"/>
        <v>661</v>
      </c>
      <c r="B664" s="19">
        <v>17020</v>
      </c>
      <c r="C664" s="19" t="s">
        <v>1268</v>
      </c>
      <c r="D664" s="19" t="s">
        <v>1217</v>
      </c>
      <c r="E664" s="22" t="s">
        <v>240</v>
      </c>
      <c r="F664" s="19"/>
      <c r="G664" s="19"/>
      <c r="H664" s="19"/>
      <c r="I664" s="19" t="s">
        <v>1072</v>
      </c>
      <c r="J664" s="19"/>
      <c r="K664" s="19"/>
      <c r="L664" s="19"/>
      <c r="M664" s="19" t="s">
        <v>161</v>
      </c>
      <c r="N664" s="19">
        <v>9</v>
      </c>
      <c r="O664" s="19">
        <v>27</v>
      </c>
      <c r="P664" s="19"/>
      <c r="Q664" s="19" t="s">
        <v>395</v>
      </c>
      <c r="R664" s="19"/>
      <c r="S664" s="19"/>
      <c r="T664" s="19">
        <v>1</v>
      </c>
      <c r="U664" s="20">
        <f t="shared" si="96"/>
        <v>2.64</v>
      </c>
      <c r="V664" s="19" t="s">
        <v>1269</v>
      </c>
      <c r="W664" s="19"/>
      <c r="X664" s="19"/>
      <c r="Y664" s="21">
        <v>2.4</v>
      </c>
      <c r="Z664" s="92">
        <v>1.3</v>
      </c>
      <c r="AA664" s="92">
        <v>1.2949999999999999</v>
      </c>
    </row>
    <row r="665" spans="1:27" x14ac:dyDescent="0.25">
      <c r="A665" s="33">
        <f t="shared" si="94"/>
        <v>662</v>
      </c>
      <c r="B665" s="19">
        <v>17020</v>
      </c>
      <c r="C665" s="19" t="s">
        <v>1270</v>
      </c>
      <c r="D665" s="19" t="s">
        <v>1217</v>
      </c>
      <c r="E665" s="22" t="s">
        <v>240</v>
      </c>
      <c r="F665" s="19"/>
      <c r="G665" s="19"/>
      <c r="H665" s="19"/>
      <c r="I665" s="19" t="s">
        <v>1072</v>
      </c>
      <c r="J665" s="19"/>
      <c r="K665" s="19"/>
      <c r="L665" s="19"/>
      <c r="M665" s="19" t="s">
        <v>161</v>
      </c>
      <c r="N665" s="19">
        <v>9</v>
      </c>
      <c r="O665" s="19">
        <v>30</v>
      </c>
      <c r="P665" s="19"/>
      <c r="Q665" s="19" t="s">
        <v>395</v>
      </c>
      <c r="R665" s="19"/>
      <c r="S665" s="19"/>
      <c r="T665" s="19">
        <v>1</v>
      </c>
      <c r="U665" s="20">
        <f t="shared" si="96"/>
        <v>2.64</v>
      </c>
      <c r="V665" s="19" t="s">
        <v>1271</v>
      </c>
      <c r="W665" s="19"/>
      <c r="X665" s="19"/>
      <c r="Y665" s="21">
        <v>2.4</v>
      </c>
      <c r="Z665" s="92">
        <v>1.3</v>
      </c>
      <c r="AA665" s="92">
        <v>1.2949999999999999</v>
      </c>
    </row>
    <row r="666" spans="1:27" x14ac:dyDescent="0.25">
      <c r="A666" s="33">
        <f t="shared" si="94"/>
        <v>663</v>
      </c>
      <c r="B666" s="19">
        <v>17020</v>
      </c>
      <c r="C666" s="19" t="s">
        <v>1272</v>
      </c>
      <c r="D666" s="19" t="s">
        <v>1217</v>
      </c>
      <c r="E666" s="22" t="s">
        <v>240</v>
      </c>
      <c r="F666" s="19"/>
      <c r="G666" s="19"/>
      <c r="H666" s="19"/>
      <c r="I666" s="19" t="s">
        <v>1072</v>
      </c>
      <c r="J666" s="19"/>
      <c r="K666" s="19"/>
      <c r="L666" s="19"/>
      <c r="M666" s="19" t="s">
        <v>161</v>
      </c>
      <c r="N666" s="19">
        <v>9</v>
      </c>
      <c r="O666" s="19">
        <v>35</v>
      </c>
      <c r="P666" s="19"/>
      <c r="Q666" s="19" t="s">
        <v>395</v>
      </c>
      <c r="R666" s="19"/>
      <c r="S666" s="19"/>
      <c r="T666" s="19">
        <v>1</v>
      </c>
      <c r="U666" s="20">
        <f t="shared" si="96"/>
        <v>2.64</v>
      </c>
      <c r="V666" s="19" t="s">
        <v>1273</v>
      </c>
      <c r="W666" s="19"/>
      <c r="X666" s="19"/>
      <c r="Y666" s="21">
        <v>2.4</v>
      </c>
      <c r="Z666" s="92">
        <v>1.3</v>
      </c>
      <c r="AA666" s="92">
        <v>1.2949999999999999</v>
      </c>
    </row>
    <row r="667" spans="1:27" x14ac:dyDescent="0.25">
      <c r="A667" s="33">
        <f t="shared" si="94"/>
        <v>664</v>
      </c>
      <c r="B667" s="19">
        <v>17020</v>
      </c>
      <c r="C667" s="19" t="s">
        <v>1274</v>
      </c>
      <c r="D667" s="19" t="s">
        <v>1217</v>
      </c>
      <c r="E667" s="22" t="s">
        <v>240</v>
      </c>
      <c r="F667" s="19"/>
      <c r="G667" s="19"/>
      <c r="H667" s="19"/>
      <c r="I667" s="19" t="s">
        <v>1072</v>
      </c>
      <c r="J667" s="19"/>
      <c r="K667" s="19"/>
      <c r="L667" s="19"/>
      <c r="M667" s="19" t="s">
        <v>161</v>
      </c>
      <c r="N667" s="19">
        <v>9</v>
      </c>
      <c r="O667" s="19">
        <v>40</v>
      </c>
      <c r="P667" s="19"/>
      <c r="Q667" s="19" t="s">
        <v>395</v>
      </c>
      <c r="R667" s="19"/>
      <c r="S667" s="19"/>
      <c r="T667" s="19">
        <v>1</v>
      </c>
      <c r="U667" s="20">
        <f t="shared" si="96"/>
        <v>2.64</v>
      </c>
      <c r="V667" s="19" t="s">
        <v>1275</v>
      </c>
      <c r="W667" s="19"/>
      <c r="X667" s="19"/>
      <c r="Y667" s="21">
        <v>2.4</v>
      </c>
      <c r="Z667" s="92">
        <v>1.3</v>
      </c>
      <c r="AA667" s="92">
        <v>1.2949999999999999</v>
      </c>
    </row>
    <row r="668" spans="1:27" x14ac:dyDescent="0.25">
      <c r="A668" s="33">
        <f t="shared" si="94"/>
        <v>665</v>
      </c>
      <c r="B668" s="19">
        <v>17020</v>
      </c>
      <c r="C668" s="19"/>
      <c r="D668" s="19" t="s">
        <v>1217</v>
      </c>
      <c r="E668" s="19" t="s">
        <v>988</v>
      </c>
      <c r="F668" s="19"/>
      <c r="G668" s="19"/>
      <c r="H668" s="19">
        <v>18</v>
      </c>
      <c r="I668" s="19" t="s">
        <v>1072</v>
      </c>
      <c r="J668" s="19"/>
      <c r="K668" s="19"/>
      <c r="L668" s="19"/>
      <c r="M668" s="19"/>
      <c r="N668" s="19">
        <v>8</v>
      </c>
      <c r="O668" s="19">
        <v>27</v>
      </c>
      <c r="P668" s="19"/>
      <c r="Q668" s="19" t="s">
        <v>395</v>
      </c>
      <c r="R668" s="19"/>
      <c r="S668" s="19"/>
      <c r="T668" s="19">
        <v>1</v>
      </c>
      <c r="U668" s="20">
        <f t="shared" si="96"/>
        <v>0</v>
      </c>
      <c r="V668" s="19" t="s">
        <v>1264</v>
      </c>
      <c r="W668" s="19"/>
      <c r="X668" s="19"/>
      <c r="Y668" s="21">
        <v>0</v>
      </c>
      <c r="Z668" s="92">
        <v>1.3</v>
      </c>
      <c r="AA668" s="92">
        <v>1.2949999999999999</v>
      </c>
    </row>
    <row r="669" spans="1:27" x14ac:dyDescent="0.25">
      <c r="A669" s="33">
        <f t="shared" si="94"/>
        <v>666</v>
      </c>
      <c r="B669" s="19">
        <v>17020</v>
      </c>
      <c r="C669" s="19"/>
      <c r="D669" s="19" t="s">
        <v>1217</v>
      </c>
      <c r="E669" s="19" t="s">
        <v>988</v>
      </c>
      <c r="F669" s="19"/>
      <c r="G669" s="19"/>
      <c r="H669" s="19">
        <v>30</v>
      </c>
      <c r="I669" s="19" t="s">
        <v>1072</v>
      </c>
      <c r="J669" s="19"/>
      <c r="K669" s="19"/>
      <c r="L669" s="19"/>
      <c r="M669" s="19"/>
      <c r="N669" s="19">
        <v>8</v>
      </c>
      <c r="O669" s="19">
        <v>27</v>
      </c>
      <c r="P669" s="19"/>
      <c r="Q669" s="19" t="s">
        <v>395</v>
      </c>
      <c r="R669" s="19"/>
      <c r="S669" s="19"/>
      <c r="T669" s="19">
        <v>1</v>
      </c>
      <c r="U669" s="20">
        <f t="shared" si="96"/>
        <v>0</v>
      </c>
      <c r="V669" s="19" t="s">
        <v>1264</v>
      </c>
      <c r="W669" s="19"/>
      <c r="X669" s="19"/>
      <c r="Y669" s="21">
        <v>0</v>
      </c>
      <c r="Z669" s="92">
        <v>1.3</v>
      </c>
      <c r="AA669" s="92">
        <v>1.2949999999999999</v>
      </c>
    </row>
    <row r="670" spans="1:27" x14ac:dyDescent="0.25">
      <c r="A670" s="33">
        <f t="shared" si="94"/>
        <v>667</v>
      </c>
      <c r="B670" s="19">
        <v>17020</v>
      </c>
      <c r="C670" s="19"/>
      <c r="D670" s="19" t="s">
        <v>1217</v>
      </c>
      <c r="E670" s="19" t="s">
        <v>988</v>
      </c>
      <c r="F670" s="19"/>
      <c r="G670" s="19"/>
      <c r="H670" s="19">
        <v>42</v>
      </c>
      <c r="I670" s="19" t="s">
        <v>1072</v>
      </c>
      <c r="J670" s="19"/>
      <c r="K670" s="19"/>
      <c r="L670" s="19"/>
      <c r="M670" s="19"/>
      <c r="N670" s="19">
        <v>8</v>
      </c>
      <c r="O670" s="19">
        <v>27</v>
      </c>
      <c r="P670" s="19"/>
      <c r="Q670" s="19" t="s">
        <v>395</v>
      </c>
      <c r="R670" s="19"/>
      <c r="S670" s="19"/>
      <c r="T670" s="19">
        <v>1</v>
      </c>
      <c r="U670" s="20">
        <f t="shared" si="96"/>
        <v>0</v>
      </c>
      <c r="V670" s="19" t="s">
        <v>1264</v>
      </c>
      <c r="W670" s="19"/>
      <c r="X670" s="19"/>
      <c r="Y670" s="21">
        <v>0</v>
      </c>
      <c r="Z670" s="92">
        <v>1.3</v>
      </c>
      <c r="AA670" s="92">
        <v>1.2949999999999999</v>
      </c>
    </row>
    <row r="671" spans="1:27" x14ac:dyDescent="0.25">
      <c r="A671" s="33">
        <f t="shared" si="94"/>
        <v>668</v>
      </c>
      <c r="B671" s="19">
        <v>17020</v>
      </c>
      <c r="C671" s="19"/>
      <c r="D671" s="19" t="s">
        <v>1217</v>
      </c>
      <c r="E671" s="19" t="s">
        <v>988</v>
      </c>
      <c r="F671" s="19"/>
      <c r="G671" s="19"/>
      <c r="H671" s="19">
        <v>54</v>
      </c>
      <c r="I671" s="19" t="s">
        <v>1072</v>
      </c>
      <c r="J671" s="19"/>
      <c r="K671" s="19"/>
      <c r="L671" s="19"/>
      <c r="M671" s="19"/>
      <c r="N671" s="19">
        <v>8</v>
      </c>
      <c r="O671" s="19">
        <v>27</v>
      </c>
      <c r="P671" s="19"/>
      <c r="Q671" s="19" t="s">
        <v>395</v>
      </c>
      <c r="R671" s="19"/>
      <c r="S671" s="19"/>
      <c r="T671" s="19">
        <v>1</v>
      </c>
      <c r="U671" s="20">
        <f t="shared" si="96"/>
        <v>0</v>
      </c>
      <c r="V671" s="19" t="s">
        <v>1264</v>
      </c>
      <c r="W671" s="19"/>
      <c r="X671" s="19"/>
      <c r="Y671" s="21">
        <v>0</v>
      </c>
      <c r="Z671" s="92">
        <v>1.3</v>
      </c>
      <c r="AA671" s="92">
        <v>1.2949999999999999</v>
      </c>
    </row>
    <row r="672" spans="1:27" x14ac:dyDescent="0.25">
      <c r="A672" s="33">
        <f t="shared" si="94"/>
        <v>669</v>
      </c>
      <c r="B672" s="19">
        <v>17020</v>
      </c>
      <c r="C672" s="19"/>
      <c r="D672" s="19" t="s">
        <v>1217</v>
      </c>
      <c r="E672" s="19" t="s">
        <v>988</v>
      </c>
      <c r="F672" s="19"/>
      <c r="G672" s="19"/>
      <c r="H672" s="19">
        <v>18</v>
      </c>
      <c r="I672" s="19" t="s">
        <v>1072</v>
      </c>
      <c r="J672" s="19"/>
      <c r="K672" s="19"/>
      <c r="L672" s="19"/>
      <c r="M672" s="19"/>
      <c r="N672" s="19">
        <v>8</v>
      </c>
      <c r="O672" s="19">
        <v>30</v>
      </c>
      <c r="P672" s="19"/>
      <c r="Q672" s="19" t="s">
        <v>395</v>
      </c>
      <c r="R672" s="19"/>
      <c r="S672" s="19"/>
      <c r="T672" s="19">
        <v>1</v>
      </c>
      <c r="U672" s="20">
        <f t="shared" si="96"/>
        <v>0</v>
      </c>
      <c r="V672" s="19" t="s">
        <v>1265</v>
      </c>
      <c r="W672" s="19"/>
      <c r="X672" s="19"/>
      <c r="Y672" s="21">
        <v>0</v>
      </c>
      <c r="Z672" s="92">
        <v>1.3</v>
      </c>
      <c r="AA672" s="92">
        <v>1.2949999999999999</v>
      </c>
    </row>
    <row r="673" spans="1:27" x14ac:dyDescent="0.25">
      <c r="A673" s="33">
        <f t="shared" si="94"/>
        <v>670</v>
      </c>
      <c r="B673" s="19">
        <v>17020</v>
      </c>
      <c r="C673" s="19"/>
      <c r="D673" s="19" t="s">
        <v>1217</v>
      </c>
      <c r="E673" s="19" t="s">
        <v>988</v>
      </c>
      <c r="F673" s="19"/>
      <c r="G673" s="19"/>
      <c r="H673" s="19">
        <v>30</v>
      </c>
      <c r="I673" s="19" t="s">
        <v>1072</v>
      </c>
      <c r="J673" s="19"/>
      <c r="K673" s="19"/>
      <c r="L673" s="19"/>
      <c r="M673" s="19"/>
      <c r="N673" s="19">
        <v>8</v>
      </c>
      <c r="O673" s="19">
        <v>30</v>
      </c>
      <c r="P673" s="19"/>
      <c r="Q673" s="19" t="s">
        <v>395</v>
      </c>
      <c r="R673" s="19"/>
      <c r="S673" s="19"/>
      <c r="T673" s="19">
        <v>1</v>
      </c>
      <c r="U673" s="20">
        <f t="shared" si="96"/>
        <v>0</v>
      </c>
      <c r="V673" s="19" t="s">
        <v>1265</v>
      </c>
      <c r="W673" s="19"/>
      <c r="X673" s="19"/>
      <c r="Y673" s="21">
        <v>0</v>
      </c>
      <c r="Z673" s="92">
        <v>1.3</v>
      </c>
      <c r="AA673" s="92">
        <v>1.2949999999999999</v>
      </c>
    </row>
    <row r="674" spans="1:27" x14ac:dyDescent="0.25">
      <c r="A674" s="33">
        <f t="shared" si="94"/>
        <v>671</v>
      </c>
      <c r="B674" s="19">
        <v>17020</v>
      </c>
      <c r="C674" s="19"/>
      <c r="D674" s="19" t="s">
        <v>1217</v>
      </c>
      <c r="E674" s="19" t="s">
        <v>988</v>
      </c>
      <c r="F674" s="19"/>
      <c r="G674" s="19"/>
      <c r="H674" s="19">
        <v>42</v>
      </c>
      <c r="I674" s="19" t="s">
        <v>1072</v>
      </c>
      <c r="J674" s="19"/>
      <c r="K674" s="19"/>
      <c r="L674" s="19"/>
      <c r="M674" s="19"/>
      <c r="N674" s="19">
        <v>8</v>
      </c>
      <c r="O674" s="19">
        <v>30</v>
      </c>
      <c r="P674" s="19"/>
      <c r="Q674" s="19" t="s">
        <v>395</v>
      </c>
      <c r="R674" s="19"/>
      <c r="S674" s="19"/>
      <c r="T674" s="19">
        <v>1</v>
      </c>
      <c r="U674" s="20">
        <f t="shared" si="96"/>
        <v>0</v>
      </c>
      <c r="V674" s="19" t="s">
        <v>1265</v>
      </c>
      <c r="W674" s="19"/>
      <c r="X674" s="19"/>
      <c r="Y674" s="21">
        <v>0</v>
      </c>
      <c r="Z674" s="92">
        <v>1.3</v>
      </c>
      <c r="AA674" s="92">
        <v>1.2949999999999999</v>
      </c>
    </row>
    <row r="675" spans="1:27" x14ac:dyDescent="0.25">
      <c r="A675" s="33">
        <f t="shared" si="94"/>
        <v>672</v>
      </c>
      <c r="B675" s="19">
        <v>17020</v>
      </c>
      <c r="C675" s="19"/>
      <c r="D675" s="19" t="s">
        <v>1217</v>
      </c>
      <c r="E675" s="19" t="s">
        <v>988</v>
      </c>
      <c r="F675" s="19"/>
      <c r="G675" s="19"/>
      <c r="H675" s="19">
        <v>54</v>
      </c>
      <c r="I675" s="19" t="s">
        <v>1072</v>
      </c>
      <c r="J675" s="19"/>
      <c r="K675" s="19"/>
      <c r="L675" s="19"/>
      <c r="M675" s="19"/>
      <c r="N675" s="19">
        <v>8</v>
      </c>
      <c r="O675" s="19">
        <v>30</v>
      </c>
      <c r="P675" s="19"/>
      <c r="Q675" s="19" t="s">
        <v>395</v>
      </c>
      <c r="R675" s="19"/>
      <c r="S675" s="19"/>
      <c r="T675" s="19">
        <v>1</v>
      </c>
      <c r="U675" s="20">
        <f t="shared" si="96"/>
        <v>0</v>
      </c>
      <c r="V675" s="19" t="s">
        <v>1265</v>
      </c>
      <c r="W675" s="19"/>
      <c r="X675" s="19"/>
      <c r="Y675" s="21">
        <v>0</v>
      </c>
      <c r="Z675" s="92">
        <v>1.3</v>
      </c>
      <c r="AA675" s="92">
        <v>1.2949999999999999</v>
      </c>
    </row>
    <row r="676" spans="1:27" x14ac:dyDescent="0.25">
      <c r="A676" s="33">
        <f t="shared" si="94"/>
        <v>673</v>
      </c>
      <c r="B676" s="19">
        <v>17020</v>
      </c>
      <c r="C676" s="19"/>
      <c r="D676" s="19" t="s">
        <v>1217</v>
      </c>
      <c r="E676" s="19" t="s">
        <v>988</v>
      </c>
      <c r="F676" s="19"/>
      <c r="G676" s="19"/>
      <c r="H676" s="19">
        <v>18</v>
      </c>
      <c r="I676" s="19" t="s">
        <v>1072</v>
      </c>
      <c r="J676" s="19"/>
      <c r="K676" s="19"/>
      <c r="L676" s="19"/>
      <c r="M676" s="19"/>
      <c r="N676" s="19">
        <v>8</v>
      </c>
      <c r="O676" s="19">
        <v>35</v>
      </c>
      <c r="P676" s="19"/>
      <c r="Q676" s="19" t="s">
        <v>395</v>
      </c>
      <c r="R676" s="19"/>
      <c r="S676" s="19"/>
      <c r="T676" s="19">
        <v>1</v>
      </c>
      <c r="U676" s="20">
        <f t="shared" si="96"/>
        <v>0</v>
      </c>
      <c r="V676" s="19" t="s">
        <v>1266</v>
      </c>
      <c r="W676" s="19"/>
      <c r="X676" s="19"/>
      <c r="Y676" s="21">
        <v>0</v>
      </c>
      <c r="Z676" s="92">
        <v>1.3</v>
      </c>
      <c r="AA676" s="92">
        <v>1.2949999999999999</v>
      </c>
    </row>
    <row r="677" spans="1:27" x14ac:dyDescent="0.25">
      <c r="A677" s="33">
        <f t="shared" si="94"/>
        <v>674</v>
      </c>
      <c r="B677" s="19">
        <v>17020</v>
      </c>
      <c r="C677" s="19"/>
      <c r="D677" s="19" t="s">
        <v>1217</v>
      </c>
      <c r="E677" s="19" t="s">
        <v>988</v>
      </c>
      <c r="F677" s="19"/>
      <c r="G677" s="19"/>
      <c r="H677" s="19">
        <v>30</v>
      </c>
      <c r="I677" s="19" t="s">
        <v>1072</v>
      </c>
      <c r="J677" s="19"/>
      <c r="K677" s="19"/>
      <c r="L677" s="19"/>
      <c r="M677" s="19"/>
      <c r="N677" s="19">
        <v>8</v>
      </c>
      <c r="O677" s="19">
        <v>35</v>
      </c>
      <c r="P677" s="19"/>
      <c r="Q677" s="19" t="s">
        <v>395</v>
      </c>
      <c r="R677" s="19"/>
      <c r="S677" s="19"/>
      <c r="T677" s="19">
        <v>1</v>
      </c>
      <c r="U677" s="20">
        <f t="shared" si="96"/>
        <v>0</v>
      </c>
      <c r="V677" s="19" t="s">
        <v>1266</v>
      </c>
      <c r="W677" s="19"/>
      <c r="X677" s="19"/>
      <c r="Y677" s="21">
        <v>0</v>
      </c>
      <c r="Z677" s="92">
        <v>1.3</v>
      </c>
      <c r="AA677" s="92">
        <v>1.2949999999999999</v>
      </c>
    </row>
    <row r="678" spans="1:27" x14ac:dyDescent="0.25">
      <c r="A678" s="33">
        <f t="shared" si="94"/>
        <v>675</v>
      </c>
      <c r="B678" s="19">
        <v>17020</v>
      </c>
      <c r="C678" s="19"/>
      <c r="D678" s="19" t="s">
        <v>1217</v>
      </c>
      <c r="E678" s="19" t="s">
        <v>988</v>
      </c>
      <c r="F678" s="19"/>
      <c r="G678" s="19"/>
      <c r="H678" s="19">
        <v>42</v>
      </c>
      <c r="I678" s="19" t="s">
        <v>1072</v>
      </c>
      <c r="J678" s="19"/>
      <c r="K678" s="19"/>
      <c r="L678" s="19"/>
      <c r="M678" s="19"/>
      <c r="N678" s="19">
        <v>8</v>
      </c>
      <c r="O678" s="19">
        <v>35</v>
      </c>
      <c r="P678" s="19"/>
      <c r="Q678" s="19" t="s">
        <v>395</v>
      </c>
      <c r="R678" s="19"/>
      <c r="S678" s="19"/>
      <c r="T678" s="19">
        <v>1</v>
      </c>
      <c r="U678" s="20">
        <f t="shared" si="96"/>
        <v>0</v>
      </c>
      <c r="V678" s="19" t="s">
        <v>1266</v>
      </c>
      <c r="W678" s="19"/>
      <c r="X678" s="19"/>
      <c r="Y678" s="21">
        <v>0</v>
      </c>
      <c r="Z678" s="92">
        <v>1.3</v>
      </c>
      <c r="AA678" s="92">
        <v>1.2949999999999999</v>
      </c>
    </row>
    <row r="679" spans="1:27" x14ac:dyDescent="0.25">
      <c r="A679" s="33">
        <f t="shared" si="94"/>
        <v>676</v>
      </c>
      <c r="B679" s="19">
        <v>17020</v>
      </c>
      <c r="C679" s="19"/>
      <c r="D679" s="19" t="s">
        <v>1217</v>
      </c>
      <c r="E679" s="19" t="s">
        <v>988</v>
      </c>
      <c r="F679" s="19"/>
      <c r="G679" s="19"/>
      <c r="H679" s="19">
        <v>54</v>
      </c>
      <c r="I679" s="19" t="s">
        <v>1072</v>
      </c>
      <c r="J679" s="19"/>
      <c r="K679" s="19"/>
      <c r="L679" s="19"/>
      <c r="M679" s="19"/>
      <c r="N679" s="19">
        <v>8</v>
      </c>
      <c r="O679" s="19">
        <v>35</v>
      </c>
      <c r="P679" s="19"/>
      <c r="Q679" s="19" t="s">
        <v>395</v>
      </c>
      <c r="R679" s="19"/>
      <c r="S679" s="19"/>
      <c r="T679" s="19">
        <v>1</v>
      </c>
      <c r="U679" s="20">
        <f t="shared" si="96"/>
        <v>0</v>
      </c>
      <c r="V679" s="19" t="s">
        <v>1266</v>
      </c>
      <c r="W679" s="19"/>
      <c r="X679" s="19"/>
      <c r="Y679" s="21">
        <v>0</v>
      </c>
      <c r="Z679" s="92">
        <v>1.3</v>
      </c>
      <c r="AA679" s="92">
        <v>1.2949999999999999</v>
      </c>
    </row>
    <row r="680" spans="1:27" x14ac:dyDescent="0.25">
      <c r="A680" s="33">
        <f t="shared" si="94"/>
        <v>677</v>
      </c>
      <c r="B680" s="19">
        <v>17020</v>
      </c>
      <c r="C680" s="19"/>
      <c r="D680" s="19" t="s">
        <v>1217</v>
      </c>
      <c r="E680" s="19" t="s">
        <v>988</v>
      </c>
      <c r="F680" s="19"/>
      <c r="G680" s="19"/>
      <c r="H680" s="19">
        <v>18</v>
      </c>
      <c r="I680" s="19" t="s">
        <v>1072</v>
      </c>
      <c r="J680" s="19"/>
      <c r="K680" s="19"/>
      <c r="L680" s="19"/>
      <c r="M680" s="19"/>
      <c r="N680" s="19">
        <v>8</v>
      </c>
      <c r="O680" s="19">
        <v>40</v>
      </c>
      <c r="P680" s="19"/>
      <c r="Q680" s="19" t="s">
        <v>395</v>
      </c>
      <c r="R680" s="19"/>
      <c r="S680" s="19"/>
      <c r="T680" s="19">
        <v>1</v>
      </c>
      <c r="U680" s="20">
        <f t="shared" si="96"/>
        <v>0</v>
      </c>
      <c r="V680" s="19" t="s">
        <v>1267</v>
      </c>
      <c r="W680" s="19"/>
      <c r="X680" s="19"/>
      <c r="Y680" s="21">
        <v>0</v>
      </c>
      <c r="Z680" s="92">
        <v>1.3</v>
      </c>
      <c r="AA680" s="92">
        <v>1.2949999999999999</v>
      </c>
    </row>
    <row r="681" spans="1:27" x14ac:dyDescent="0.25">
      <c r="A681" s="33">
        <f t="shared" si="94"/>
        <v>678</v>
      </c>
      <c r="B681" s="19">
        <v>17020</v>
      </c>
      <c r="C681" s="19"/>
      <c r="D681" s="19" t="s">
        <v>1217</v>
      </c>
      <c r="E681" s="19" t="s">
        <v>988</v>
      </c>
      <c r="F681" s="19"/>
      <c r="G681" s="19"/>
      <c r="H681" s="19">
        <v>30</v>
      </c>
      <c r="I681" s="19" t="s">
        <v>1072</v>
      </c>
      <c r="J681" s="19"/>
      <c r="K681" s="19"/>
      <c r="L681" s="19"/>
      <c r="M681" s="19"/>
      <c r="N681" s="19">
        <v>8</v>
      </c>
      <c r="O681" s="19">
        <v>40</v>
      </c>
      <c r="P681" s="19"/>
      <c r="Q681" s="19" t="s">
        <v>395</v>
      </c>
      <c r="R681" s="19"/>
      <c r="S681" s="19"/>
      <c r="T681" s="19">
        <v>1</v>
      </c>
      <c r="U681" s="20">
        <f t="shared" si="96"/>
        <v>0</v>
      </c>
      <c r="V681" s="19" t="s">
        <v>1267</v>
      </c>
      <c r="W681" s="19"/>
      <c r="X681" s="19"/>
      <c r="Y681" s="21">
        <v>0</v>
      </c>
      <c r="Z681" s="92">
        <v>1.3</v>
      </c>
      <c r="AA681" s="92">
        <v>1.2949999999999999</v>
      </c>
    </row>
    <row r="682" spans="1:27" x14ac:dyDescent="0.25">
      <c r="A682" s="33">
        <f t="shared" si="94"/>
        <v>679</v>
      </c>
      <c r="B682" s="19">
        <v>17020</v>
      </c>
      <c r="C682" s="19"/>
      <c r="D682" s="19" t="s">
        <v>1217</v>
      </c>
      <c r="E682" s="19" t="s">
        <v>988</v>
      </c>
      <c r="F682" s="19"/>
      <c r="G682" s="19"/>
      <c r="H682" s="19">
        <v>42</v>
      </c>
      <c r="I682" s="19" t="s">
        <v>1072</v>
      </c>
      <c r="J682" s="19"/>
      <c r="K682" s="19"/>
      <c r="L682" s="19"/>
      <c r="M682" s="19"/>
      <c r="N682" s="19">
        <v>8</v>
      </c>
      <c r="O682" s="19">
        <v>40</v>
      </c>
      <c r="P682" s="19"/>
      <c r="Q682" s="19" t="s">
        <v>395</v>
      </c>
      <c r="R682" s="19"/>
      <c r="S682" s="19"/>
      <c r="T682" s="19">
        <v>1</v>
      </c>
      <c r="U682" s="20">
        <f t="shared" si="96"/>
        <v>0</v>
      </c>
      <c r="V682" s="19" t="s">
        <v>1267</v>
      </c>
      <c r="W682" s="19"/>
      <c r="X682" s="19"/>
      <c r="Y682" s="21">
        <v>0</v>
      </c>
      <c r="Z682" s="92">
        <v>1.3</v>
      </c>
      <c r="AA682" s="92">
        <v>1.2949999999999999</v>
      </c>
    </row>
    <row r="683" spans="1:27" x14ac:dyDescent="0.25">
      <c r="A683" s="33">
        <f t="shared" ref="A683:A750" si="97">ROW()-3</f>
        <v>680</v>
      </c>
      <c r="B683" s="19">
        <v>17020</v>
      </c>
      <c r="C683" s="19"/>
      <c r="D683" s="19" t="s">
        <v>1217</v>
      </c>
      <c r="E683" s="19" t="s">
        <v>988</v>
      </c>
      <c r="F683" s="19"/>
      <c r="G683" s="19"/>
      <c r="H683" s="19">
        <v>54</v>
      </c>
      <c r="I683" s="19" t="s">
        <v>1072</v>
      </c>
      <c r="J683" s="19"/>
      <c r="K683" s="19"/>
      <c r="L683" s="19"/>
      <c r="M683" s="19"/>
      <c r="N683" s="19">
        <v>8</v>
      </c>
      <c r="O683" s="19">
        <v>40</v>
      </c>
      <c r="P683" s="19"/>
      <c r="Q683" s="19" t="s">
        <v>395</v>
      </c>
      <c r="R683" s="19"/>
      <c r="S683" s="19"/>
      <c r="T683" s="19">
        <v>1</v>
      </c>
      <c r="U683" s="20">
        <f t="shared" si="96"/>
        <v>0</v>
      </c>
      <c r="V683" s="19" t="s">
        <v>1267</v>
      </c>
      <c r="W683" s="19"/>
      <c r="X683" s="19"/>
      <c r="Y683" s="21">
        <v>0</v>
      </c>
      <c r="Z683" s="92">
        <v>1.3</v>
      </c>
      <c r="AA683" s="92">
        <v>1.2949999999999999</v>
      </c>
    </row>
    <row r="684" spans="1:27" x14ac:dyDescent="0.25">
      <c r="A684" s="33">
        <f t="shared" si="97"/>
        <v>681</v>
      </c>
      <c r="B684" s="19">
        <v>17020</v>
      </c>
      <c r="C684" s="19" t="s">
        <v>1268</v>
      </c>
      <c r="D684" s="19" t="s">
        <v>1217</v>
      </c>
      <c r="E684" s="19" t="s">
        <v>988</v>
      </c>
      <c r="F684" s="19"/>
      <c r="G684" s="19"/>
      <c r="H684" s="19">
        <v>18</v>
      </c>
      <c r="I684" s="19" t="s">
        <v>1072</v>
      </c>
      <c r="J684" s="19"/>
      <c r="K684" s="19"/>
      <c r="L684" s="19"/>
      <c r="M684" s="19"/>
      <c r="N684" s="19">
        <v>9</v>
      </c>
      <c r="O684" s="19">
        <v>27</v>
      </c>
      <c r="P684" s="19"/>
      <c r="Q684" s="19" t="s">
        <v>395</v>
      </c>
      <c r="R684" s="19"/>
      <c r="S684" s="19"/>
      <c r="T684" s="19">
        <v>1</v>
      </c>
      <c r="U684" s="20">
        <f t="shared" si="96"/>
        <v>2.64</v>
      </c>
      <c r="V684" s="19" t="s">
        <v>1269</v>
      </c>
      <c r="W684" s="19"/>
      <c r="X684" s="19"/>
      <c r="Y684" s="21">
        <v>2.4</v>
      </c>
      <c r="Z684" s="92">
        <v>1.3</v>
      </c>
      <c r="AA684" s="92">
        <v>1.2949999999999999</v>
      </c>
    </row>
    <row r="685" spans="1:27" x14ac:dyDescent="0.25">
      <c r="A685" s="33">
        <f t="shared" si="97"/>
        <v>682</v>
      </c>
      <c r="B685" s="19">
        <v>17020</v>
      </c>
      <c r="C685" s="19" t="s">
        <v>1268</v>
      </c>
      <c r="D685" s="19" t="s">
        <v>1217</v>
      </c>
      <c r="E685" s="19" t="s">
        <v>988</v>
      </c>
      <c r="F685" s="19"/>
      <c r="G685" s="19"/>
      <c r="H685" s="19">
        <v>30</v>
      </c>
      <c r="I685" s="19" t="s">
        <v>1072</v>
      </c>
      <c r="J685" s="19"/>
      <c r="K685" s="19"/>
      <c r="L685" s="19"/>
      <c r="M685" s="19"/>
      <c r="N685" s="19">
        <v>9</v>
      </c>
      <c r="O685" s="19">
        <v>27</v>
      </c>
      <c r="P685" s="19"/>
      <c r="Q685" s="19" t="s">
        <v>395</v>
      </c>
      <c r="R685" s="19"/>
      <c r="S685" s="19"/>
      <c r="T685" s="19">
        <v>1</v>
      </c>
      <c r="U685" s="20">
        <f t="shared" si="96"/>
        <v>2.64</v>
      </c>
      <c r="V685" s="19" t="s">
        <v>1269</v>
      </c>
      <c r="W685" s="19"/>
      <c r="X685" s="19"/>
      <c r="Y685" s="21">
        <v>2.4</v>
      </c>
      <c r="Z685" s="92">
        <v>1.3</v>
      </c>
      <c r="AA685" s="92">
        <v>1.2949999999999999</v>
      </c>
    </row>
    <row r="686" spans="1:27" x14ac:dyDescent="0.25">
      <c r="A686" s="33">
        <f t="shared" si="97"/>
        <v>683</v>
      </c>
      <c r="B686" s="19">
        <v>17020</v>
      </c>
      <c r="C686" s="19" t="s">
        <v>1268</v>
      </c>
      <c r="D686" s="19" t="s">
        <v>1217</v>
      </c>
      <c r="E686" s="19" t="s">
        <v>988</v>
      </c>
      <c r="F686" s="19"/>
      <c r="G686" s="19"/>
      <c r="H686" s="19">
        <v>42</v>
      </c>
      <c r="I686" s="19" t="s">
        <v>1072</v>
      </c>
      <c r="J686" s="19"/>
      <c r="K686" s="19"/>
      <c r="L686" s="19"/>
      <c r="M686" s="19"/>
      <c r="N686" s="19">
        <v>9</v>
      </c>
      <c r="O686" s="19">
        <v>27</v>
      </c>
      <c r="P686" s="19"/>
      <c r="Q686" s="19" t="s">
        <v>395</v>
      </c>
      <c r="R686" s="19"/>
      <c r="S686" s="19"/>
      <c r="T686" s="19">
        <v>1</v>
      </c>
      <c r="U686" s="20">
        <f t="shared" si="96"/>
        <v>2.64</v>
      </c>
      <c r="V686" s="19" t="s">
        <v>1269</v>
      </c>
      <c r="W686" s="19"/>
      <c r="X686" s="19"/>
      <c r="Y686" s="21">
        <v>2.4</v>
      </c>
      <c r="Z686" s="92">
        <v>1.3</v>
      </c>
      <c r="AA686" s="92">
        <v>1.2949999999999999</v>
      </c>
    </row>
    <row r="687" spans="1:27" x14ac:dyDescent="0.25">
      <c r="A687" s="33">
        <f t="shared" si="97"/>
        <v>684</v>
      </c>
      <c r="B687" s="19">
        <v>17020</v>
      </c>
      <c r="C687" s="19" t="s">
        <v>1268</v>
      </c>
      <c r="D687" s="19" t="s">
        <v>1217</v>
      </c>
      <c r="E687" s="19" t="s">
        <v>988</v>
      </c>
      <c r="F687" s="19"/>
      <c r="G687" s="19"/>
      <c r="H687" s="19">
        <v>54</v>
      </c>
      <c r="I687" s="19" t="s">
        <v>1072</v>
      </c>
      <c r="J687" s="19"/>
      <c r="K687" s="19"/>
      <c r="L687" s="19"/>
      <c r="M687" s="19"/>
      <c r="N687" s="19">
        <v>9</v>
      </c>
      <c r="O687" s="19">
        <v>27</v>
      </c>
      <c r="P687" s="19"/>
      <c r="Q687" s="19" t="s">
        <v>395</v>
      </c>
      <c r="R687" s="19"/>
      <c r="S687" s="19"/>
      <c r="T687" s="19">
        <v>1</v>
      </c>
      <c r="U687" s="20">
        <f t="shared" si="96"/>
        <v>2.64</v>
      </c>
      <c r="V687" s="19" t="s">
        <v>1269</v>
      </c>
      <c r="W687" s="19"/>
      <c r="X687" s="19"/>
      <c r="Y687" s="21">
        <v>2.4</v>
      </c>
      <c r="Z687" s="92">
        <v>1.3</v>
      </c>
      <c r="AA687" s="92">
        <v>1.2949999999999999</v>
      </c>
    </row>
    <row r="688" spans="1:27" x14ac:dyDescent="0.25">
      <c r="A688" s="33">
        <f t="shared" si="97"/>
        <v>685</v>
      </c>
      <c r="B688" s="19">
        <v>17020</v>
      </c>
      <c r="C688" s="19" t="s">
        <v>1268</v>
      </c>
      <c r="D688" s="19" t="s">
        <v>1217</v>
      </c>
      <c r="E688" s="19" t="s">
        <v>988</v>
      </c>
      <c r="F688" s="19"/>
      <c r="G688" s="19"/>
      <c r="H688" s="19">
        <v>60</v>
      </c>
      <c r="I688" s="19" t="s">
        <v>1072</v>
      </c>
      <c r="J688" s="19"/>
      <c r="K688" s="19"/>
      <c r="L688" s="19"/>
      <c r="M688" s="19"/>
      <c r="N688" s="19">
        <v>9</v>
      </c>
      <c r="O688" s="19">
        <v>27</v>
      </c>
      <c r="P688" s="19"/>
      <c r="Q688" s="19" t="s">
        <v>395</v>
      </c>
      <c r="R688" s="19"/>
      <c r="S688" s="19"/>
      <c r="T688" s="19">
        <v>2</v>
      </c>
      <c r="U688" s="20">
        <f t="shared" si="96"/>
        <v>2.64</v>
      </c>
      <c r="V688" s="19" t="s">
        <v>1269</v>
      </c>
      <c r="W688" s="19"/>
      <c r="X688" s="19"/>
      <c r="Y688" s="21">
        <v>2.4</v>
      </c>
      <c r="Z688" s="92">
        <v>1.3</v>
      </c>
      <c r="AA688" s="92">
        <v>1.2949999999999999</v>
      </c>
    </row>
    <row r="689" spans="1:27" x14ac:dyDescent="0.25">
      <c r="A689" s="33">
        <f t="shared" si="97"/>
        <v>686</v>
      </c>
      <c r="B689" s="19">
        <v>17020</v>
      </c>
      <c r="C689" s="19" t="s">
        <v>1270</v>
      </c>
      <c r="D689" s="19" t="s">
        <v>1217</v>
      </c>
      <c r="E689" s="19" t="s">
        <v>988</v>
      </c>
      <c r="F689" s="19"/>
      <c r="G689" s="19"/>
      <c r="H689" s="19">
        <v>18</v>
      </c>
      <c r="I689" s="19" t="s">
        <v>1072</v>
      </c>
      <c r="J689" s="19"/>
      <c r="K689" s="19"/>
      <c r="L689" s="19"/>
      <c r="M689" s="19"/>
      <c r="N689" s="19">
        <v>9</v>
      </c>
      <c r="O689" s="19">
        <v>30</v>
      </c>
      <c r="P689" s="19"/>
      <c r="Q689" s="19" t="s">
        <v>395</v>
      </c>
      <c r="R689" s="19"/>
      <c r="S689" s="19"/>
      <c r="T689" s="19">
        <v>1</v>
      </c>
      <c r="U689" s="20">
        <f t="shared" si="96"/>
        <v>2.64</v>
      </c>
      <c r="V689" s="19" t="s">
        <v>1271</v>
      </c>
      <c r="W689" s="19"/>
      <c r="X689" s="19"/>
      <c r="Y689" s="21">
        <v>2.4</v>
      </c>
      <c r="Z689" s="92">
        <v>1.3</v>
      </c>
      <c r="AA689" s="92">
        <v>1.2949999999999999</v>
      </c>
    </row>
    <row r="690" spans="1:27" x14ac:dyDescent="0.25">
      <c r="A690" s="33">
        <f t="shared" si="97"/>
        <v>687</v>
      </c>
      <c r="B690" s="19">
        <v>17020</v>
      </c>
      <c r="C690" s="19" t="s">
        <v>1270</v>
      </c>
      <c r="D690" s="19" t="s">
        <v>1217</v>
      </c>
      <c r="E690" s="19" t="s">
        <v>988</v>
      </c>
      <c r="F690" s="19"/>
      <c r="G690" s="19"/>
      <c r="H690" s="19">
        <v>30</v>
      </c>
      <c r="I690" s="19" t="s">
        <v>1072</v>
      </c>
      <c r="J690" s="19"/>
      <c r="K690" s="19"/>
      <c r="L690" s="19"/>
      <c r="M690" s="19"/>
      <c r="N690" s="19">
        <v>9</v>
      </c>
      <c r="O690" s="19">
        <v>30</v>
      </c>
      <c r="P690" s="19"/>
      <c r="Q690" s="19" t="s">
        <v>395</v>
      </c>
      <c r="R690" s="19"/>
      <c r="S690" s="19"/>
      <c r="T690" s="19">
        <v>1</v>
      </c>
      <c r="U690" s="20">
        <f t="shared" si="96"/>
        <v>2.64</v>
      </c>
      <c r="V690" s="19" t="s">
        <v>1271</v>
      </c>
      <c r="W690" s="19"/>
      <c r="X690" s="19"/>
      <c r="Y690" s="21">
        <v>2.4</v>
      </c>
      <c r="Z690" s="92">
        <v>1.3</v>
      </c>
      <c r="AA690" s="92">
        <v>1.2949999999999999</v>
      </c>
    </row>
    <row r="691" spans="1:27" x14ac:dyDescent="0.25">
      <c r="A691" s="33">
        <f t="shared" si="97"/>
        <v>688</v>
      </c>
      <c r="B691" s="19">
        <v>17020</v>
      </c>
      <c r="C691" s="19" t="s">
        <v>1270</v>
      </c>
      <c r="D691" s="19" t="s">
        <v>1217</v>
      </c>
      <c r="E691" s="19" t="s">
        <v>988</v>
      </c>
      <c r="F691" s="19"/>
      <c r="G691" s="19"/>
      <c r="H691" s="19">
        <v>42</v>
      </c>
      <c r="I691" s="19" t="s">
        <v>1072</v>
      </c>
      <c r="J691" s="19"/>
      <c r="K691" s="19"/>
      <c r="L691" s="19"/>
      <c r="M691" s="19"/>
      <c r="N691" s="19">
        <v>9</v>
      </c>
      <c r="O691" s="19">
        <v>30</v>
      </c>
      <c r="P691" s="19"/>
      <c r="Q691" s="19" t="s">
        <v>395</v>
      </c>
      <c r="R691" s="19"/>
      <c r="S691" s="19"/>
      <c r="T691" s="19">
        <v>1</v>
      </c>
      <c r="U691" s="20">
        <f t="shared" si="96"/>
        <v>2.64</v>
      </c>
      <c r="V691" s="19" t="s">
        <v>1271</v>
      </c>
      <c r="W691" s="19"/>
      <c r="X691" s="19"/>
      <c r="Y691" s="21">
        <v>2.4</v>
      </c>
      <c r="Z691" s="92">
        <v>1.3</v>
      </c>
      <c r="AA691" s="92">
        <v>1.2949999999999999</v>
      </c>
    </row>
    <row r="692" spans="1:27" x14ac:dyDescent="0.25">
      <c r="A692" s="33">
        <f t="shared" si="97"/>
        <v>689</v>
      </c>
      <c r="B692" s="19">
        <v>17020</v>
      </c>
      <c r="C692" s="19" t="s">
        <v>1270</v>
      </c>
      <c r="D692" s="19" t="s">
        <v>1217</v>
      </c>
      <c r="E692" s="19" t="s">
        <v>988</v>
      </c>
      <c r="F692" s="19"/>
      <c r="G692" s="19"/>
      <c r="H692" s="19">
        <v>54</v>
      </c>
      <c r="I692" s="19" t="s">
        <v>1072</v>
      </c>
      <c r="J692" s="19"/>
      <c r="K692" s="19"/>
      <c r="L692" s="19"/>
      <c r="M692" s="19"/>
      <c r="N692" s="19">
        <v>9</v>
      </c>
      <c r="O692" s="19">
        <v>30</v>
      </c>
      <c r="P692" s="19"/>
      <c r="Q692" s="19" t="s">
        <v>395</v>
      </c>
      <c r="R692" s="19"/>
      <c r="S692" s="19"/>
      <c r="T692" s="19">
        <v>1</v>
      </c>
      <c r="U692" s="20">
        <f t="shared" si="96"/>
        <v>2.64</v>
      </c>
      <c r="V692" s="19" t="s">
        <v>1271</v>
      </c>
      <c r="W692" s="19"/>
      <c r="X692" s="19"/>
      <c r="Y692" s="21">
        <v>2.4</v>
      </c>
      <c r="Z692" s="92">
        <v>1.3</v>
      </c>
      <c r="AA692" s="92">
        <v>1.2949999999999999</v>
      </c>
    </row>
    <row r="693" spans="1:27" x14ac:dyDescent="0.25">
      <c r="A693" s="33">
        <f t="shared" si="97"/>
        <v>690</v>
      </c>
      <c r="B693" s="19">
        <v>17020</v>
      </c>
      <c r="C693" s="19" t="s">
        <v>1270</v>
      </c>
      <c r="D693" s="19" t="s">
        <v>1217</v>
      </c>
      <c r="E693" s="19" t="s">
        <v>988</v>
      </c>
      <c r="F693" s="19"/>
      <c r="G693" s="19"/>
      <c r="H693" s="19">
        <v>60</v>
      </c>
      <c r="I693" s="19" t="s">
        <v>1072</v>
      </c>
      <c r="J693" s="19"/>
      <c r="K693" s="19"/>
      <c r="L693" s="19"/>
      <c r="M693" s="19"/>
      <c r="N693" s="19">
        <v>9</v>
      </c>
      <c r="O693" s="19">
        <v>30</v>
      </c>
      <c r="P693" s="19"/>
      <c r="Q693" s="19" t="s">
        <v>395</v>
      </c>
      <c r="R693" s="19"/>
      <c r="S693" s="19"/>
      <c r="T693" s="19">
        <v>2</v>
      </c>
      <c r="U693" s="20">
        <f t="shared" si="96"/>
        <v>2.64</v>
      </c>
      <c r="V693" s="19" t="s">
        <v>1271</v>
      </c>
      <c r="W693" s="19"/>
      <c r="X693" s="19"/>
      <c r="Y693" s="21">
        <v>2.4</v>
      </c>
      <c r="Z693" s="92">
        <v>1.3</v>
      </c>
      <c r="AA693" s="92">
        <v>1.2949999999999999</v>
      </c>
    </row>
    <row r="694" spans="1:27" x14ac:dyDescent="0.25">
      <c r="A694" s="33">
        <f t="shared" si="97"/>
        <v>691</v>
      </c>
      <c r="B694" s="19">
        <v>17020</v>
      </c>
      <c r="C694" s="19" t="s">
        <v>1272</v>
      </c>
      <c r="D694" s="19" t="s">
        <v>1217</v>
      </c>
      <c r="E694" s="19" t="s">
        <v>988</v>
      </c>
      <c r="F694" s="19"/>
      <c r="G694" s="19"/>
      <c r="H694" s="19">
        <v>18</v>
      </c>
      <c r="I694" s="19" t="s">
        <v>1072</v>
      </c>
      <c r="J694" s="19"/>
      <c r="K694" s="19"/>
      <c r="L694" s="19"/>
      <c r="M694" s="19"/>
      <c r="N694" s="19">
        <v>9</v>
      </c>
      <c r="O694" s="19">
        <v>35</v>
      </c>
      <c r="P694" s="19"/>
      <c r="Q694" s="19" t="s">
        <v>395</v>
      </c>
      <c r="R694" s="19"/>
      <c r="S694" s="19"/>
      <c r="T694" s="19">
        <v>1</v>
      </c>
      <c r="U694" s="20">
        <f t="shared" si="96"/>
        <v>2.64</v>
      </c>
      <c r="V694" s="19" t="s">
        <v>1273</v>
      </c>
      <c r="W694" s="19"/>
      <c r="X694" s="19"/>
      <c r="Y694" s="21">
        <v>2.4</v>
      </c>
      <c r="Z694" s="92">
        <v>1.3</v>
      </c>
      <c r="AA694" s="92">
        <v>1.2949999999999999</v>
      </c>
    </row>
    <row r="695" spans="1:27" x14ac:dyDescent="0.25">
      <c r="A695" s="33">
        <f t="shared" si="97"/>
        <v>692</v>
      </c>
      <c r="B695" s="19">
        <v>17020</v>
      </c>
      <c r="C695" s="19" t="s">
        <v>1272</v>
      </c>
      <c r="D695" s="19" t="s">
        <v>1217</v>
      </c>
      <c r="E695" s="19" t="s">
        <v>988</v>
      </c>
      <c r="F695" s="19"/>
      <c r="G695" s="19"/>
      <c r="H695" s="19">
        <v>30</v>
      </c>
      <c r="I695" s="19" t="s">
        <v>1072</v>
      </c>
      <c r="J695" s="19"/>
      <c r="K695" s="19"/>
      <c r="L695" s="19"/>
      <c r="M695" s="19"/>
      <c r="N695" s="19">
        <v>9</v>
      </c>
      <c r="O695" s="19">
        <v>35</v>
      </c>
      <c r="P695" s="19"/>
      <c r="Q695" s="19" t="s">
        <v>395</v>
      </c>
      <c r="R695" s="19"/>
      <c r="S695" s="19"/>
      <c r="T695" s="19">
        <v>1</v>
      </c>
      <c r="U695" s="20">
        <f t="shared" si="96"/>
        <v>2.64</v>
      </c>
      <c r="V695" s="19" t="s">
        <v>1273</v>
      </c>
      <c r="W695" s="19"/>
      <c r="X695" s="19"/>
      <c r="Y695" s="21">
        <v>2.4</v>
      </c>
      <c r="Z695" s="92">
        <v>1.3</v>
      </c>
      <c r="AA695" s="92">
        <v>1.2949999999999999</v>
      </c>
    </row>
    <row r="696" spans="1:27" x14ac:dyDescent="0.25">
      <c r="A696" s="33">
        <f t="shared" si="97"/>
        <v>693</v>
      </c>
      <c r="B696" s="19">
        <v>17020</v>
      </c>
      <c r="C696" s="19" t="s">
        <v>1272</v>
      </c>
      <c r="D696" s="19" t="s">
        <v>1217</v>
      </c>
      <c r="E696" s="19" t="s">
        <v>988</v>
      </c>
      <c r="F696" s="19"/>
      <c r="G696" s="19"/>
      <c r="H696" s="19">
        <v>42</v>
      </c>
      <c r="I696" s="19" t="s">
        <v>1072</v>
      </c>
      <c r="J696" s="19"/>
      <c r="K696" s="19"/>
      <c r="L696" s="19"/>
      <c r="M696" s="19"/>
      <c r="N696" s="19">
        <v>9</v>
      </c>
      <c r="O696" s="19">
        <v>35</v>
      </c>
      <c r="P696" s="19"/>
      <c r="Q696" s="19" t="s">
        <v>395</v>
      </c>
      <c r="R696" s="19"/>
      <c r="S696" s="19"/>
      <c r="T696" s="19">
        <v>1</v>
      </c>
      <c r="U696" s="20">
        <f t="shared" si="96"/>
        <v>2.64</v>
      </c>
      <c r="V696" s="19" t="s">
        <v>1273</v>
      </c>
      <c r="W696" s="19"/>
      <c r="X696" s="19"/>
      <c r="Y696" s="21">
        <v>2.4</v>
      </c>
      <c r="Z696" s="92">
        <v>1.3</v>
      </c>
      <c r="AA696" s="92">
        <v>1.2949999999999999</v>
      </c>
    </row>
    <row r="697" spans="1:27" x14ac:dyDescent="0.25">
      <c r="A697" s="33">
        <f t="shared" si="97"/>
        <v>694</v>
      </c>
      <c r="B697" s="19">
        <v>17020</v>
      </c>
      <c r="C697" s="19" t="s">
        <v>1272</v>
      </c>
      <c r="D697" s="19" t="s">
        <v>1217</v>
      </c>
      <c r="E697" s="19" t="s">
        <v>988</v>
      </c>
      <c r="F697" s="19"/>
      <c r="G697" s="19"/>
      <c r="H697" s="19">
        <v>54</v>
      </c>
      <c r="I697" s="19" t="s">
        <v>1072</v>
      </c>
      <c r="J697" s="19"/>
      <c r="K697" s="19"/>
      <c r="L697" s="19"/>
      <c r="M697" s="19"/>
      <c r="N697" s="19">
        <v>9</v>
      </c>
      <c r="O697" s="19">
        <v>35</v>
      </c>
      <c r="P697" s="19"/>
      <c r="Q697" s="19" t="s">
        <v>395</v>
      </c>
      <c r="R697" s="19"/>
      <c r="S697" s="19"/>
      <c r="T697" s="19">
        <v>1</v>
      </c>
      <c r="U697" s="20">
        <f t="shared" si="96"/>
        <v>2.64</v>
      </c>
      <c r="V697" s="19" t="s">
        <v>1273</v>
      </c>
      <c r="W697" s="19"/>
      <c r="X697" s="19"/>
      <c r="Y697" s="21">
        <v>2.4</v>
      </c>
      <c r="Z697" s="92">
        <v>1.3</v>
      </c>
      <c r="AA697" s="92">
        <v>1.2949999999999999</v>
      </c>
    </row>
    <row r="698" spans="1:27" x14ac:dyDescent="0.25">
      <c r="A698" s="33">
        <f t="shared" si="97"/>
        <v>695</v>
      </c>
      <c r="B698" s="19">
        <v>17020</v>
      </c>
      <c r="C698" s="19" t="s">
        <v>1272</v>
      </c>
      <c r="D698" s="19" t="s">
        <v>1217</v>
      </c>
      <c r="E698" s="19" t="s">
        <v>988</v>
      </c>
      <c r="F698" s="19"/>
      <c r="G698" s="19"/>
      <c r="H698" s="19">
        <v>60</v>
      </c>
      <c r="I698" s="19" t="s">
        <v>1072</v>
      </c>
      <c r="J698" s="19"/>
      <c r="K698" s="19"/>
      <c r="L698" s="19"/>
      <c r="M698" s="19"/>
      <c r="N698" s="19">
        <v>9</v>
      </c>
      <c r="O698" s="19">
        <v>35</v>
      </c>
      <c r="P698" s="19"/>
      <c r="Q698" s="19" t="s">
        <v>395</v>
      </c>
      <c r="R698" s="19"/>
      <c r="S698" s="19"/>
      <c r="T698" s="19">
        <v>2</v>
      </c>
      <c r="U698" s="20">
        <f t="shared" si="96"/>
        <v>2.64</v>
      </c>
      <c r="V698" s="19" t="s">
        <v>1273</v>
      </c>
      <c r="W698" s="19"/>
      <c r="X698" s="19"/>
      <c r="Y698" s="21">
        <v>2.4</v>
      </c>
      <c r="Z698" s="92">
        <v>1.3</v>
      </c>
      <c r="AA698" s="92">
        <v>1.2949999999999999</v>
      </c>
    </row>
    <row r="699" spans="1:27" x14ac:dyDescent="0.25">
      <c r="A699" s="33">
        <f t="shared" si="97"/>
        <v>696</v>
      </c>
      <c r="B699" s="19">
        <v>17020</v>
      </c>
      <c r="C699" s="19" t="s">
        <v>1274</v>
      </c>
      <c r="D699" s="19" t="s">
        <v>1217</v>
      </c>
      <c r="E699" s="19" t="s">
        <v>988</v>
      </c>
      <c r="F699" s="19"/>
      <c r="G699" s="19"/>
      <c r="H699" s="19">
        <v>18</v>
      </c>
      <c r="I699" s="19" t="s">
        <v>1072</v>
      </c>
      <c r="J699" s="19"/>
      <c r="K699" s="19"/>
      <c r="L699" s="19"/>
      <c r="M699" s="19"/>
      <c r="N699" s="19">
        <v>9</v>
      </c>
      <c r="O699" s="19">
        <v>40</v>
      </c>
      <c r="P699" s="19"/>
      <c r="Q699" s="19" t="s">
        <v>395</v>
      </c>
      <c r="R699" s="19"/>
      <c r="S699" s="19"/>
      <c r="T699" s="19">
        <v>1</v>
      </c>
      <c r="U699" s="20">
        <f t="shared" si="96"/>
        <v>2.64</v>
      </c>
      <c r="V699" s="19" t="s">
        <v>1275</v>
      </c>
      <c r="W699" s="19"/>
      <c r="X699" s="19"/>
      <c r="Y699" s="21">
        <v>2.4</v>
      </c>
      <c r="Z699" s="92">
        <v>1.3</v>
      </c>
      <c r="AA699" s="92">
        <v>1.2949999999999999</v>
      </c>
    </row>
    <row r="700" spans="1:27" x14ac:dyDescent="0.25">
      <c r="A700" s="33">
        <f t="shared" si="97"/>
        <v>697</v>
      </c>
      <c r="B700" s="19">
        <v>17020</v>
      </c>
      <c r="C700" s="19" t="s">
        <v>1274</v>
      </c>
      <c r="D700" s="19" t="s">
        <v>1217</v>
      </c>
      <c r="E700" s="19" t="s">
        <v>988</v>
      </c>
      <c r="F700" s="19"/>
      <c r="G700" s="19"/>
      <c r="H700" s="19">
        <v>30</v>
      </c>
      <c r="I700" s="19" t="s">
        <v>1072</v>
      </c>
      <c r="J700" s="19"/>
      <c r="K700" s="19"/>
      <c r="L700" s="19"/>
      <c r="M700" s="19"/>
      <c r="N700" s="19">
        <v>9</v>
      </c>
      <c r="O700" s="19">
        <v>40</v>
      </c>
      <c r="P700" s="19"/>
      <c r="Q700" s="19" t="s">
        <v>395</v>
      </c>
      <c r="R700" s="19"/>
      <c r="S700" s="19"/>
      <c r="T700" s="19">
        <v>1</v>
      </c>
      <c r="U700" s="20">
        <f t="shared" si="96"/>
        <v>2.64</v>
      </c>
      <c r="V700" s="19" t="s">
        <v>1275</v>
      </c>
      <c r="W700" s="19"/>
      <c r="X700" s="19"/>
      <c r="Y700" s="21">
        <v>2.4</v>
      </c>
      <c r="Z700" s="92">
        <v>1.3</v>
      </c>
      <c r="AA700" s="92">
        <v>1.2949999999999999</v>
      </c>
    </row>
    <row r="701" spans="1:27" x14ac:dyDescent="0.25">
      <c r="A701" s="33">
        <f t="shared" si="97"/>
        <v>698</v>
      </c>
      <c r="B701" s="19">
        <v>17020</v>
      </c>
      <c r="C701" s="19" t="s">
        <v>1274</v>
      </c>
      <c r="D701" s="19" t="s">
        <v>1217</v>
      </c>
      <c r="E701" s="19" t="s">
        <v>988</v>
      </c>
      <c r="F701" s="19"/>
      <c r="G701" s="19"/>
      <c r="H701" s="19">
        <v>42</v>
      </c>
      <c r="I701" s="19" t="s">
        <v>1072</v>
      </c>
      <c r="J701" s="19"/>
      <c r="K701" s="19"/>
      <c r="L701" s="19"/>
      <c r="M701" s="19"/>
      <c r="N701" s="19">
        <v>9</v>
      </c>
      <c r="O701" s="19">
        <v>40</v>
      </c>
      <c r="P701" s="19"/>
      <c r="Q701" s="19" t="s">
        <v>395</v>
      </c>
      <c r="R701" s="19"/>
      <c r="S701" s="19"/>
      <c r="T701" s="19">
        <v>1</v>
      </c>
      <c r="U701" s="20">
        <f t="shared" si="96"/>
        <v>2.64</v>
      </c>
      <c r="V701" s="19" t="s">
        <v>1275</v>
      </c>
      <c r="W701" s="19"/>
      <c r="X701" s="19"/>
      <c r="Y701" s="21">
        <v>2.4</v>
      </c>
      <c r="Z701" s="92">
        <v>1.3</v>
      </c>
      <c r="AA701" s="92">
        <v>1.2949999999999999</v>
      </c>
    </row>
    <row r="702" spans="1:27" x14ac:dyDescent="0.25">
      <c r="A702" s="33">
        <f t="shared" si="97"/>
        <v>699</v>
      </c>
      <c r="B702" s="19">
        <v>17020</v>
      </c>
      <c r="C702" s="19" t="s">
        <v>1274</v>
      </c>
      <c r="D702" s="19" t="s">
        <v>1217</v>
      </c>
      <c r="E702" s="19" t="s">
        <v>988</v>
      </c>
      <c r="F702" s="19"/>
      <c r="G702" s="19"/>
      <c r="H702" s="19">
        <v>54</v>
      </c>
      <c r="I702" s="19" t="s">
        <v>1072</v>
      </c>
      <c r="J702" s="19"/>
      <c r="K702" s="19"/>
      <c r="L702" s="19"/>
      <c r="M702" s="19"/>
      <c r="N702" s="19">
        <v>9</v>
      </c>
      <c r="O702" s="19">
        <v>40</v>
      </c>
      <c r="P702" s="19"/>
      <c r="Q702" s="19" t="s">
        <v>395</v>
      </c>
      <c r="R702" s="19"/>
      <c r="S702" s="19"/>
      <c r="T702" s="19">
        <v>1</v>
      </c>
      <c r="U702" s="20">
        <f t="shared" si="96"/>
        <v>2.64</v>
      </c>
      <c r="V702" s="19" t="s">
        <v>1275</v>
      </c>
      <c r="W702" s="19"/>
      <c r="X702" s="19"/>
      <c r="Y702" s="21">
        <v>2.4</v>
      </c>
      <c r="Z702" s="92">
        <v>1.3</v>
      </c>
      <c r="AA702" s="92">
        <v>1.2949999999999999</v>
      </c>
    </row>
    <row r="703" spans="1:27" x14ac:dyDescent="0.25">
      <c r="A703" s="33">
        <f t="shared" si="97"/>
        <v>700</v>
      </c>
      <c r="B703" s="19">
        <v>17020</v>
      </c>
      <c r="C703" s="19" t="s">
        <v>1274</v>
      </c>
      <c r="D703" s="19" t="s">
        <v>1217</v>
      </c>
      <c r="E703" s="19" t="s">
        <v>988</v>
      </c>
      <c r="F703" s="19"/>
      <c r="G703" s="19"/>
      <c r="H703" s="19">
        <v>60</v>
      </c>
      <c r="I703" s="19" t="s">
        <v>1072</v>
      </c>
      <c r="J703" s="19"/>
      <c r="K703" s="19"/>
      <c r="L703" s="19"/>
      <c r="M703" s="19"/>
      <c r="N703" s="19">
        <v>9</v>
      </c>
      <c r="O703" s="19">
        <v>40</v>
      </c>
      <c r="P703" s="19"/>
      <c r="Q703" s="19" t="s">
        <v>395</v>
      </c>
      <c r="R703" s="19"/>
      <c r="S703" s="19"/>
      <c r="T703" s="19">
        <v>2</v>
      </c>
      <c r="U703" s="20">
        <f t="shared" si="96"/>
        <v>2.64</v>
      </c>
      <c r="V703" s="19" t="s">
        <v>1275</v>
      </c>
      <c r="W703" s="19"/>
      <c r="X703" s="19"/>
      <c r="Y703" s="21">
        <v>2.4</v>
      </c>
      <c r="Z703" s="92">
        <v>1.3</v>
      </c>
      <c r="AA703" s="92">
        <v>1.2949999999999999</v>
      </c>
    </row>
    <row r="704" spans="1:27" x14ac:dyDescent="0.25">
      <c r="A704" s="33">
        <f t="shared" si="97"/>
        <v>701</v>
      </c>
      <c r="B704" s="210" t="s">
        <v>1276</v>
      </c>
      <c r="C704" s="210"/>
      <c r="D704" s="210"/>
      <c r="E704" s="210"/>
      <c r="F704" s="210"/>
      <c r="G704" s="210"/>
      <c r="H704" s="210"/>
      <c r="I704" s="210"/>
      <c r="J704" s="210"/>
      <c r="K704" s="210"/>
      <c r="L704" s="210"/>
      <c r="M704" s="210"/>
      <c r="N704" s="210"/>
      <c r="O704" s="210"/>
      <c r="P704" s="210"/>
      <c r="Q704" s="210"/>
      <c r="R704" s="210"/>
      <c r="S704" s="210"/>
      <c r="T704" s="210"/>
      <c r="U704" s="210"/>
      <c r="V704" s="210"/>
      <c r="W704" s="211"/>
      <c r="X704" s="19"/>
      <c r="Y704" s="74"/>
      <c r="Z704" s="76"/>
      <c r="AA704" s="76"/>
    </row>
    <row r="705" spans="1:27" x14ac:dyDescent="0.25">
      <c r="A705" s="33">
        <f t="shared" si="97"/>
        <v>702</v>
      </c>
      <c r="B705" s="19">
        <v>17110</v>
      </c>
      <c r="C705" s="19"/>
      <c r="D705" s="19" t="s">
        <v>1217</v>
      </c>
      <c r="E705" s="19" t="s">
        <v>988</v>
      </c>
      <c r="F705" s="19"/>
      <c r="G705" s="19"/>
      <c r="H705" s="19" t="s">
        <v>384</v>
      </c>
      <c r="I705" s="19" t="s">
        <v>1055</v>
      </c>
      <c r="J705" s="19"/>
      <c r="K705" s="19"/>
      <c r="L705" s="19"/>
      <c r="M705" s="19"/>
      <c r="N705" s="19">
        <v>8</v>
      </c>
      <c r="O705" s="19" t="s">
        <v>200</v>
      </c>
      <c r="P705" s="19"/>
      <c r="Q705" s="19" t="s">
        <v>395</v>
      </c>
      <c r="R705" s="19"/>
      <c r="S705" s="19"/>
      <c r="T705" s="19">
        <v>1</v>
      </c>
      <c r="U705" s="20">
        <f t="shared" ref="U705:U714" si="98">Y705*1.1</f>
        <v>0</v>
      </c>
      <c r="V705" s="19" t="s">
        <v>1277</v>
      </c>
      <c r="W705" s="19"/>
      <c r="X705" s="19"/>
      <c r="Y705" s="21">
        <v>0</v>
      </c>
      <c r="Z705" s="92">
        <v>1.3</v>
      </c>
      <c r="AA705" s="92">
        <v>1.2949999999999999</v>
      </c>
    </row>
    <row r="706" spans="1:27" x14ac:dyDescent="0.25">
      <c r="A706" s="33">
        <f t="shared" si="97"/>
        <v>703</v>
      </c>
      <c r="B706" s="19">
        <v>17110</v>
      </c>
      <c r="C706" s="19"/>
      <c r="D706" s="19" t="s">
        <v>1217</v>
      </c>
      <c r="E706" s="19" t="s">
        <v>988</v>
      </c>
      <c r="F706" s="19"/>
      <c r="G706" s="19"/>
      <c r="H706" s="19" t="s">
        <v>387</v>
      </c>
      <c r="I706" s="19" t="s">
        <v>1055</v>
      </c>
      <c r="J706" s="19"/>
      <c r="K706" s="19"/>
      <c r="L706" s="19"/>
      <c r="M706" s="19"/>
      <c r="N706" s="19">
        <v>8</v>
      </c>
      <c r="O706" s="19" t="s">
        <v>200</v>
      </c>
      <c r="P706" s="19"/>
      <c r="Q706" s="19" t="s">
        <v>395</v>
      </c>
      <c r="R706" s="19"/>
      <c r="S706" s="19"/>
      <c r="T706" s="19">
        <v>2</v>
      </c>
      <c r="U706" s="20">
        <f t="shared" si="98"/>
        <v>0</v>
      </c>
      <c r="V706" s="19" t="s">
        <v>1277</v>
      </c>
      <c r="W706" s="19"/>
      <c r="X706" s="19"/>
      <c r="Y706" s="21">
        <v>0</v>
      </c>
      <c r="Z706" s="92">
        <v>1.3</v>
      </c>
      <c r="AA706" s="92">
        <v>1.2949999999999999</v>
      </c>
    </row>
    <row r="707" spans="1:27" x14ac:dyDescent="0.25">
      <c r="A707" s="33">
        <f t="shared" si="97"/>
        <v>704</v>
      </c>
      <c r="B707" s="19">
        <v>17110</v>
      </c>
      <c r="C707" s="19"/>
      <c r="D707" s="19" t="s">
        <v>1217</v>
      </c>
      <c r="E707" s="19" t="s">
        <v>988</v>
      </c>
      <c r="F707" s="19"/>
      <c r="G707" s="19"/>
      <c r="H707" s="19" t="s">
        <v>1219</v>
      </c>
      <c r="I707" s="19" t="s">
        <v>1055</v>
      </c>
      <c r="J707" s="19"/>
      <c r="K707" s="19"/>
      <c r="L707" s="19"/>
      <c r="M707" s="19"/>
      <c r="N707" s="19">
        <v>8</v>
      </c>
      <c r="O707" s="19" t="s">
        <v>200</v>
      </c>
      <c r="P707" s="19"/>
      <c r="Q707" s="19" t="s">
        <v>395</v>
      </c>
      <c r="R707" s="19"/>
      <c r="S707" s="19"/>
      <c r="T707" s="19">
        <v>3</v>
      </c>
      <c r="U707" s="20">
        <f t="shared" si="98"/>
        <v>0</v>
      </c>
      <c r="V707" s="19" t="s">
        <v>1277</v>
      </c>
      <c r="W707" s="19"/>
      <c r="X707" s="19"/>
      <c r="Y707" s="21">
        <v>0</v>
      </c>
      <c r="Z707" s="92">
        <v>1.3</v>
      </c>
      <c r="AA707" s="92">
        <v>1.2949999999999999</v>
      </c>
    </row>
    <row r="708" spans="1:27" x14ac:dyDescent="0.25">
      <c r="A708" s="33">
        <f t="shared" si="97"/>
        <v>705</v>
      </c>
      <c r="B708" s="19">
        <v>17110</v>
      </c>
      <c r="C708" s="19"/>
      <c r="D708" s="19" t="s">
        <v>1217</v>
      </c>
      <c r="E708" s="19" t="s">
        <v>988</v>
      </c>
      <c r="F708" s="19"/>
      <c r="G708" s="19"/>
      <c r="H708" s="19" t="s">
        <v>1043</v>
      </c>
      <c r="I708" s="19" t="s">
        <v>1055</v>
      </c>
      <c r="J708" s="19"/>
      <c r="K708" s="19"/>
      <c r="L708" s="19"/>
      <c r="M708" s="19"/>
      <c r="N708" s="19">
        <v>8</v>
      </c>
      <c r="O708" s="19" t="s">
        <v>200</v>
      </c>
      <c r="P708" s="19"/>
      <c r="Q708" s="19" t="s">
        <v>395</v>
      </c>
      <c r="R708" s="19"/>
      <c r="S708" s="19"/>
      <c r="T708" s="19">
        <v>4</v>
      </c>
      <c r="U708" s="20">
        <f t="shared" si="98"/>
        <v>0</v>
      </c>
      <c r="V708" s="19" t="s">
        <v>1277</v>
      </c>
      <c r="W708" s="19"/>
      <c r="X708" s="19"/>
      <c r="Y708" s="21">
        <v>0</v>
      </c>
      <c r="Z708" s="92">
        <v>1.3</v>
      </c>
      <c r="AA708" s="92">
        <v>1.2949999999999999</v>
      </c>
    </row>
    <row r="709" spans="1:27" x14ac:dyDescent="0.25">
      <c r="A709" s="33">
        <f t="shared" si="97"/>
        <v>706</v>
      </c>
      <c r="B709" s="19">
        <v>17110</v>
      </c>
      <c r="C709" s="19"/>
      <c r="D709" s="19" t="s">
        <v>1217</v>
      </c>
      <c r="E709" s="19" t="s">
        <v>988</v>
      </c>
      <c r="F709" s="19"/>
      <c r="G709" s="19"/>
      <c r="H709" s="19">
        <v>60</v>
      </c>
      <c r="I709" s="19" t="s">
        <v>1055</v>
      </c>
      <c r="J709" s="19"/>
      <c r="K709" s="19"/>
      <c r="L709" s="19"/>
      <c r="M709" s="19"/>
      <c r="N709" s="19">
        <v>8</v>
      </c>
      <c r="O709" s="19" t="s">
        <v>200</v>
      </c>
      <c r="P709" s="19"/>
      <c r="Q709" s="19" t="s">
        <v>395</v>
      </c>
      <c r="R709" s="19"/>
      <c r="S709" s="19"/>
      <c r="T709" s="19">
        <v>5</v>
      </c>
      <c r="U709" s="20">
        <f t="shared" si="98"/>
        <v>0</v>
      </c>
      <c r="V709" s="19" t="s">
        <v>1277</v>
      </c>
      <c r="W709" s="19"/>
      <c r="X709" s="19"/>
      <c r="Y709" s="21">
        <v>0</v>
      </c>
      <c r="Z709" s="92">
        <v>1.3</v>
      </c>
      <c r="AA709" s="92">
        <v>1.2949999999999999</v>
      </c>
    </row>
    <row r="710" spans="1:27" x14ac:dyDescent="0.25">
      <c r="A710" s="33">
        <f t="shared" si="97"/>
        <v>707</v>
      </c>
      <c r="B710" s="19">
        <v>17110</v>
      </c>
      <c r="C710" s="19" t="s">
        <v>1278</v>
      </c>
      <c r="D710" s="19" t="s">
        <v>1217</v>
      </c>
      <c r="E710" s="19" t="s">
        <v>988</v>
      </c>
      <c r="F710" s="19"/>
      <c r="G710" s="19"/>
      <c r="H710" s="19" t="s">
        <v>384</v>
      </c>
      <c r="I710" s="19" t="s">
        <v>1055</v>
      </c>
      <c r="J710" s="19"/>
      <c r="K710" s="19"/>
      <c r="L710" s="19"/>
      <c r="M710" s="19"/>
      <c r="N710" s="19">
        <v>9</v>
      </c>
      <c r="O710" s="19" t="s">
        <v>200</v>
      </c>
      <c r="P710" s="19"/>
      <c r="Q710" s="19" t="s">
        <v>395</v>
      </c>
      <c r="R710" s="19"/>
      <c r="S710" s="19"/>
      <c r="T710" s="19">
        <v>1</v>
      </c>
      <c r="U710" s="20">
        <f t="shared" si="98"/>
        <v>11</v>
      </c>
      <c r="V710" s="19" t="s">
        <v>1279</v>
      </c>
      <c r="W710" s="19"/>
      <c r="X710" s="19"/>
      <c r="Y710" s="21">
        <v>10</v>
      </c>
      <c r="Z710" s="92">
        <v>1.3</v>
      </c>
      <c r="AA710" s="92">
        <v>1.2949999999999999</v>
      </c>
    </row>
    <row r="711" spans="1:27" x14ac:dyDescent="0.25">
      <c r="A711" s="33">
        <f t="shared" si="97"/>
        <v>708</v>
      </c>
      <c r="B711" s="19">
        <v>17110</v>
      </c>
      <c r="C711" s="19" t="s">
        <v>1278</v>
      </c>
      <c r="D711" s="19" t="s">
        <v>1217</v>
      </c>
      <c r="E711" s="19" t="s">
        <v>988</v>
      </c>
      <c r="F711" s="19"/>
      <c r="G711" s="19"/>
      <c r="H711" s="19" t="s">
        <v>387</v>
      </c>
      <c r="I711" s="19" t="s">
        <v>1055</v>
      </c>
      <c r="J711" s="19"/>
      <c r="K711" s="19"/>
      <c r="L711" s="19"/>
      <c r="M711" s="19"/>
      <c r="N711" s="19">
        <v>9</v>
      </c>
      <c r="O711" s="19" t="s">
        <v>200</v>
      </c>
      <c r="P711" s="19"/>
      <c r="Q711" s="19" t="s">
        <v>395</v>
      </c>
      <c r="R711" s="19"/>
      <c r="S711" s="19"/>
      <c r="T711" s="19">
        <v>2</v>
      </c>
      <c r="U711" s="20">
        <f t="shared" si="98"/>
        <v>11</v>
      </c>
      <c r="V711" s="19" t="s">
        <v>1279</v>
      </c>
      <c r="W711" s="19"/>
      <c r="X711" s="19"/>
      <c r="Y711" s="21">
        <v>10</v>
      </c>
      <c r="Z711" s="92">
        <v>1.3</v>
      </c>
      <c r="AA711" s="92">
        <v>1.2949999999999999</v>
      </c>
    </row>
    <row r="712" spans="1:27" x14ac:dyDescent="0.25">
      <c r="A712" s="33">
        <f t="shared" si="97"/>
        <v>709</v>
      </c>
      <c r="B712" s="19">
        <v>17110</v>
      </c>
      <c r="C712" s="19" t="s">
        <v>1278</v>
      </c>
      <c r="D712" s="19" t="s">
        <v>1217</v>
      </c>
      <c r="E712" s="19" t="s">
        <v>988</v>
      </c>
      <c r="F712" s="19"/>
      <c r="G712" s="19"/>
      <c r="H712" s="19" t="s">
        <v>1219</v>
      </c>
      <c r="I712" s="19" t="s">
        <v>1055</v>
      </c>
      <c r="J712" s="19"/>
      <c r="K712" s="19"/>
      <c r="L712" s="19"/>
      <c r="M712" s="19"/>
      <c r="N712" s="19">
        <v>9</v>
      </c>
      <c r="O712" s="19" t="s">
        <v>200</v>
      </c>
      <c r="P712" s="19"/>
      <c r="Q712" s="19" t="s">
        <v>395</v>
      </c>
      <c r="R712" s="19"/>
      <c r="S712" s="19"/>
      <c r="T712" s="19">
        <v>3</v>
      </c>
      <c r="U712" s="20">
        <f t="shared" si="98"/>
        <v>11</v>
      </c>
      <c r="V712" s="19" t="s">
        <v>1279</v>
      </c>
      <c r="W712" s="19"/>
      <c r="X712" s="19"/>
      <c r="Y712" s="21">
        <v>10</v>
      </c>
      <c r="Z712" s="92">
        <v>1.3</v>
      </c>
      <c r="AA712" s="92">
        <v>1.2949999999999999</v>
      </c>
    </row>
    <row r="713" spans="1:27" x14ac:dyDescent="0.25">
      <c r="A713" s="33">
        <f t="shared" si="97"/>
        <v>710</v>
      </c>
      <c r="B713" s="19">
        <v>17110</v>
      </c>
      <c r="C713" s="19" t="s">
        <v>1278</v>
      </c>
      <c r="D713" s="19" t="s">
        <v>1217</v>
      </c>
      <c r="E713" s="19" t="s">
        <v>988</v>
      </c>
      <c r="F713" s="19"/>
      <c r="G713" s="19"/>
      <c r="H713" s="19" t="s">
        <v>1043</v>
      </c>
      <c r="I713" s="19" t="s">
        <v>1055</v>
      </c>
      <c r="J713" s="19"/>
      <c r="K713" s="19"/>
      <c r="L713" s="19"/>
      <c r="M713" s="19"/>
      <c r="N713" s="19">
        <v>9</v>
      </c>
      <c r="O713" s="19" t="s">
        <v>200</v>
      </c>
      <c r="P713" s="19"/>
      <c r="Q713" s="19" t="s">
        <v>395</v>
      </c>
      <c r="R713" s="19"/>
      <c r="S713" s="19"/>
      <c r="T713" s="19">
        <v>4</v>
      </c>
      <c r="U713" s="20">
        <f t="shared" si="98"/>
        <v>11</v>
      </c>
      <c r="V713" s="19" t="s">
        <v>1279</v>
      </c>
      <c r="W713" s="19"/>
      <c r="X713" s="19"/>
      <c r="Y713" s="21">
        <v>10</v>
      </c>
      <c r="Z713" s="92">
        <v>1.3</v>
      </c>
      <c r="AA713" s="92">
        <v>1.2949999999999999</v>
      </c>
    </row>
    <row r="714" spans="1:27" x14ac:dyDescent="0.25">
      <c r="A714" s="33">
        <f t="shared" si="97"/>
        <v>711</v>
      </c>
      <c r="B714" s="19">
        <v>17110</v>
      </c>
      <c r="C714" s="19" t="s">
        <v>1278</v>
      </c>
      <c r="D714" s="19" t="s">
        <v>1217</v>
      </c>
      <c r="E714" s="19" t="s">
        <v>988</v>
      </c>
      <c r="F714" s="19"/>
      <c r="G714" s="19"/>
      <c r="H714" s="19">
        <v>60</v>
      </c>
      <c r="I714" s="19" t="s">
        <v>1055</v>
      </c>
      <c r="J714" s="19"/>
      <c r="K714" s="19"/>
      <c r="L714" s="19"/>
      <c r="M714" s="19"/>
      <c r="N714" s="19">
        <v>9</v>
      </c>
      <c r="O714" s="19" t="s">
        <v>200</v>
      </c>
      <c r="P714" s="19"/>
      <c r="Q714" s="19" t="s">
        <v>395</v>
      </c>
      <c r="R714" s="19"/>
      <c r="S714" s="19"/>
      <c r="T714" s="19">
        <v>5</v>
      </c>
      <c r="U714" s="20">
        <f t="shared" si="98"/>
        <v>11</v>
      </c>
      <c r="V714" s="19" t="s">
        <v>1279</v>
      </c>
      <c r="W714" s="19"/>
      <c r="X714" s="19"/>
      <c r="Y714" s="21">
        <v>10</v>
      </c>
      <c r="Z714" s="92">
        <v>1.3</v>
      </c>
      <c r="AA714" s="92">
        <v>1.2949999999999999</v>
      </c>
    </row>
    <row r="715" spans="1:27" x14ac:dyDescent="0.25">
      <c r="A715" s="33">
        <f t="shared" si="97"/>
        <v>712</v>
      </c>
      <c r="B715" s="210" t="s">
        <v>1280</v>
      </c>
      <c r="C715" s="210"/>
      <c r="D715" s="210"/>
      <c r="E715" s="210"/>
      <c r="F715" s="210"/>
      <c r="G715" s="210"/>
      <c r="H715" s="210"/>
      <c r="I715" s="210"/>
      <c r="J715" s="210"/>
      <c r="K715" s="210"/>
      <c r="L715" s="210"/>
      <c r="M715" s="210"/>
      <c r="N715" s="210"/>
      <c r="O715" s="210"/>
      <c r="P715" s="210"/>
      <c r="Q715" s="210"/>
      <c r="R715" s="210"/>
      <c r="S715" s="210"/>
      <c r="T715" s="210"/>
      <c r="U715" s="210"/>
      <c r="V715" s="210"/>
      <c r="W715" s="210"/>
      <c r="X715" s="19"/>
      <c r="Y715" s="74"/>
      <c r="Z715" s="76"/>
      <c r="AA715" s="76"/>
    </row>
    <row r="716" spans="1:27" x14ac:dyDescent="0.25">
      <c r="A716" s="33">
        <f t="shared" si="97"/>
        <v>713</v>
      </c>
      <c r="B716" s="19">
        <v>17910</v>
      </c>
      <c r="C716" s="19"/>
      <c r="D716" s="19" t="s">
        <v>1217</v>
      </c>
      <c r="E716" s="22" t="s">
        <v>1281</v>
      </c>
      <c r="F716" s="19"/>
      <c r="G716" s="19"/>
      <c r="H716" s="19" t="s">
        <v>384</v>
      </c>
      <c r="I716" s="19" t="s">
        <v>1072</v>
      </c>
      <c r="J716" s="19"/>
      <c r="K716" s="19"/>
      <c r="L716" s="19"/>
      <c r="M716" s="19"/>
      <c r="N716" s="19">
        <v>8</v>
      </c>
      <c r="O716" s="19">
        <v>27</v>
      </c>
      <c r="P716" s="19"/>
      <c r="Q716" s="19" t="s">
        <v>395</v>
      </c>
      <c r="R716" s="19"/>
      <c r="S716" s="19"/>
      <c r="T716" s="19">
        <v>1</v>
      </c>
      <c r="U716" s="20">
        <f t="shared" ref="U716:U755" si="99">Y716*1.1</f>
        <v>0</v>
      </c>
      <c r="V716" s="19" t="s">
        <v>1282</v>
      </c>
      <c r="W716" s="19"/>
      <c r="X716" s="19"/>
      <c r="Y716" s="21">
        <f t="shared" ref="Y716" si="100">4.9494*X716</f>
        <v>0</v>
      </c>
      <c r="Z716" s="92">
        <v>1.3</v>
      </c>
      <c r="AA716" s="92">
        <v>1.2949999999999999</v>
      </c>
    </row>
    <row r="717" spans="1:27" x14ac:dyDescent="0.25">
      <c r="A717" s="33">
        <f t="shared" si="97"/>
        <v>714</v>
      </c>
      <c r="B717" s="19">
        <v>17910</v>
      </c>
      <c r="C717" s="19"/>
      <c r="D717" s="19" t="s">
        <v>1217</v>
      </c>
      <c r="E717" s="22" t="s">
        <v>1281</v>
      </c>
      <c r="F717" s="19"/>
      <c r="G717" s="19"/>
      <c r="H717" s="19" t="s">
        <v>387</v>
      </c>
      <c r="I717" s="19" t="s">
        <v>1072</v>
      </c>
      <c r="J717" s="19"/>
      <c r="K717" s="19"/>
      <c r="L717" s="19"/>
      <c r="M717" s="19"/>
      <c r="N717" s="19">
        <v>8</v>
      </c>
      <c r="O717" s="19">
        <v>27</v>
      </c>
      <c r="P717" s="19"/>
      <c r="Q717" s="19" t="s">
        <v>395</v>
      </c>
      <c r="R717" s="19"/>
      <c r="S717" s="19"/>
      <c r="T717" s="19">
        <v>2</v>
      </c>
      <c r="U717" s="20">
        <f t="shared" si="99"/>
        <v>0</v>
      </c>
      <c r="V717" s="19" t="s">
        <v>1283</v>
      </c>
      <c r="W717" s="19"/>
      <c r="X717" s="19"/>
      <c r="Y717" s="21">
        <f t="shared" ref="Y717:Y761" si="101">4.9494*X717</f>
        <v>0</v>
      </c>
      <c r="Z717" s="92">
        <v>1.3</v>
      </c>
      <c r="AA717" s="92">
        <v>1.2949999999999999</v>
      </c>
    </row>
    <row r="718" spans="1:27" x14ac:dyDescent="0.25">
      <c r="A718" s="33">
        <f t="shared" si="97"/>
        <v>715</v>
      </c>
      <c r="B718" s="19">
        <v>17910</v>
      </c>
      <c r="C718" s="19"/>
      <c r="D718" s="19" t="s">
        <v>1217</v>
      </c>
      <c r="E718" s="22" t="s">
        <v>1281</v>
      </c>
      <c r="F718" s="19"/>
      <c r="G718" s="19"/>
      <c r="H718" s="19" t="s">
        <v>1219</v>
      </c>
      <c r="I718" s="19" t="s">
        <v>1072</v>
      </c>
      <c r="J718" s="19"/>
      <c r="K718" s="19"/>
      <c r="L718" s="19"/>
      <c r="M718" s="19"/>
      <c r="N718" s="19">
        <v>8</v>
      </c>
      <c r="O718" s="19">
        <v>27</v>
      </c>
      <c r="P718" s="19"/>
      <c r="Q718" s="19" t="s">
        <v>395</v>
      </c>
      <c r="R718" s="19"/>
      <c r="S718" s="19"/>
      <c r="T718" s="19">
        <v>3</v>
      </c>
      <c r="U718" s="20">
        <f t="shared" si="99"/>
        <v>0</v>
      </c>
      <c r="V718" s="19" t="s">
        <v>1283</v>
      </c>
      <c r="W718" s="19"/>
      <c r="X718" s="19"/>
      <c r="Y718" s="21">
        <f t="shared" si="101"/>
        <v>0</v>
      </c>
      <c r="Z718" s="92">
        <v>1.3</v>
      </c>
      <c r="AA718" s="92">
        <v>1.2949999999999999</v>
      </c>
    </row>
    <row r="719" spans="1:27" x14ac:dyDescent="0.25">
      <c r="A719" s="33">
        <f t="shared" si="97"/>
        <v>716</v>
      </c>
      <c r="B719" s="19">
        <v>17910</v>
      </c>
      <c r="C719" s="19"/>
      <c r="D719" s="19" t="s">
        <v>1217</v>
      </c>
      <c r="E719" s="22" t="s">
        <v>1281</v>
      </c>
      <c r="F719" s="19"/>
      <c r="G719" s="19"/>
      <c r="H719" s="19" t="s">
        <v>1043</v>
      </c>
      <c r="I719" s="19" t="s">
        <v>1072</v>
      </c>
      <c r="J719" s="19"/>
      <c r="K719" s="19"/>
      <c r="L719" s="19"/>
      <c r="M719" s="19"/>
      <c r="N719" s="19">
        <v>8</v>
      </c>
      <c r="O719" s="19">
        <v>27</v>
      </c>
      <c r="P719" s="19"/>
      <c r="Q719" s="19" t="s">
        <v>395</v>
      </c>
      <c r="R719" s="19"/>
      <c r="S719" s="19"/>
      <c r="T719" s="19">
        <v>4</v>
      </c>
      <c r="U719" s="20">
        <f t="shared" si="99"/>
        <v>0</v>
      </c>
      <c r="V719" s="19" t="s">
        <v>1283</v>
      </c>
      <c r="W719" s="19"/>
      <c r="X719" s="19"/>
      <c r="Y719" s="21">
        <f t="shared" si="101"/>
        <v>0</v>
      </c>
      <c r="Z719" s="92">
        <v>1.3</v>
      </c>
      <c r="AA719" s="92">
        <v>1.2949999999999999</v>
      </c>
    </row>
    <row r="720" spans="1:27" x14ac:dyDescent="0.25">
      <c r="A720" s="33">
        <f t="shared" si="97"/>
        <v>717</v>
      </c>
      <c r="B720" s="19">
        <v>17910</v>
      </c>
      <c r="C720" s="19"/>
      <c r="D720" s="19" t="s">
        <v>1217</v>
      </c>
      <c r="E720" s="22" t="s">
        <v>1281</v>
      </c>
      <c r="F720" s="19"/>
      <c r="G720" s="19"/>
      <c r="H720" s="19">
        <v>60</v>
      </c>
      <c r="I720" s="19" t="s">
        <v>1072</v>
      </c>
      <c r="J720" s="19"/>
      <c r="K720" s="19"/>
      <c r="L720" s="19"/>
      <c r="M720" s="19"/>
      <c r="N720" s="19">
        <v>8</v>
      </c>
      <c r="O720" s="19">
        <v>27</v>
      </c>
      <c r="P720" s="19"/>
      <c r="Q720" s="19" t="s">
        <v>395</v>
      </c>
      <c r="R720" s="19"/>
      <c r="S720" s="19"/>
      <c r="T720" s="19">
        <v>5</v>
      </c>
      <c r="U720" s="20">
        <f t="shared" si="99"/>
        <v>0</v>
      </c>
      <c r="V720" s="19" t="s">
        <v>1283</v>
      </c>
      <c r="W720" s="19"/>
      <c r="X720" s="19"/>
      <c r="Y720" s="21">
        <f t="shared" si="101"/>
        <v>0</v>
      </c>
      <c r="Z720" s="92">
        <v>1.3</v>
      </c>
      <c r="AA720" s="92">
        <v>1.2949999999999999</v>
      </c>
    </row>
    <row r="721" spans="1:27" x14ac:dyDescent="0.25">
      <c r="A721" s="33">
        <f t="shared" si="97"/>
        <v>718</v>
      </c>
      <c r="B721" s="19">
        <v>17910</v>
      </c>
      <c r="C721" s="19"/>
      <c r="D721" s="19" t="s">
        <v>1217</v>
      </c>
      <c r="E721" s="22" t="s">
        <v>1281</v>
      </c>
      <c r="F721" s="19"/>
      <c r="G721" s="19"/>
      <c r="H721" s="19" t="s">
        <v>384</v>
      </c>
      <c r="I721" s="19" t="s">
        <v>1072</v>
      </c>
      <c r="J721" s="19"/>
      <c r="K721" s="19"/>
      <c r="L721" s="19"/>
      <c r="M721" s="19"/>
      <c r="N721" s="19">
        <v>8</v>
      </c>
      <c r="O721" s="19">
        <v>30</v>
      </c>
      <c r="P721" s="19"/>
      <c r="Q721" s="19" t="s">
        <v>395</v>
      </c>
      <c r="R721" s="19"/>
      <c r="S721" s="19"/>
      <c r="T721" s="19">
        <v>1</v>
      </c>
      <c r="U721" s="20">
        <f t="shared" si="99"/>
        <v>0</v>
      </c>
      <c r="V721" s="19" t="s">
        <v>1284</v>
      </c>
      <c r="W721" s="19"/>
      <c r="X721" s="19"/>
      <c r="Y721" s="21">
        <f t="shared" si="101"/>
        <v>0</v>
      </c>
      <c r="Z721" s="92">
        <v>1.3</v>
      </c>
      <c r="AA721" s="92">
        <v>1.2949999999999999</v>
      </c>
    </row>
    <row r="722" spans="1:27" x14ac:dyDescent="0.25">
      <c r="A722" s="33">
        <f t="shared" si="97"/>
        <v>719</v>
      </c>
      <c r="B722" s="19">
        <v>17910</v>
      </c>
      <c r="C722" s="19"/>
      <c r="D722" s="19" t="s">
        <v>1217</v>
      </c>
      <c r="E722" s="22" t="s">
        <v>1281</v>
      </c>
      <c r="F722" s="19"/>
      <c r="G722" s="19"/>
      <c r="H722" s="19" t="s">
        <v>387</v>
      </c>
      <c r="I722" s="19" t="s">
        <v>1072</v>
      </c>
      <c r="J722" s="19"/>
      <c r="K722" s="19"/>
      <c r="L722" s="19"/>
      <c r="M722" s="19"/>
      <c r="N722" s="19">
        <v>8</v>
      </c>
      <c r="O722" s="19">
        <v>30</v>
      </c>
      <c r="P722" s="19"/>
      <c r="Q722" s="19" t="s">
        <v>395</v>
      </c>
      <c r="R722" s="19"/>
      <c r="S722" s="19"/>
      <c r="T722" s="19">
        <v>2</v>
      </c>
      <c r="U722" s="20">
        <f t="shared" si="99"/>
        <v>0</v>
      </c>
      <c r="V722" s="19" t="s">
        <v>1284</v>
      </c>
      <c r="W722" s="19"/>
      <c r="X722" s="19"/>
      <c r="Y722" s="21">
        <f t="shared" si="101"/>
        <v>0</v>
      </c>
      <c r="Z722" s="92">
        <v>1.3</v>
      </c>
      <c r="AA722" s="92">
        <v>1.2949999999999999</v>
      </c>
    </row>
    <row r="723" spans="1:27" x14ac:dyDescent="0.25">
      <c r="A723" s="33">
        <f t="shared" si="97"/>
        <v>720</v>
      </c>
      <c r="B723" s="19">
        <v>17910</v>
      </c>
      <c r="C723" s="19"/>
      <c r="D723" s="19" t="s">
        <v>1217</v>
      </c>
      <c r="E723" s="22" t="s">
        <v>1281</v>
      </c>
      <c r="F723" s="19"/>
      <c r="G723" s="19"/>
      <c r="H723" s="19" t="s">
        <v>1219</v>
      </c>
      <c r="I723" s="19" t="s">
        <v>1072</v>
      </c>
      <c r="J723" s="19"/>
      <c r="K723" s="19"/>
      <c r="L723" s="19"/>
      <c r="M723" s="19"/>
      <c r="N723" s="19">
        <v>8</v>
      </c>
      <c r="O723" s="19">
        <v>30</v>
      </c>
      <c r="P723" s="19"/>
      <c r="Q723" s="19" t="s">
        <v>395</v>
      </c>
      <c r="R723" s="19"/>
      <c r="S723" s="19"/>
      <c r="T723" s="19">
        <v>3</v>
      </c>
      <c r="U723" s="20">
        <f t="shared" si="99"/>
        <v>0</v>
      </c>
      <c r="V723" s="19" t="s">
        <v>1284</v>
      </c>
      <c r="W723" s="19"/>
      <c r="X723" s="19"/>
      <c r="Y723" s="21">
        <f t="shared" si="101"/>
        <v>0</v>
      </c>
      <c r="Z723" s="92">
        <v>1.3</v>
      </c>
      <c r="AA723" s="92">
        <v>1.2949999999999999</v>
      </c>
    </row>
    <row r="724" spans="1:27" x14ac:dyDescent="0.25">
      <c r="A724" s="33">
        <f t="shared" si="97"/>
        <v>721</v>
      </c>
      <c r="B724" s="19">
        <v>17910</v>
      </c>
      <c r="C724" s="19"/>
      <c r="D724" s="19" t="s">
        <v>1217</v>
      </c>
      <c r="E724" s="22" t="s">
        <v>1281</v>
      </c>
      <c r="F724" s="19"/>
      <c r="G724" s="19"/>
      <c r="H724" s="19" t="s">
        <v>1043</v>
      </c>
      <c r="I724" s="19" t="s">
        <v>1072</v>
      </c>
      <c r="J724" s="19"/>
      <c r="K724" s="19"/>
      <c r="L724" s="19"/>
      <c r="M724" s="19"/>
      <c r="N724" s="19">
        <v>8</v>
      </c>
      <c r="O724" s="19">
        <v>30</v>
      </c>
      <c r="P724" s="19"/>
      <c r="Q724" s="19" t="s">
        <v>395</v>
      </c>
      <c r="R724" s="19"/>
      <c r="S724" s="19"/>
      <c r="T724" s="19">
        <v>4</v>
      </c>
      <c r="U724" s="20">
        <f t="shared" si="99"/>
        <v>0</v>
      </c>
      <c r="V724" s="19" t="s">
        <v>1284</v>
      </c>
      <c r="W724" s="19"/>
      <c r="X724" s="19"/>
      <c r="Y724" s="21">
        <f t="shared" si="101"/>
        <v>0</v>
      </c>
      <c r="Z724" s="92">
        <v>1.3</v>
      </c>
      <c r="AA724" s="92">
        <v>1.2949999999999999</v>
      </c>
    </row>
    <row r="725" spans="1:27" x14ac:dyDescent="0.25">
      <c r="A725" s="33">
        <f t="shared" si="97"/>
        <v>722</v>
      </c>
      <c r="B725" s="19">
        <v>17910</v>
      </c>
      <c r="C725" s="19"/>
      <c r="D725" s="19" t="s">
        <v>1217</v>
      </c>
      <c r="E725" s="22" t="s">
        <v>1281</v>
      </c>
      <c r="F725" s="19"/>
      <c r="G725" s="19"/>
      <c r="H725" s="19">
        <v>60</v>
      </c>
      <c r="I725" s="19" t="s">
        <v>1072</v>
      </c>
      <c r="J725" s="19"/>
      <c r="K725" s="19"/>
      <c r="L725" s="19"/>
      <c r="M725" s="19"/>
      <c r="N725" s="19">
        <v>8</v>
      </c>
      <c r="O725" s="19">
        <v>30</v>
      </c>
      <c r="P725" s="19"/>
      <c r="Q725" s="19" t="s">
        <v>395</v>
      </c>
      <c r="R725" s="19"/>
      <c r="S725" s="19"/>
      <c r="T725" s="19">
        <v>5</v>
      </c>
      <c r="U725" s="20">
        <f t="shared" si="99"/>
        <v>0</v>
      </c>
      <c r="V725" s="19" t="s">
        <v>1284</v>
      </c>
      <c r="W725" s="19"/>
      <c r="X725" s="19"/>
      <c r="Y725" s="21">
        <f t="shared" si="101"/>
        <v>0</v>
      </c>
      <c r="Z725" s="92">
        <v>1.3</v>
      </c>
      <c r="AA725" s="92">
        <v>1.2949999999999999</v>
      </c>
    </row>
    <row r="726" spans="1:27" x14ac:dyDescent="0.25">
      <c r="A726" s="33">
        <f t="shared" si="97"/>
        <v>723</v>
      </c>
      <c r="B726" s="19">
        <v>17910</v>
      </c>
      <c r="C726" s="19"/>
      <c r="D726" s="19" t="s">
        <v>1217</v>
      </c>
      <c r="E726" s="22" t="s">
        <v>1281</v>
      </c>
      <c r="F726" s="19"/>
      <c r="G726" s="19"/>
      <c r="H726" s="19" t="s">
        <v>384</v>
      </c>
      <c r="I726" s="19" t="s">
        <v>1072</v>
      </c>
      <c r="J726" s="19"/>
      <c r="K726" s="19"/>
      <c r="L726" s="19"/>
      <c r="M726" s="19"/>
      <c r="N726" s="19">
        <v>8</v>
      </c>
      <c r="O726" s="19">
        <v>35</v>
      </c>
      <c r="P726" s="19"/>
      <c r="Q726" s="19" t="s">
        <v>395</v>
      </c>
      <c r="R726" s="19"/>
      <c r="S726" s="19"/>
      <c r="T726" s="19">
        <v>1</v>
      </c>
      <c r="U726" s="20">
        <f t="shared" si="99"/>
        <v>0</v>
      </c>
      <c r="V726" s="19" t="s">
        <v>1285</v>
      </c>
      <c r="W726" s="19"/>
      <c r="X726" s="19"/>
      <c r="Y726" s="21">
        <f t="shared" si="101"/>
        <v>0</v>
      </c>
      <c r="Z726" s="92">
        <v>1.3</v>
      </c>
      <c r="AA726" s="92">
        <v>1.2949999999999999</v>
      </c>
    </row>
    <row r="727" spans="1:27" x14ac:dyDescent="0.25">
      <c r="A727" s="33">
        <f t="shared" si="97"/>
        <v>724</v>
      </c>
      <c r="B727" s="19">
        <v>17910</v>
      </c>
      <c r="C727" s="19"/>
      <c r="D727" s="19" t="s">
        <v>1217</v>
      </c>
      <c r="E727" s="22" t="s">
        <v>1281</v>
      </c>
      <c r="F727" s="19"/>
      <c r="G727" s="19"/>
      <c r="H727" s="19" t="s">
        <v>387</v>
      </c>
      <c r="I727" s="19" t="s">
        <v>1072</v>
      </c>
      <c r="J727" s="19"/>
      <c r="K727" s="19"/>
      <c r="L727" s="19"/>
      <c r="M727" s="19"/>
      <c r="N727" s="19">
        <v>8</v>
      </c>
      <c r="O727" s="19">
        <v>35</v>
      </c>
      <c r="P727" s="19"/>
      <c r="Q727" s="19" t="s">
        <v>395</v>
      </c>
      <c r="R727" s="19"/>
      <c r="S727" s="19"/>
      <c r="T727" s="19">
        <v>2</v>
      </c>
      <c r="U727" s="20">
        <f t="shared" si="99"/>
        <v>0</v>
      </c>
      <c r="V727" s="19" t="s">
        <v>1285</v>
      </c>
      <c r="W727" s="19"/>
      <c r="X727" s="19"/>
      <c r="Y727" s="21">
        <f t="shared" si="101"/>
        <v>0</v>
      </c>
      <c r="Z727" s="92">
        <v>1.3</v>
      </c>
      <c r="AA727" s="92">
        <v>1.2949999999999999</v>
      </c>
    </row>
    <row r="728" spans="1:27" x14ac:dyDescent="0.25">
      <c r="A728" s="33">
        <f t="shared" si="97"/>
        <v>725</v>
      </c>
      <c r="B728" s="19">
        <v>17910</v>
      </c>
      <c r="C728" s="19"/>
      <c r="D728" s="19" t="s">
        <v>1217</v>
      </c>
      <c r="E728" s="22" t="s">
        <v>1281</v>
      </c>
      <c r="F728" s="19"/>
      <c r="G728" s="19"/>
      <c r="H728" s="19" t="s">
        <v>1219</v>
      </c>
      <c r="I728" s="19" t="s">
        <v>1072</v>
      </c>
      <c r="J728" s="19"/>
      <c r="K728" s="19"/>
      <c r="L728" s="19"/>
      <c r="M728" s="19"/>
      <c r="N728" s="19">
        <v>8</v>
      </c>
      <c r="O728" s="19">
        <v>35</v>
      </c>
      <c r="P728" s="19"/>
      <c r="Q728" s="19" t="s">
        <v>395</v>
      </c>
      <c r="R728" s="19"/>
      <c r="S728" s="19"/>
      <c r="T728" s="19">
        <v>3</v>
      </c>
      <c r="U728" s="20">
        <f t="shared" si="99"/>
        <v>0</v>
      </c>
      <c r="V728" s="19" t="s">
        <v>1285</v>
      </c>
      <c r="W728" s="19"/>
      <c r="X728" s="19"/>
      <c r="Y728" s="21">
        <f t="shared" si="101"/>
        <v>0</v>
      </c>
      <c r="Z728" s="92">
        <v>1.3</v>
      </c>
      <c r="AA728" s="92">
        <v>1.2949999999999999</v>
      </c>
    </row>
    <row r="729" spans="1:27" x14ac:dyDescent="0.25">
      <c r="A729" s="33">
        <f t="shared" si="97"/>
        <v>726</v>
      </c>
      <c r="B729" s="19">
        <v>17910</v>
      </c>
      <c r="C729" s="19"/>
      <c r="D729" s="19" t="s">
        <v>1217</v>
      </c>
      <c r="E729" s="22" t="s">
        <v>1281</v>
      </c>
      <c r="F729" s="19"/>
      <c r="G729" s="19"/>
      <c r="H729" s="19" t="s">
        <v>1043</v>
      </c>
      <c r="I729" s="19" t="s">
        <v>1072</v>
      </c>
      <c r="J729" s="19"/>
      <c r="K729" s="19"/>
      <c r="L729" s="19"/>
      <c r="M729" s="19"/>
      <c r="N729" s="19">
        <v>8</v>
      </c>
      <c r="O729" s="19">
        <v>35</v>
      </c>
      <c r="P729" s="19"/>
      <c r="Q729" s="19" t="s">
        <v>395</v>
      </c>
      <c r="R729" s="19"/>
      <c r="S729" s="19"/>
      <c r="T729" s="19">
        <v>4</v>
      </c>
      <c r="U729" s="20">
        <f t="shared" si="99"/>
        <v>0</v>
      </c>
      <c r="V729" s="19" t="s">
        <v>1285</v>
      </c>
      <c r="W729" s="19"/>
      <c r="X729" s="19"/>
      <c r="Y729" s="21">
        <f t="shared" si="101"/>
        <v>0</v>
      </c>
      <c r="Z729" s="92">
        <v>1.3</v>
      </c>
      <c r="AA729" s="92">
        <v>1.2949999999999999</v>
      </c>
    </row>
    <row r="730" spans="1:27" x14ac:dyDescent="0.25">
      <c r="A730" s="33">
        <f t="shared" si="97"/>
        <v>727</v>
      </c>
      <c r="B730" s="19">
        <v>17910</v>
      </c>
      <c r="C730" s="19"/>
      <c r="D730" s="19" t="s">
        <v>1217</v>
      </c>
      <c r="E730" s="22" t="s">
        <v>1281</v>
      </c>
      <c r="F730" s="19"/>
      <c r="G730" s="19"/>
      <c r="H730" s="19">
        <v>60</v>
      </c>
      <c r="I730" s="19" t="s">
        <v>1072</v>
      </c>
      <c r="J730" s="19"/>
      <c r="K730" s="19"/>
      <c r="L730" s="19"/>
      <c r="M730" s="19"/>
      <c r="N730" s="19">
        <v>8</v>
      </c>
      <c r="O730" s="19">
        <v>35</v>
      </c>
      <c r="P730" s="19"/>
      <c r="Q730" s="19" t="s">
        <v>395</v>
      </c>
      <c r="R730" s="19"/>
      <c r="S730" s="19"/>
      <c r="T730" s="19">
        <v>5</v>
      </c>
      <c r="U730" s="20">
        <f t="shared" si="99"/>
        <v>0</v>
      </c>
      <c r="V730" s="19" t="s">
        <v>1285</v>
      </c>
      <c r="W730" s="19"/>
      <c r="X730" s="19"/>
      <c r="Y730" s="21">
        <f t="shared" si="101"/>
        <v>0</v>
      </c>
      <c r="Z730" s="92">
        <v>1.3</v>
      </c>
      <c r="AA730" s="92">
        <v>1.2949999999999999</v>
      </c>
    </row>
    <row r="731" spans="1:27" ht="15.75" customHeight="1" x14ac:dyDescent="0.25">
      <c r="A731" s="33">
        <f t="shared" si="97"/>
        <v>728</v>
      </c>
      <c r="B731" s="19">
        <v>17910</v>
      </c>
      <c r="C731" s="19"/>
      <c r="D731" s="19" t="s">
        <v>1217</v>
      </c>
      <c r="E731" s="22" t="s">
        <v>1281</v>
      </c>
      <c r="F731" s="19"/>
      <c r="G731" s="19"/>
      <c r="H731" s="19" t="s">
        <v>384</v>
      </c>
      <c r="I731" s="19" t="s">
        <v>1072</v>
      </c>
      <c r="J731" s="19"/>
      <c r="K731" s="19"/>
      <c r="L731" s="19"/>
      <c r="M731" s="19"/>
      <c r="N731" s="19">
        <v>8</v>
      </c>
      <c r="O731" s="19">
        <v>40</v>
      </c>
      <c r="P731" s="19"/>
      <c r="Q731" s="19" t="s">
        <v>395</v>
      </c>
      <c r="R731" s="19"/>
      <c r="S731" s="19"/>
      <c r="T731" s="19">
        <v>1</v>
      </c>
      <c r="U731" s="20">
        <f t="shared" si="99"/>
        <v>0</v>
      </c>
      <c r="V731" s="19" t="s">
        <v>1286</v>
      </c>
      <c r="W731" s="19"/>
      <c r="X731" s="19"/>
      <c r="Y731" s="21">
        <f t="shared" si="101"/>
        <v>0</v>
      </c>
      <c r="Z731" s="92">
        <v>1.3</v>
      </c>
      <c r="AA731" s="92">
        <v>1.2949999999999999</v>
      </c>
    </row>
    <row r="732" spans="1:27" ht="15.75" customHeight="1" x14ac:dyDescent="0.25">
      <c r="A732" s="33">
        <f t="shared" si="97"/>
        <v>729</v>
      </c>
      <c r="B732" s="19">
        <v>17910</v>
      </c>
      <c r="C732" s="19"/>
      <c r="D732" s="19" t="s">
        <v>1217</v>
      </c>
      <c r="E732" s="22" t="s">
        <v>1281</v>
      </c>
      <c r="F732" s="19"/>
      <c r="G732" s="19"/>
      <c r="H732" s="19" t="s">
        <v>387</v>
      </c>
      <c r="I732" s="19" t="s">
        <v>1072</v>
      </c>
      <c r="J732" s="19"/>
      <c r="K732" s="19"/>
      <c r="L732" s="19"/>
      <c r="M732" s="19"/>
      <c r="N732" s="19">
        <v>8</v>
      </c>
      <c r="O732" s="19">
        <v>40</v>
      </c>
      <c r="P732" s="19"/>
      <c r="Q732" s="19" t="s">
        <v>395</v>
      </c>
      <c r="R732" s="19"/>
      <c r="S732" s="19"/>
      <c r="T732" s="19">
        <v>2</v>
      </c>
      <c r="U732" s="20">
        <f t="shared" si="99"/>
        <v>0</v>
      </c>
      <c r="V732" s="19" t="s">
        <v>1286</v>
      </c>
      <c r="W732" s="19"/>
      <c r="X732" s="19"/>
      <c r="Y732" s="21">
        <f t="shared" si="101"/>
        <v>0</v>
      </c>
      <c r="Z732" s="92">
        <v>1.3</v>
      </c>
      <c r="AA732" s="92">
        <v>1.2949999999999999</v>
      </c>
    </row>
    <row r="733" spans="1:27" ht="15.75" customHeight="1" x14ac:dyDescent="0.25">
      <c r="A733" s="33">
        <f t="shared" si="97"/>
        <v>730</v>
      </c>
      <c r="B733" s="19">
        <v>17910</v>
      </c>
      <c r="C733" s="19"/>
      <c r="D733" s="19" t="s">
        <v>1217</v>
      </c>
      <c r="E733" s="22" t="s">
        <v>1281</v>
      </c>
      <c r="F733" s="19"/>
      <c r="G733" s="19"/>
      <c r="H733" s="19" t="s">
        <v>1219</v>
      </c>
      <c r="I733" s="19" t="s">
        <v>1072</v>
      </c>
      <c r="J733" s="19"/>
      <c r="K733" s="19"/>
      <c r="L733" s="19"/>
      <c r="M733" s="19"/>
      <c r="N733" s="19">
        <v>8</v>
      </c>
      <c r="O733" s="19">
        <v>40</v>
      </c>
      <c r="P733" s="19"/>
      <c r="Q733" s="19" t="s">
        <v>395</v>
      </c>
      <c r="R733" s="19"/>
      <c r="S733" s="19"/>
      <c r="T733" s="19">
        <v>3</v>
      </c>
      <c r="U733" s="20">
        <f t="shared" si="99"/>
        <v>0</v>
      </c>
      <c r="V733" s="19" t="s">
        <v>1286</v>
      </c>
      <c r="W733" s="19"/>
      <c r="X733" s="19"/>
      <c r="Y733" s="21">
        <f t="shared" si="101"/>
        <v>0</v>
      </c>
      <c r="Z733" s="92">
        <v>1.3</v>
      </c>
      <c r="AA733" s="92">
        <v>1.2949999999999999</v>
      </c>
    </row>
    <row r="734" spans="1:27" ht="15.75" customHeight="1" x14ac:dyDescent="0.25">
      <c r="A734" s="33">
        <f t="shared" si="97"/>
        <v>731</v>
      </c>
      <c r="B734" s="19">
        <v>17910</v>
      </c>
      <c r="C734" s="19"/>
      <c r="D734" s="19" t="s">
        <v>1217</v>
      </c>
      <c r="E734" s="22" t="s">
        <v>1281</v>
      </c>
      <c r="F734" s="19"/>
      <c r="G734" s="19"/>
      <c r="H734" s="19" t="s">
        <v>1043</v>
      </c>
      <c r="I734" s="19" t="s">
        <v>1072</v>
      </c>
      <c r="J734" s="19"/>
      <c r="K734" s="19"/>
      <c r="L734" s="19"/>
      <c r="M734" s="19"/>
      <c r="N734" s="19">
        <v>8</v>
      </c>
      <c r="O734" s="19">
        <v>40</v>
      </c>
      <c r="P734" s="19"/>
      <c r="Q734" s="19" t="s">
        <v>395</v>
      </c>
      <c r="R734" s="19"/>
      <c r="S734" s="19"/>
      <c r="T734" s="19">
        <v>4</v>
      </c>
      <c r="U734" s="20">
        <f t="shared" si="99"/>
        <v>0</v>
      </c>
      <c r="V734" s="19" t="s">
        <v>1286</v>
      </c>
      <c r="W734" s="19"/>
      <c r="X734" s="19"/>
      <c r="Y734" s="21">
        <f t="shared" si="101"/>
        <v>0</v>
      </c>
      <c r="Z734" s="92">
        <v>1.3</v>
      </c>
      <c r="AA734" s="92">
        <v>1.2949999999999999</v>
      </c>
    </row>
    <row r="735" spans="1:27" ht="15.75" customHeight="1" x14ac:dyDescent="0.25">
      <c r="A735" s="33">
        <f t="shared" si="97"/>
        <v>732</v>
      </c>
      <c r="B735" s="19">
        <v>17910</v>
      </c>
      <c r="C735" s="19"/>
      <c r="D735" s="19" t="s">
        <v>1217</v>
      </c>
      <c r="E735" s="22" t="s">
        <v>1281</v>
      </c>
      <c r="F735" s="19"/>
      <c r="G735" s="19"/>
      <c r="H735" s="19">
        <v>60</v>
      </c>
      <c r="I735" s="19" t="s">
        <v>1072</v>
      </c>
      <c r="J735" s="19"/>
      <c r="K735" s="19"/>
      <c r="L735" s="19"/>
      <c r="M735" s="19"/>
      <c r="N735" s="19">
        <v>8</v>
      </c>
      <c r="O735" s="19">
        <v>40</v>
      </c>
      <c r="P735" s="19"/>
      <c r="Q735" s="19" t="s">
        <v>395</v>
      </c>
      <c r="R735" s="19"/>
      <c r="S735" s="19"/>
      <c r="T735" s="19">
        <v>5</v>
      </c>
      <c r="U735" s="20">
        <f t="shared" si="99"/>
        <v>0</v>
      </c>
      <c r="V735" s="19" t="s">
        <v>1286</v>
      </c>
      <c r="W735" s="19"/>
      <c r="X735" s="19"/>
      <c r="Y735" s="21">
        <f t="shared" si="101"/>
        <v>0</v>
      </c>
      <c r="Z735" s="92">
        <v>1.3</v>
      </c>
      <c r="AA735" s="92">
        <v>1.2949999999999999</v>
      </c>
    </row>
    <row r="736" spans="1:27" x14ac:dyDescent="0.25">
      <c r="A736" s="33">
        <f t="shared" si="97"/>
        <v>733</v>
      </c>
      <c r="B736" s="19">
        <v>17910</v>
      </c>
      <c r="C736" s="19" t="s">
        <v>1287</v>
      </c>
      <c r="D736" s="19" t="s">
        <v>1217</v>
      </c>
      <c r="E736" s="22" t="s">
        <v>1281</v>
      </c>
      <c r="F736" s="19"/>
      <c r="G736" s="19"/>
      <c r="H736" s="19" t="s">
        <v>384</v>
      </c>
      <c r="I736" s="19" t="s">
        <v>1072</v>
      </c>
      <c r="J736" s="19"/>
      <c r="K736" s="19"/>
      <c r="L736" s="19"/>
      <c r="M736" s="19"/>
      <c r="N736" s="19">
        <v>9</v>
      </c>
      <c r="O736" s="19">
        <v>27</v>
      </c>
      <c r="P736" s="19"/>
      <c r="Q736" s="19" t="s">
        <v>395</v>
      </c>
      <c r="R736" s="19"/>
      <c r="S736" s="19"/>
      <c r="T736" s="19">
        <v>1</v>
      </c>
      <c r="U736" s="20">
        <f t="shared" si="99"/>
        <v>5.83</v>
      </c>
      <c r="V736" s="19" t="s">
        <v>1288</v>
      </c>
      <c r="W736" s="19"/>
      <c r="X736" s="19"/>
      <c r="Y736" s="21">
        <v>5.3</v>
      </c>
      <c r="Z736" s="92">
        <v>1.3</v>
      </c>
      <c r="AA736" s="92">
        <v>1.2949999999999999</v>
      </c>
    </row>
    <row r="737" spans="1:27" x14ac:dyDescent="0.25">
      <c r="A737" s="33">
        <f t="shared" si="97"/>
        <v>734</v>
      </c>
      <c r="B737" s="19">
        <v>17910</v>
      </c>
      <c r="C737" s="19" t="s">
        <v>1287</v>
      </c>
      <c r="D737" s="19" t="s">
        <v>1217</v>
      </c>
      <c r="E737" s="22" t="s">
        <v>1281</v>
      </c>
      <c r="F737" s="19"/>
      <c r="G737" s="19"/>
      <c r="H737" s="19" t="s">
        <v>387</v>
      </c>
      <c r="I737" s="19" t="s">
        <v>1072</v>
      </c>
      <c r="J737" s="19"/>
      <c r="K737" s="19"/>
      <c r="L737" s="19"/>
      <c r="M737" s="19"/>
      <c r="N737" s="19">
        <v>9</v>
      </c>
      <c r="O737" s="19">
        <v>27</v>
      </c>
      <c r="P737" s="19"/>
      <c r="Q737" s="19" t="s">
        <v>395</v>
      </c>
      <c r="R737" s="19"/>
      <c r="S737" s="19"/>
      <c r="T737" s="19">
        <v>2</v>
      </c>
      <c r="U737" s="20">
        <f t="shared" si="99"/>
        <v>5.83</v>
      </c>
      <c r="V737" s="19" t="s">
        <v>1288</v>
      </c>
      <c r="W737" s="19"/>
      <c r="X737" s="19"/>
      <c r="Y737" s="21">
        <v>5.3</v>
      </c>
      <c r="Z737" s="92">
        <v>1.3</v>
      </c>
      <c r="AA737" s="92">
        <v>1.2949999999999999</v>
      </c>
    </row>
    <row r="738" spans="1:27" x14ac:dyDescent="0.25">
      <c r="A738" s="33">
        <f t="shared" si="97"/>
        <v>735</v>
      </c>
      <c r="B738" s="19">
        <v>17910</v>
      </c>
      <c r="C738" s="19" t="s">
        <v>1287</v>
      </c>
      <c r="D738" s="19" t="s">
        <v>1217</v>
      </c>
      <c r="E738" s="22" t="s">
        <v>1281</v>
      </c>
      <c r="F738" s="19"/>
      <c r="G738" s="19"/>
      <c r="H738" s="19" t="s">
        <v>1219</v>
      </c>
      <c r="I738" s="19" t="s">
        <v>1072</v>
      </c>
      <c r="J738" s="19"/>
      <c r="K738" s="19"/>
      <c r="L738" s="19"/>
      <c r="M738" s="19"/>
      <c r="N738" s="19">
        <v>9</v>
      </c>
      <c r="O738" s="19">
        <v>27</v>
      </c>
      <c r="P738" s="19"/>
      <c r="Q738" s="19" t="s">
        <v>395</v>
      </c>
      <c r="R738" s="19"/>
      <c r="S738" s="19"/>
      <c r="T738" s="19">
        <v>3</v>
      </c>
      <c r="U738" s="20">
        <f t="shared" si="99"/>
        <v>5.83</v>
      </c>
      <c r="V738" s="19" t="s">
        <v>1288</v>
      </c>
      <c r="W738" s="19"/>
      <c r="X738" s="19"/>
      <c r="Y738" s="21">
        <v>5.3</v>
      </c>
      <c r="Z738" s="92">
        <v>1.3</v>
      </c>
      <c r="AA738" s="92">
        <v>1.2949999999999999</v>
      </c>
    </row>
    <row r="739" spans="1:27" x14ac:dyDescent="0.25">
      <c r="A739" s="33">
        <f t="shared" si="97"/>
        <v>736</v>
      </c>
      <c r="B739" s="19">
        <v>17910</v>
      </c>
      <c r="C739" s="19" t="s">
        <v>1287</v>
      </c>
      <c r="D739" s="19" t="s">
        <v>1217</v>
      </c>
      <c r="E739" s="22" t="s">
        <v>1281</v>
      </c>
      <c r="F739" s="19"/>
      <c r="G739" s="19"/>
      <c r="H739" s="19" t="s">
        <v>1043</v>
      </c>
      <c r="I739" s="19" t="s">
        <v>1072</v>
      </c>
      <c r="J739" s="19"/>
      <c r="K739" s="19"/>
      <c r="L739" s="19"/>
      <c r="M739" s="19"/>
      <c r="N739" s="19">
        <v>9</v>
      </c>
      <c r="O739" s="19">
        <v>27</v>
      </c>
      <c r="P739" s="19"/>
      <c r="Q739" s="19" t="s">
        <v>395</v>
      </c>
      <c r="R739" s="19"/>
      <c r="S739" s="19"/>
      <c r="T739" s="19">
        <v>4</v>
      </c>
      <c r="U739" s="20">
        <f t="shared" si="99"/>
        <v>5.83</v>
      </c>
      <c r="V739" s="19" t="s">
        <v>1288</v>
      </c>
      <c r="W739" s="19"/>
      <c r="X739" s="19"/>
      <c r="Y739" s="21">
        <v>5.3</v>
      </c>
      <c r="Z739" s="92">
        <v>1.3</v>
      </c>
      <c r="AA739" s="92">
        <v>1.2949999999999999</v>
      </c>
    </row>
    <row r="740" spans="1:27" x14ac:dyDescent="0.25">
      <c r="A740" s="33">
        <f t="shared" si="97"/>
        <v>737</v>
      </c>
      <c r="B740" s="19">
        <v>17910</v>
      </c>
      <c r="C740" s="19" t="s">
        <v>1287</v>
      </c>
      <c r="D740" s="19" t="s">
        <v>1217</v>
      </c>
      <c r="E740" s="22" t="s">
        <v>1281</v>
      </c>
      <c r="F740" s="19"/>
      <c r="G740" s="19"/>
      <c r="H740" s="19">
        <v>60</v>
      </c>
      <c r="I740" s="19" t="s">
        <v>1072</v>
      </c>
      <c r="J740" s="19"/>
      <c r="K740" s="19"/>
      <c r="L740" s="19"/>
      <c r="M740" s="19"/>
      <c r="N740" s="19">
        <v>9</v>
      </c>
      <c r="O740" s="19">
        <v>27</v>
      </c>
      <c r="P740" s="19"/>
      <c r="Q740" s="19" t="s">
        <v>395</v>
      </c>
      <c r="R740" s="19"/>
      <c r="S740" s="19"/>
      <c r="T740" s="19">
        <v>5</v>
      </c>
      <c r="U740" s="20">
        <f t="shared" si="99"/>
        <v>5.83</v>
      </c>
      <c r="V740" s="19" t="s">
        <v>1288</v>
      </c>
      <c r="W740" s="19"/>
      <c r="X740" s="19"/>
      <c r="Y740" s="21">
        <v>5.3</v>
      </c>
      <c r="Z740" s="92">
        <v>1.3</v>
      </c>
      <c r="AA740" s="92">
        <v>1.2949999999999999</v>
      </c>
    </row>
    <row r="741" spans="1:27" x14ac:dyDescent="0.25">
      <c r="A741" s="33">
        <f t="shared" si="97"/>
        <v>738</v>
      </c>
      <c r="B741" s="19">
        <v>17910</v>
      </c>
      <c r="C741" s="19" t="s">
        <v>1289</v>
      </c>
      <c r="D741" s="19" t="s">
        <v>1217</v>
      </c>
      <c r="E741" s="22" t="s">
        <v>1281</v>
      </c>
      <c r="F741" s="19"/>
      <c r="G741" s="19"/>
      <c r="H741" s="19" t="s">
        <v>384</v>
      </c>
      <c r="I741" s="19" t="s">
        <v>1072</v>
      </c>
      <c r="J741" s="19"/>
      <c r="K741" s="19"/>
      <c r="L741" s="19"/>
      <c r="M741" s="19"/>
      <c r="N741" s="19">
        <v>9</v>
      </c>
      <c r="O741" s="19">
        <v>30</v>
      </c>
      <c r="P741" s="19"/>
      <c r="Q741" s="19" t="s">
        <v>395</v>
      </c>
      <c r="R741" s="19"/>
      <c r="S741" s="19"/>
      <c r="T741" s="19">
        <v>1</v>
      </c>
      <c r="U741" s="20">
        <f t="shared" si="99"/>
        <v>5.83</v>
      </c>
      <c r="V741" s="19" t="s">
        <v>1290</v>
      </c>
      <c r="W741" s="19"/>
      <c r="X741" s="19"/>
      <c r="Y741" s="21">
        <v>5.3</v>
      </c>
      <c r="Z741" s="92">
        <v>1.3</v>
      </c>
      <c r="AA741" s="92">
        <v>1.2949999999999999</v>
      </c>
    </row>
    <row r="742" spans="1:27" x14ac:dyDescent="0.25">
      <c r="A742" s="33">
        <f t="shared" si="97"/>
        <v>739</v>
      </c>
      <c r="B742" s="19">
        <v>17910</v>
      </c>
      <c r="C742" s="19" t="s">
        <v>1289</v>
      </c>
      <c r="D742" s="19" t="s">
        <v>1217</v>
      </c>
      <c r="E742" s="22" t="s">
        <v>1281</v>
      </c>
      <c r="F742" s="19"/>
      <c r="G742" s="19"/>
      <c r="H742" s="19" t="s">
        <v>387</v>
      </c>
      <c r="I742" s="19" t="s">
        <v>1072</v>
      </c>
      <c r="J742" s="19"/>
      <c r="K742" s="19"/>
      <c r="L742" s="19"/>
      <c r="M742" s="19"/>
      <c r="N742" s="19">
        <v>9</v>
      </c>
      <c r="O742" s="19">
        <v>30</v>
      </c>
      <c r="P742" s="19"/>
      <c r="Q742" s="19" t="s">
        <v>395</v>
      </c>
      <c r="R742" s="19"/>
      <c r="S742" s="19"/>
      <c r="T742" s="19">
        <v>2</v>
      </c>
      <c r="U742" s="20">
        <f t="shared" si="99"/>
        <v>5.83</v>
      </c>
      <c r="V742" s="19" t="s">
        <v>1290</v>
      </c>
      <c r="W742" s="19"/>
      <c r="X742" s="19"/>
      <c r="Y742" s="21">
        <v>5.3</v>
      </c>
      <c r="Z742" s="92">
        <v>1.3</v>
      </c>
      <c r="AA742" s="92">
        <v>1.2949999999999999</v>
      </c>
    </row>
    <row r="743" spans="1:27" x14ac:dyDescent="0.25">
      <c r="A743" s="33">
        <f t="shared" si="97"/>
        <v>740</v>
      </c>
      <c r="B743" s="19">
        <v>17910</v>
      </c>
      <c r="C743" s="19" t="s">
        <v>1289</v>
      </c>
      <c r="D743" s="19" t="s">
        <v>1217</v>
      </c>
      <c r="E743" s="22" t="s">
        <v>1281</v>
      </c>
      <c r="F743" s="19"/>
      <c r="G743" s="19"/>
      <c r="H743" s="19" t="s">
        <v>1219</v>
      </c>
      <c r="I743" s="19" t="s">
        <v>1072</v>
      </c>
      <c r="J743" s="19"/>
      <c r="K743" s="19"/>
      <c r="L743" s="19"/>
      <c r="M743" s="19"/>
      <c r="N743" s="19">
        <v>9</v>
      </c>
      <c r="O743" s="19">
        <v>30</v>
      </c>
      <c r="P743" s="19"/>
      <c r="Q743" s="19" t="s">
        <v>395</v>
      </c>
      <c r="R743" s="19"/>
      <c r="S743" s="19"/>
      <c r="T743" s="19">
        <v>3</v>
      </c>
      <c r="U743" s="20">
        <f t="shared" si="99"/>
        <v>5.83</v>
      </c>
      <c r="V743" s="19" t="s">
        <v>1290</v>
      </c>
      <c r="W743" s="19"/>
      <c r="X743" s="19"/>
      <c r="Y743" s="21">
        <v>5.3</v>
      </c>
      <c r="Z743" s="92">
        <v>1.3</v>
      </c>
      <c r="AA743" s="92">
        <v>1.2949999999999999</v>
      </c>
    </row>
    <row r="744" spans="1:27" x14ac:dyDescent="0.25">
      <c r="A744" s="33">
        <f t="shared" si="97"/>
        <v>741</v>
      </c>
      <c r="B744" s="19">
        <v>17910</v>
      </c>
      <c r="C744" s="19" t="s">
        <v>1289</v>
      </c>
      <c r="D744" s="19" t="s">
        <v>1217</v>
      </c>
      <c r="E744" s="22" t="s">
        <v>1281</v>
      </c>
      <c r="F744" s="19"/>
      <c r="G744" s="19"/>
      <c r="H744" s="19" t="s">
        <v>1043</v>
      </c>
      <c r="I744" s="19" t="s">
        <v>1072</v>
      </c>
      <c r="J744" s="19"/>
      <c r="K744" s="19"/>
      <c r="L744" s="19"/>
      <c r="M744" s="19"/>
      <c r="N744" s="19">
        <v>9</v>
      </c>
      <c r="O744" s="19">
        <v>30</v>
      </c>
      <c r="P744" s="19"/>
      <c r="Q744" s="19" t="s">
        <v>395</v>
      </c>
      <c r="R744" s="19"/>
      <c r="S744" s="19"/>
      <c r="T744" s="19">
        <v>4</v>
      </c>
      <c r="U744" s="20">
        <f t="shared" si="99"/>
        <v>5.83</v>
      </c>
      <c r="V744" s="19" t="s">
        <v>1290</v>
      </c>
      <c r="W744" s="19"/>
      <c r="X744" s="19"/>
      <c r="Y744" s="21">
        <v>5.3</v>
      </c>
      <c r="Z744" s="92">
        <v>1.3</v>
      </c>
      <c r="AA744" s="92">
        <v>1.2949999999999999</v>
      </c>
    </row>
    <row r="745" spans="1:27" x14ac:dyDescent="0.25">
      <c r="A745" s="33">
        <f t="shared" si="97"/>
        <v>742</v>
      </c>
      <c r="B745" s="19">
        <v>17910</v>
      </c>
      <c r="C745" s="19" t="s">
        <v>1289</v>
      </c>
      <c r="D745" s="19" t="s">
        <v>1217</v>
      </c>
      <c r="E745" s="22" t="s">
        <v>1281</v>
      </c>
      <c r="F745" s="19"/>
      <c r="G745" s="19"/>
      <c r="H745" s="19">
        <v>60</v>
      </c>
      <c r="I745" s="19" t="s">
        <v>1072</v>
      </c>
      <c r="J745" s="19"/>
      <c r="K745" s="19"/>
      <c r="L745" s="19"/>
      <c r="M745" s="19"/>
      <c r="N745" s="19">
        <v>9</v>
      </c>
      <c r="O745" s="19">
        <v>30</v>
      </c>
      <c r="P745" s="19"/>
      <c r="Q745" s="19" t="s">
        <v>395</v>
      </c>
      <c r="R745" s="19"/>
      <c r="S745" s="19"/>
      <c r="T745" s="19">
        <v>5</v>
      </c>
      <c r="U745" s="20">
        <f t="shared" si="99"/>
        <v>5.83</v>
      </c>
      <c r="V745" s="19" t="s">
        <v>1290</v>
      </c>
      <c r="W745" s="19"/>
      <c r="X745" s="19"/>
      <c r="Y745" s="21">
        <v>5.3</v>
      </c>
      <c r="Z745" s="92">
        <v>1.3</v>
      </c>
      <c r="AA745" s="92">
        <v>1.2949999999999999</v>
      </c>
    </row>
    <row r="746" spans="1:27" x14ac:dyDescent="0.25">
      <c r="A746" s="33">
        <f t="shared" si="97"/>
        <v>743</v>
      </c>
      <c r="B746" s="19">
        <v>17910</v>
      </c>
      <c r="C746" s="19" t="s">
        <v>1291</v>
      </c>
      <c r="D746" s="19" t="s">
        <v>1217</v>
      </c>
      <c r="E746" s="22" t="s">
        <v>1281</v>
      </c>
      <c r="F746" s="19"/>
      <c r="G746" s="19"/>
      <c r="H746" s="19" t="s">
        <v>384</v>
      </c>
      <c r="I746" s="19" t="s">
        <v>1072</v>
      </c>
      <c r="J746" s="19"/>
      <c r="K746" s="19"/>
      <c r="L746" s="19"/>
      <c r="M746" s="19"/>
      <c r="N746" s="19">
        <v>9</v>
      </c>
      <c r="O746" s="19">
        <v>35</v>
      </c>
      <c r="P746" s="19"/>
      <c r="Q746" s="19" t="s">
        <v>395</v>
      </c>
      <c r="R746" s="19"/>
      <c r="S746" s="19"/>
      <c r="T746" s="19">
        <v>1</v>
      </c>
      <c r="U746" s="20">
        <f t="shared" si="99"/>
        <v>5.83</v>
      </c>
      <c r="V746" s="19" t="s">
        <v>1292</v>
      </c>
      <c r="W746" s="19"/>
      <c r="X746" s="19"/>
      <c r="Y746" s="21">
        <v>5.3</v>
      </c>
      <c r="Z746" s="92">
        <v>1.3</v>
      </c>
      <c r="AA746" s="92">
        <v>1.2949999999999999</v>
      </c>
    </row>
    <row r="747" spans="1:27" x14ac:dyDescent="0.25">
      <c r="A747" s="33">
        <f t="shared" si="97"/>
        <v>744</v>
      </c>
      <c r="B747" s="19">
        <v>17910</v>
      </c>
      <c r="C747" s="19" t="s">
        <v>1291</v>
      </c>
      <c r="D747" s="19" t="s">
        <v>1217</v>
      </c>
      <c r="E747" s="22" t="s">
        <v>1281</v>
      </c>
      <c r="F747" s="19"/>
      <c r="G747" s="19"/>
      <c r="H747" s="19" t="s">
        <v>387</v>
      </c>
      <c r="I747" s="19" t="s">
        <v>1072</v>
      </c>
      <c r="J747" s="19"/>
      <c r="K747" s="19"/>
      <c r="L747" s="19"/>
      <c r="M747" s="19"/>
      <c r="N747" s="19">
        <v>9</v>
      </c>
      <c r="O747" s="19">
        <v>35</v>
      </c>
      <c r="P747" s="19"/>
      <c r="Q747" s="19" t="s">
        <v>395</v>
      </c>
      <c r="R747" s="19"/>
      <c r="S747" s="19"/>
      <c r="T747" s="19">
        <v>2</v>
      </c>
      <c r="U747" s="20">
        <f t="shared" si="99"/>
        <v>5.83</v>
      </c>
      <c r="V747" s="19" t="s">
        <v>1292</v>
      </c>
      <c r="W747" s="19"/>
      <c r="X747" s="19"/>
      <c r="Y747" s="21">
        <v>5.3</v>
      </c>
      <c r="Z747" s="92">
        <v>1.3</v>
      </c>
      <c r="AA747" s="92">
        <v>1.2949999999999999</v>
      </c>
    </row>
    <row r="748" spans="1:27" x14ac:dyDescent="0.25">
      <c r="A748" s="33">
        <f t="shared" si="97"/>
        <v>745</v>
      </c>
      <c r="B748" s="19">
        <v>17910</v>
      </c>
      <c r="C748" s="19" t="s">
        <v>1291</v>
      </c>
      <c r="D748" s="19" t="s">
        <v>1217</v>
      </c>
      <c r="E748" s="22" t="s">
        <v>1281</v>
      </c>
      <c r="F748" s="19"/>
      <c r="G748" s="19"/>
      <c r="H748" s="19" t="s">
        <v>1219</v>
      </c>
      <c r="I748" s="19" t="s">
        <v>1072</v>
      </c>
      <c r="J748" s="19"/>
      <c r="K748" s="19"/>
      <c r="L748" s="19"/>
      <c r="M748" s="19"/>
      <c r="N748" s="19">
        <v>9</v>
      </c>
      <c r="O748" s="19">
        <v>35</v>
      </c>
      <c r="P748" s="19"/>
      <c r="Q748" s="19" t="s">
        <v>395</v>
      </c>
      <c r="R748" s="19"/>
      <c r="S748" s="19"/>
      <c r="T748" s="19">
        <v>3</v>
      </c>
      <c r="U748" s="20">
        <f t="shared" si="99"/>
        <v>5.83</v>
      </c>
      <c r="V748" s="19" t="s">
        <v>1292</v>
      </c>
      <c r="W748" s="19"/>
      <c r="X748" s="19"/>
      <c r="Y748" s="21">
        <v>5.3</v>
      </c>
      <c r="Z748" s="92">
        <v>1.3</v>
      </c>
      <c r="AA748" s="92">
        <v>1.2949999999999999</v>
      </c>
    </row>
    <row r="749" spans="1:27" x14ac:dyDescent="0.25">
      <c r="A749" s="33">
        <f t="shared" si="97"/>
        <v>746</v>
      </c>
      <c r="B749" s="19">
        <v>17910</v>
      </c>
      <c r="C749" s="19" t="s">
        <v>1291</v>
      </c>
      <c r="D749" s="19" t="s">
        <v>1217</v>
      </c>
      <c r="E749" s="22" t="s">
        <v>1281</v>
      </c>
      <c r="F749" s="19"/>
      <c r="G749" s="19"/>
      <c r="H749" s="19" t="s">
        <v>1043</v>
      </c>
      <c r="I749" s="19" t="s">
        <v>1072</v>
      </c>
      <c r="J749" s="19"/>
      <c r="K749" s="19"/>
      <c r="L749" s="19"/>
      <c r="M749" s="19"/>
      <c r="N749" s="19">
        <v>9</v>
      </c>
      <c r="O749" s="19">
        <v>35</v>
      </c>
      <c r="P749" s="19"/>
      <c r="Q749" s="19" t="s">
        <v>395</v>
      </c>
      <c r="R749" s="19"/>
      <c r="S749" s="19"/>
      <c r="T749" s="19">
        <v>4</v>
      </c>
      <c r="U749" s="20">
        <f t="shared" si="99"/>
        <v>5.83</v>
      </c>
      <c r="V749" s="19" t="s">
        <v>1292</v>
      </c>
      <c r="W749" s="19"/>
      <c r="X749" s="19"/>
      <c r="Y749" s="21">
        <v>5.3</v>
      </c>
      <c r="Z749" s="92">
        <v>1.3</v>
      </c>
      <c r="AA749" s="92">
        <v>1.2949999999999999</v>
      </c>
    </row>
    <row r="750" spans="1:27" x14ac:dyDescent="0.25">
      <c r="A750" s="33">
        <f t="shared" si="97"/>
        <v>747</v>
      </c>
      <c r="B750" s="19">
        <v>17910</v>
      </c>
      <c r="C750" s="19" t="s">
        <v>1291</v>
      </c>
      <c r="D750" s="19" t="s">
        <v>1217</v>
      </c>
      <c r="E750" s="22" t="s">
        <v>1281</v>
      </c>
      <c r="F750" s="19"/>
      <c r="G750" s="19"/>
      <c r="H750" s="19">
        <v>60</v>
      </c>
      <c r="I750" s="19" t="s">
        <v>1072</v>
      </c>
      <c r="J750" s="19"/>
      <c r="K750" s="19"/>
      <c r="L750" s="19"/>
      <c r="M750" s="19"/>
      <c r="N750" s="19">
        <v>9</v>
      </c>
      <c r="O750" s="19">
        <v>35</v>
      </c>
      <c r="P750" s="19"/>
      <c r="Q750" s="19" t="s">
        <v>395</v>
      </c>
      <c r="R750" s="19"/>
      <c r="S750" s="19"/>
      <c r="T750" s="19">
        <v>5</v>
      </c>
      <c r="U750" s="20">
        <f t="shared" si="99"/>
        <v>5.83</v>
      </c>
      <c r="V750" s="19" t="s">
        <v>1292</v>
      </c>
      <c r="W750" s="19"/>
      <c r="X750" s="19"/>
      <c r="Y750" s="21">
        <v>5.3</v>
      </c>
      <c r="Z750" s="92">
        <v>1.3</v>
      </c>
      <c r="AA750" s="92">
        <v>1.2949999999999999</v>
      </c>
    </row>
    <row r="751" spans="1:27" x14ac:dyDescent="0.25">
      <c r="A751" s="33">
        <f t="shared" ref="A751:A814" si="102">ROW()-3</f>
        <v>748</v>
      </c>
      <c r="B751" s="19">
        <v>17910</v>
      </c>
      <c r="C751" s="19" t="s">
        <v>1293</v>
      </c>
      <c r="D751" s="19" t="s">
        <v>1217</v>
      </c>
      <c r="E751" s="22" t="s">
        <v>1281</v>
      </c>
      <c r="F751" s="19"/>
      <c r="G751" s="19"/>
      <c r="H751" s="19" t="s">
        <v>384</v>
      </c>
      <c r="I751" s="19" t="s">
        <v>1072</v>
      </c>
      <c r="J751" s="19"/>
      <c r="K751" s="19"/>
      <c r="L751" s="19"/>
      <c r="M751" s="19"/>
      <c r="N751" s="19">
        <v>9</v>
      </c>
      <c r="O751" s="19">
        <v>40</v>
      </c>
      <c r="P751" s="19"/>
      <c r="Q751" s="19" t="s">
        <v>395</v>
      </c>
      <c r="R751" s="19"/>
      <c r="S751" s="19"/>
      <c r="T751" s="19">
        <v>1</v>
      </c>
      <c r="U751" s="20">
        <f t="shared" si="99"/>
        <v>5.83</v>
      </c>
      <c r="V751" s="19" t="s">
        <v>1294</v>
      </c>
      <c r="W751" s="19"/>
      <c r="X751" s="19"/>
      <c r="Y751" s="21">
        <v>5.3</v>
      </c>
      <c r="Z751" s="92">
        <v>1.3</v>
      </c>
      <c r="AA751" s="92">
        <v>1.2949999999999999</v>
      </c>
    </row>
    <row r="752" spans="1:27" x14ac:dyDescent="0.25">
      <c r="A752" s="33">
        <f t="shared" si="102"/>
        <v>749</v>
      </c>
      <c r="B752" s="19">
        <v>17910</v>
      </c>
      <c r="C752" s="19" t="s">
        <v>1293</v>
      </c>
      <c r="D752" s="19" t="s">
        <v>1217</v>
      </c>
      <c r="E752" s="22" t="s">
        <v>1281</v>
      </c>
      <c r="F752" s="19"/>
      <c r="G752" s="19"/>
      <c r="H752" s="19" t="s">
        <v>387</v>
      </c>
      <c r="I752" s="19" t="s">
        <v>1072</v>
      </c>
      <c r="J752" s="19"/>
      <c r="K752" s="19"/>
      <c r="L752" s="19"/>
      <c r="M752" s="19"/>
      <c r="N752" s="19">
        <v>9</v>
      </c>
      <c r="O752" s="19">
        <v>40</v>
      </c>
      <c r="P752" s="19"/>
      <c r="Q752" s="19" t="s">
        <v>395</v>
      </c>
      <c r="R752" s="19"/>
      <c r="S752" s="19"/>
      <c r="T752" s="19">
        <v>2</v>
      </c>
      <c r="U752" s="20">
        <f t="shared" si="99"/>
        <v>5.83</v>
      </c>
      <c r="V752" s="19" t="s">
        <v>1294</v>
      </c>
      <c r="W752" s="19"/>
      <c r="X752" s="19"/>
      <c r="Y752" s="21">
        <v>5.3</v>
      </c>
      <c r="Z752" s="92">
        <v>1.3</v>
      </c>
      <c r="AA752" s="92">
        <v>1.2949999999999999</v>
      </c>
    </row>
    <row r="753" spans="1:27" x14ac:dyDescent="0.25">
      <c r="A753" s="33">
        <f t="shared" si="102"/>
        <v>750</v>
      </c>
      <c r="B753" s="19">
        <v>17910</v>
      </c>
      <c r="C753" s="19" t="s">
        <v>1293</v>
      </c>
      <c r="D753" s="19" t="s">
        <v>1217</v>
      </c>
      <c r="E753" s="22" t="s">
        <v>1281</v>
      </c>
      <c r="F753" s="19"/>
      <c r="G753" s="19"/>
      <c r="H753" s="19" t="s">
        <v>1219</v>
      </c>
      <c r="I753" s="19" t="s">
        <v>1072</v>
      </c>
      <c r="J753" s="19"/>
      <c r="K753" s="19"/>
      <c r="L753" s="19"/>
      <c r="M753" s="19"/>
      <c r="N753" s="19">
        <v>9</v>
      </c>
      <c r="O753" s="19">
        <v>40</v>
      </c>
      <c r="P753" s="19"/>
      <c r="Q753" s="19" t="s">
        <v>395</v>
      </c>
      <c r="R753" s="19"/>
      <c r="S753" s="19"/>
      <c r="T753" s="19">
        <v>3</v>
      </c>
      <c r="U753" s="20">
        <f t="shared" si="99"/>
        <v>5.83</v>
      </c>
      <c r="V753" s="19" t="s">
        <v>1294</v>
      </c>
      <c r="W753" s="19"/>
      <c r="X753" s="19"/>
      <c r="Y753" s="21">
        <v>5.3</v>
      </c>
      <c r="Z753" s="92">
        <v>1.3</v>
      </c>
      <c r="AA753" s="92">
        <v>1.2949999999999999</v>
      </c>
    </row>
    <row r="754" spans="1:27" x14ac:dyDescent="0.25">
      <c r="A754" s="33">
        <f t="shared" si="102"/>
        <v>751</v>
      </c>
      <c r="B754" s="19">
        <v>17910</v>
      </c>
      <c r="C754" s="19" t="s">
        <v>1293</v>
      </c>
      <c r="D754" s="19" t="s">
        <v>1217</v>
      </c>
      <c r="E754" s="22" t="s">
        <v>1281</v>
      </c>
      <c r="F754" s="19"/>
      <c r="G754" s="19"/>
      <c r="H754" s="19" t="s">
        <v>1043</v>
      </c>
      <c r="I754" s="19" t="s">
        <v>1072</v>
      </c>
      <c r="J754" s="19"/>
      <c r="K754" s="19"/>
      <c r="L754" s="19"/>
      <c r="M754" s="19"/>
      <c r="N754" s="19">
        <v>9</v>
      </c>
      <c r="O754" s="19">
        <v>40</v>
      </c>
      <c r="P754" s="19"/>
      <c r="Q754" s="19" t="s">
        <v>395</v>
      </c>
      <c r="R754" s="19"/>
      <c r="S754" s="19"/>
      <c r="T754" s="19">
        <v>4</v>
      </c>
      <c r="U754" s="20">
        <f t="shared" si="99"/>
        <v>5.83</v>
      </c>
      <c r="V754" s="19" t="s">
        <v>1294</v>
      </c>
      <c r="W754" s="19"/>
      <c r="X754" s="19"/>
      <c r="Y754" s="21">
        <v>5.3</v>
      </c>
      <c r="Z754" s="92">
        <v>1.3</v>
      </c>
      <c r="AA754" s="92">
        <v>1.2949999999999999</v>
      </c>
    </row>
    <row r="755" spans="1:27" x14ac:dyDescent="0.25">
      <c r="A755" s="33">
        <f t="shared" si="102"/>
        <v>752</v>
      </c>
      <c r="B755" s="19">
        <v>17910</v>
      </c>
      <c r="C755" s="19" t="s">
        <v>1293</v>
      </c>
      <c r="D755" s="19" t="s">
        <v>1217</v>
      </c>
      <c r="E755" s="22" t="s">
        <v>1281</v>
      </c>
      <c r="F755" s="19"/>
      <c r="G755" s="19"/>
      <c r="H755" s="19">
        <v>60</v>
      </c>
      <c r="I755" s="19" t="s">
        <v>1072</v>
      </c>
      <c r="J755" s="19"/>
      <c r="K755" s="19"/>
      <c r="L755" s="19"/>
      <c r="M755" s="19"/>
      <c r="N755" s="19">
        <v>9</v>
      </c>
      <c r="O755" s="19">
        <v>40</v>
      </c>
      <c r="P755" s="19"/>
      <c r="Q755" s="19" t="s">
        <v>395</v>
      </c>
      <c r="R755" s="19"/>
      <c r="S755" s="19"/>
      <c r="T755" s="19">
        <v>5</v>
      </c>
      <c r="U755" s="20">
        <f t="shared" si="99"/>
        <v>5.83</v>
      </c>
      <c r="V755" s="19" t="s">
        <v>1294</v>
      </c>
      <c r="W755" s="19"/>
      <c r="X755" s="19"/>
      <c r="Y755" s="21">
        <v>5.3</v>
      </c>
      <c r="Z755" s="92">
        <v>1.3</v>
      </c>
      <c r="AA755" s="92">
        <v>1.2949999999999999</v>
      </c>
    </row>
    <row r="756" spans="1:27" x14ac:dyDescent="0.25">
      <c r="A756" s="33">
        <f t="shared" si="102"/>
        <v>753</v>
      </c>
      <c r="B756" s="210" t="s">
        <v>1295</v>
      </c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210"/>
      <c r="P756" s="210"/>
      <c r="Q756" s="210"/>
      <c r="R756" s="210"/>
      <c r="S756" s="210"/>
      <c r="T756" s="210"/>
      <c r="U756" s="210"/>
      <c r="V756" s="210"/>
      <c r="W756" s="211"/>
      <c r="X756" s="19"/>
      <c r="Y756" s="74"/>
      <c r="Z756" s="76"/>
      <c r="AA756" s="76"/>
    </row>
    <row r="757" spans="1:27" x14ac:dyDescent="0.25">
      <c r="A757" s="33">
        <f t="shared" si="102"/>
        <v>754</v>
      </c>
      <c r="B757" s="19">
        <v>17511</v>
      </c>
      <c r="C757" s="19"/>
      <c r="D757" s="19" t="s">
        <v>1217</v>
      </c>
      <c r="E757" s="19" t="s">
        <v>988</v>
      </c>
      <c r="F757" s="19"/>
      <c r="G757" s="19"/>
      <c r="H757" s="19" t="s">
        <v>384</v>
      </c>
      <c r="I757" s="19" t="s">
        <v>168</v>
      </c>
      <c r="J757" s="19"/>
      <c r="K757" s="19"/>
      <c r="L757" s="19"/>
      <c r="M757" s="19"/>
      <c r="N757" s="19">
        <v>8</v>
      </c>
      <c r="O757" s="19" t="s">
        <v>187</v>
      </c>
      <c r="P757" s="19"/>
      <c r="Q757" s="19" t="s">
        <v>395</v>
      </c>
      <c r="R757" s="19"/>
      <c r="S757" s="19"/>
      <c r="T757" s="19">
        <v>1</v>
      </c>
      <c r="U757" s="20">
        <f t="shared" ref="U757:U766" si="103">Y757*1.1</f>
        <v>0</v>
      </c>
      <c r="V757" s="29" t="s">
        <v>1296</v>
      </c>
      <c r="W757" s="19"/>
      <c r="X757" s="19"/>
      <c r="Y757" s="21">
        <f t="shared" si="101"/>
        <v>0</v>
      </c>
      <c r="Z757" s="92">
        <v>1.3</v>
      </c>
      <c r="AA757" s="92">
        <v>1.2949999999999999</v>
      </c>
    </row>
    <row r="758" spans="1:27" x14ac:dyDescent="0.25">
      <c r="A758" s="33">
        <f t="shared" si="102"/>
        <v>755</v>
      </c>
      <c r="B758" s="19">
        <v>17511</v>
      </c>
      <c r="C758" s="19"/>
      <c r="D758" s="19" t="s">
        <v>1217</v>
      </c>
      <c r="E758" s="19" t="s">
        <v>988</v>
      </c>
      <c r="F758" s="19"/>
      <c r="G758" s="19"/>
      <c r="H758" s="19" t="s">
        <v>387</v>
      </c>
      <c r="I758" s="19" t="s">
        <v>168</v>
      </c>
      <c r="J758" s="19"/>
      <c r="K758" s="19"/>
      <c r="L758" s="19"/>
      <c r="M758" s="19"/>
      <c r="N758" s="19">
        <v>8</v>
      </c>
      <c r="O758" s="19" t="s">
        <v>187</v>
      </c>
      <c r="P758" s="19"/>
      <c r="Q758" s="19" t="s">
        <v>395</v>
      </c>
      <c r="R758" s="19"/>
      <c r="S758" s="19"/>
      <c r="T758" s="19">
        <v>2</v>
      </c>
      <c r="U758" s="20">
        <f t="shared" si="103"/>
        <v>0</v>
      </c>
      <c r="V758" s="29" t="s">
        <v>1296</v>
      </c>
      <c r="W758" s="19"/>
      <c r="X758" s="19"/>
      <c r="Y758" s="21">
        <f t="shared" si="101"/>
        <v>0</v>
      </c>
      <c r="Z758" s="92">
        <v>1.3</v>
      </c>
      <c r="AA758" s="92">
        <v>1.2949999999999999</v>
      </c>
    </row>
    <row r="759" spans="1:27" x14ac:dyDescent="0.25">
      <c r="A759" s="33">
        <f t="shared" si="102"/>
        <v>756</v>
      </c>
      <c r="B759" s="19">
        <v>17511</v>
      </c>
      <c r="C759" s="19"/>
      <c r="D759" s="19" t="s">
        <v>1217</v>
      </c>
      <c r="E759" s="19" t="s">
        <v>988</v>
      </c>
      <c r="F759" s="19"/>
      <c r="G759" s="19"/>
      <c r="H759" s="19" t="s">
        <v>1219</v>
      </c>
      <c r="I759" s="19" t="s">
        <v>168</v>
      </c>
      <c r="J759" s="19"/>
      <c r="K759" s="19"/>
      <c r="L759" s="19"/>
      <c r="M759" s="19"/>
      <c r="N759" s="19">
        <v>8</v>
      </c>
      <c r="O759" s="19" t="s">
        <v>187</v>
      </c>
      <c r="P759" s="19"/>
      <c r="Q759" s="19" t="s">
        <v>395</v>
      </c>
      <c r="R759" s="19"/>
      <c r="S759" s="19"/>
      <c r="T759" s="19">
        <v>3</v>
      </c>
      <c r="U759" s="20">
        <f t="shared" si="103"/>
        <v>0</v>
      </c>
      <c r="V759" s="29" t="s">
        <v>1296</v>
      </c>
      <c r="W759" s="19"/>
      <c r="X759" s="19"/>
      <c r="Y759" s="21">
        <f t="shared" si="101"/>
        <v>0</v>
      </c>
      <c r="Z759" s="92">
        <v>1.3</v>
      </c>
      <c r="AA759" s="92">
        <v>1.2949999999999999</v>
      </c>
    </row>
    <row r="760" spans="1:27" x14ac:dyDescent="0.25">
      <c r="A760" s="33">
        <f t="shared" si="102"/>
        <v>757</v>
      </c>
      <c r="B760" s="19">
        <v>17511</v>
      </c>
      <c r="C760" s="19"/>
      <c r="D760" s="19" t="s">
        <v>1217</v>
      </c>
      <c r="E760" s="19" t="s">
        <v>988</v>
      </c>
      <c r="F760" s="19"/>
      <c r="G760" s="19"/>
      <c r="H760" s="19" t="s">
        <v>1043</v>
      </c>
      <c r="I760" s="19" t="s">
        <v>168</v>
      </c>
      <c r="J760" s="19"/>
      <c r="K760" s="19"/>
      <c r="L760" s="19"/>
      <c r="M760" s="19"/>
      <c r="N760" s="19">
        <v>8</v>
      </c>
      <c r="O760" s="19" t="s">
        <v>187</v>
      </c>
      <c r="P760" s="19"/>
      <c r="Q760" s="19" t="s">
        <v>395</v>
      </c>
      <c r="R760" s="19"/>
      <c r="S760" s="19"/>
      <c r="T760" s="19">
        <v>4</v>
      </c>
      <c r="U760" s="20">
        <f t="shared" si="103"/>
        <v>0</v>
      </c>
      <c r="V760" s="29" t="s">
        <v>1296</v>
      </c>
      <c r="W760" s="19"/>
      <c r="X760" s="19"/>
      <c r="Y760" s="21">
        <f t="shared" si="101"/>
        <v>0</v>
      </c>
      <c r="Z760" s="92">
        <v>1.3</v>
      </c>
      <c r="AA760" s="92">
        <v>1.2949999999999999</v>
      </c>
    </row>
    <row r="761" spans="1:27" x14ac:dyDescent="0.25">
      <c r="A761" s="33">
        <f t="shared" si="102"/>
        <v>758</v>
      </c>
      <c r="B761" s="19">
        <v>17511</v>
      </c>
      <c r="C761" s="19"/>
      <c r="D761" s="19" t="s">
        <v>1217</v>
      </c>
      <c r="E761" s="19" t="s">
        <v>988</v>
      </c>
      <c r="F761" s="19"/>
      <c r="G761" s="19"/>
      <c r="H761" s="19">
        <v>60</v>
      </c>
      <c r="I761" s="19" t="s">
        <v>168</v>
      </c>
      <c r="J761" s="19"/>
      <c r="K761" s="19"/>
      <c r="L761" s="19"/>
      <c r="M761" s="19"/>
      <c r="N761" s="19">
        <v>8</v>
      </c>
      <c r="O761" s="19" t="s">
        <v>187</v>
      </c>
      <c r="P761" s="19"/>
      <c r="Q761" s="19" t="s">
        <v>395</v>
      </c>
      <c r="R761" s="19"/>
      <c r="S761" s="19"/>
      <c r="T761" s="19">
        <v>5</v>
      </c>
      <c r="U761" s="20">
        <f t="shared" si="103"/>
        <v>0</v>
      </c>
      <c r="V761" s="29" t="s">
        <v>1296</v>
      </c>
      <c r="W761" s="19"/>
      <c r="X761" s="19"/>
      <c r="Y761" s="21">
        <f t="shared" si="101"/>
        <v>0</v>
      </c>
      <c r="Z761" s="92">
        <v>1.3</v>
      </c>
      <c r="AA761" s="92">
        <v>1.2949999999999999</v>
      </c>
    </row>
    <row r="762" spans="1:27" x14ac:dyDescent="0.25">
      <c r="A762" s="33">
        <f t="shared" si="102"/>
        <v>759</v>
      </c>
      <c r="B762" s="19">
        <v>17511</v>
      </c>
      <c r="C762" s="19" t="s">
        <v>1297</v>
      </c>
      <c r="D762" s="19" t="s">
        <v>1217</v>
      </c>
      <c r="E762" s="19" t="s">
        <v>988</v>
      </c>
      <c r="F762" s="19"/>
      <c r="G762" s="19"/>
      <c r="H762" s="19" t="s">
        <v>384</v>
      </c>
      <c r="I762" s="19" t="s">
        <v>168</v>
      </c>
      <c r="J762" s="19"/>
      <c r="K762" s="19"/>
      <c r="L762" s="19"/>
      <c r="M762" s="19"/>
      <c r="N762" s="19">
        <v>9</v>
      </c>
      <c r="O762" s="19" t="s">
        <v>187</v>
      </c>
      <c r="P762" s="19"/>
      <c r="Q762" s="19" t="s">
        <v>395</v>
      </c>
      <c r="R762" s="19"/>
      <c r="S762" s="19"/>
      <c r="T762" s="19">
        <v>1</v>
      </c>
      <c r="U762" s="20">
        <f t="shared" si="103"/>
        <v>8.25</v>
      </c>
      <c r="V762" s="29" t="s">
        <v>1298</v>
      </c>
      <c r="W762" s="19"/>
      <c r="X762" s="19"/>
      <c r="Y762" s="21">
        <v>7.5</v>
      </c>
      <c r="Z762" s="92">
        <v>1.3</v>
      </c>
      <c r="AA762" s="92">
        <v>1.2949999999999999</v>
      </c>
    </row>
    <row r="763" spans="1:27" x14ac:dyDescent="0.25">
      <c r="A763" s="33">
        <f t="shared" si="102"/>
        <v>760</v>
      </c>
      <c r="B763" s="19">
        <v>17511</v>
      </c>
      <c r="C763" s="19" t="s">
        <v>1297</v>
      </c>
      <c r="D763" s="19" t="s">
        <v>1217</v>
      </c>
      <c r="E763" s="19" t="s">
        <v>988</v>
      </c>
      <c r="F763" s="19"/>
      <c r="G763" s="19"/>
      <c r="H763" s="19" t="s">
        <v>387</v>
      </c>
      <c r="I763" s="19" t="s">
        <v>168</v>
      </c>
      <c r="J763" s="19"/>
      <c r="K763" s="19"/>
      <c r="L763" s="19"/>
      <c r="M763" s="19"/>
      <c r="N763" s="19">
        <v>9</v>
      </c>
      <c r="O763" s="19" t="s">
        <v>187</v>
      </c>
      <c r="P763" s="19"/>
      <c r="Q763" s="19" t="s">
        <v>395</v>
      </c>
      <c r="R763" s="19"/>
      <c r="S763" s="19"/>
      <c r="T763" s="19">
        <v>2</v>
      </c>
      <c r="U763" s="20">
        <f t="shared" si="103"/>
        <v>8.25</v>
      </c>
      <c r="V763" s="29" t="s">
        <v>1298</v>
      </c>
      <c r="W763" s="19"/>
      <c r="X763" s="19"/>
      <c r="Y763" s="21">
        <v>7.5</v>
      </c>
      <c r="Z763" s="92">
        <v>1.3</v>
      </c>
      <c r="AA763" s="92">
        <v>1.2949999999999999</v>
      </c>
    </row>
    <row r="764" spans="1:27" x14ac:dyDescent="0.25">
      <c r="A764" s="33">
        <f t="shared" si="102"/>
        <v>761</v>
      </c>
      <c r="B764" s="19">
        <v>17511</v>
      </c>
      <c r="C764" s="19" t="s">
        <v>1297</v>
      </c>
      <c r="D764" s="19" t="s">
        <v>1217</v>
      </c>
      <c r="E764" s="19" t="s">
        <v>988</v>
      </c>
      <c r="F764" s="19"/>
      <c r="G764" s="19"/>
      <c r="H764" s="19" t="s">
        <v>1219</v>
      </c>
      <c r="I764" s="19" t="s">
        <v>168</v>
      </c>
      <c r="J764" s="19"/>
      <c r="K764" s="19"/>
      <c r="L764" s="19"/>
      <c r="M764" s="19"/>
      <c r="N764" s="19">
        <v>9</v>
      </c>
      <c r="O764" s="19" t="s">
        <v>187</v>
      </c>
      <c r="P764" s="19"/>
      <c r="Q764" s="19" t="s">
        <v>395</v>
      </c>
      <c r="R764" s="19"/>
      <c r="S764" s="19"/>
      <c r="T764" s="19">
        <v>3</v>
      </c>
      <c r="U764" s="20">
        <f t="shared" si="103"/>
        <v>8.25</v>
      </c>
      <c r="V764" s="29" t="s">
        <v>1298</v>
      </c>
      <c r="W764" s="19"/>
      <c r="X764" s="19"/>
      <c r="Y764" s="21">
        <v>7.5</v>
      </c>
      <c r="Z764" s="92">
        <v>1.3</v>
      </c>
      <c r="AA764" s="92">
        <v>1.2949999999999999</v>
      </c>
    </row>
    <row r="765" spans="1:27" x14ac:dyDescent="0.25">
      <c r="A765" s="33">
        <f t="shared" si="102"/>
        <v>762</v>
      </c>
      <c r="B765" s="19">
        <v>17511</v>
      </c>
      <c r="C765" s="19" t="s">
        <v>1297</v>
      </c>
      <c r="D765" s="19" t="s">
        <v>1217</v>
      </c>
      <c r="E765" s="19" t="s">
        <v>988</v>
      </c>
      <c r="F765" s="19"/>
      <c r="G765" s="19"/>
      <c r="H765" s="19" t="s">
        <v>1043</v>
      </c>
      <c r="I765" s="19" t="s">
        <v>168</v>
      </c>
      <c r="J765" s="19"/>
      <c r="K765" s="19"/>
      <c r="L765" s="19"/>
      <c r="M765" s="19"/>
      <c r="N765" s="19">
        <v>9</v>
      </c>
      <c r="O765" s="19" t="s">
        <v>187</v>
      </c>
      <c r="P765" s="19"/>
      <c r="Q765" s="19" t="s">
        <v>395</v>
      </c>
      <c r="R765" s="19"/>
      <c r="S765" s="19"/>
      <c r="T765" s="19">
        <v>4</v>
      </c>
      <c r="U765" s="20">
        <f t="shared" si="103"/>
        <v>8.25</v>
      </c>
      <c r="V765" s="29" t="s">
        <v>1298</v>
      </c>
      <c r="W765" s="19"/>
      <c r="X765" s="19"/>
      <c r="Y765" s="21">
        <v>7.5</v>
      </c>
      <c r="Z765" s="92">
        <v>1.3</v>
      </c>
      <c r="AA765" s="92">
        <v>1.2949999999999999</v>
      </c>
    </row>
    <row r="766" spans="1:27" x14ac:dyDescent="0.25">
      <c r="A766" s="33">
        <f t="shared" si="102"/>
        <v>763</v>
      </c>
      <c r="B766" s="19">
        <v>17511</v>
      </c>
      <c r="C766" s="19" t="s">
        <v>1297</v>
      </c>
      <c r="D766" s="19" t="s">
        <v>1217</v>
      </c>
      <c r="E766" s="19" t="s">
        <v>988</v>
      </c>
      <c r="F766" s="19"/>
      <c r="G766" s="19"/>
      <c r="H766" s="19">
        <v>60</v>
      </c>
      <c r="I766" s="19" t="s">
        <v>168</v>
      </c>
      <c r="J766" s="19"/>
      <c r="K766" s="19"/>
      <c r="L766" s="19"/>
      <c r="M766" s="19"/>
      <c r="N766" s="19">
        <v>9</v>
      </c>
      <c r="O766" s="19" t="s">
        <v>187</v>
      </c>
      <c r="P766" s="19"/>
      <c r="Q766" s="19" t="s">
        <v>395</v>
      </c>
      <c r="R766" s="19"/>
      <c r="S766" s="19"/>
      <c r="T766" s="19">
        <v>5</v>
      </c>
      <c r="U766" s="20">
        <f t="shared" si="103"/>
        <v>8.25</v>
      </c>
      <c r="V766" s="29" t="s">
        <v>1298</v>
      </c>
      <c r="W766" s="19"/>
      <c r="X766" s="19"/>
      <c r="Y766" s="21">
        <v>7.5</v>
      </c>
      <c r="Z766" s="92">
        <v>1.3</v>
      </c>
      <c r="AA766" s="92">
        <v>1.2949999999999999</v>
      </c>
    </row>
    <row r="767" spans="1:27" x14ac:dyDescent="0.25">
      <c r="A767" s="33">
        <f t="shared" si="102"/>
        <v>764</v>
      </c>
      <c r="B767" s="210" t="s">
        <v>1299</v>
      </c>
      <c r="C767" s="210"/>
      <c r="D767" s="210"/>
      <c r="E767" s="210"/>
      <c r="F767" s="210"/>
      <c r="G767" s="210"/>
      <c r="H767" s="210"/>
      <c r="I767" s="210"/>
      <c r="J767" s="210"/>
      <c r="K767" s="210"/>
      <c r="L767" s="210"/>
      <c r="M767" s="210"/>
      <c r="N767" s="210"/>
      <c r="O767" s="210"/>
      <c r="P767" s="210"/>
      <c r="Q767" s="210"/>
      <c r="R767" s="210"/>
      <c r="S767" s="210"/>
      <c r="T767" s="210"/>
      <c r="U767" s="210"/>
      <c r="V767" s="210"/>
      <c r="W767" s="211"/>
      <c r="X767" s="19"/>
      <c r="Y767" s="74"/>
      <c r="Z767" s="76"/>
      <c r="AA767" s="76"/>
    </row>
    <row r="768" spans="1:27" x14ac:dyDescent="0.25">
      <c r="A768" s="33">
        <f t="shared" si="102"/>
        <v>765</v>
      </c>
      <c r="B768" s="19">
        <v>17512</v>
      </c>
      <c r="C768" s="19"/>
      <c r="D768" s="19" t="s">
        <v>1217</v>
      </c>
      <c r="E768" s="19" t="s">
        <v>988</v>
      </c>
      <c r="F768" s="19"/>
      <c r="G768" s="19"/>
      <c r="H768" s="19" t="s">
        <v>384</v>
      </c>
      <c r="I768" s="19" t="s">
        <v>22</v>
      </c>
      <c r="J768" s="19"/>
      <c r="K768" s="19"/>
      <c r="L768" s="19"/>
      <c r="M768" s="19"/>
      <c r="N768" s="19">
        <v>8</v>
      </c>
      <c r="O768" s="19" t="s">
        <v>187</v>
      </c>
      <c r="P768" s="19"/>
      <c r="Q768" s="19" t="s">
        <v>395</v>
      </c>
      <c r="R768" s="19"/>
      <c r="S768" s="19"/>
      <c r="T768" s="19">
        <v>1</v>
      </c>
      <c r="U768" s="20">
        <f t="shared" ref="U768:U777" si="104">Y768*1.1</f>
        <v>0</v>
      </c>
      <c r="V768" s="29" t="s">
        <v>1300</v>
      </c>
      <c r="W768" s="19"/>
      <c r="X768" s="19"/>
      <c r="Y768" s="21">
        <v>0</v>
      </c>
      <c r="Z768" s="92">
        <v>1.3</v>
      </c>
      <c r="AA768" s="92">
        <v>1.2949999999999999</v>
      </c>
    </row>
    <row r="769" spans="1:27" x14ac:dyDescent="0.25">
      <c r="A769" s="33">
        <f t="shared" si="102"/>
        <v>766</v>
      </c>
      <c r="B769" s="19">
        <v>17512</v>
      </c>
      <c r="C769" s="19"/>
      <c r="D769" s="19" t="s">
        <v>1217</v>
      </c>
      <c r="E769" s="19" t="s">
        <v>988</v>
      </c>
      <c r="F769" s="19"/>
      <c r="G769" s="19"/>
      <c r="H769" s="19" t="s">
        <v>387</v>
      </c>
      <c r="I769" s="19" t="s">
        <v>22</v>
      </c>
      <c r="J769" s="19"/>
      <c r="K769" s="19"/>
      <c r="L769" s="19"/>
      <c r="M769" s="19"/>
      <c r="N769" s="19">
        <v>8</v>
      </c>
      <c r="O769" s="19" t="s">
        <v>187</v>
      </c>
      <c r="P769" s="19"/>
      <c r="Q769" s="19" t="s">
        <v>395</v>
      </c>
      <c r="R769" s="19"/>
      <c r="S769" s="19"/>
      <c r="T769" s="19">
        <v>2</v>
      </c>
      <c r="U769" s="20">
        <f t="shared" si="104"/>
        <v>0</v>
      </c>
      <c r="V769" s="29" t="s">
        <v>1300</v>
      </c>
      <c r="W769" s="19"/>
      <c r="X769" s="19"/>
      <c r="Y769" s="21">
        <v>0</v>
      </c>
      <c r="Z769" s="92">
        <v>1.3</v>
      </c>
      <c r="AA769" s="92">
        <v>1.2949999999999999</v>
      </c>
    </row>
    <row r="770" spans="1:27" x14ac:dyDescent="0.25">
      <c r="A770" s="33">
        <f t="shared" si="102"/>
        <v>767</v>
      </c>
      <c r="B770" s="19">
        <v>17512</v>
      </c>
      <c r="C770" s="19"/>
      <c r="D770" s="19" t="s">
        <v>1217</v>
      </c>
      <c r="E770" s="19" t="s">
        <v>988</v>
      </c>
      <c r="F770" s="19"/>
      <c r="G770" s="19"/>
      <c r="H770" s="19" t="s">
        <v>1219</v>
      </c>
      <c r="I770" s="19" t="s">
        <v>22</v>
      </c>
      <c r="J770" s="19"/>
      <c r="K770" s="19"/>
      <c r="L770" s="19"/>
      <c r="M770" s="19"/>
      <c r="N770" s="19">
        <v>8</v>
      </c>
      <c r="O770" s="19" t="s">
        <v>187</v>
      </c>
      <c r="P770" s="19"/>
      <c r="Q770" s="19" t="s">
        <v>395</v>
      </c>
      <c r="R770" s="19"/>
      <c r="S770" s="19"/>
      <c r="T770" s="19">
        <v>3</v>
      </c>
      <c r="U770" s="20">
        <f t="shared" si="104"/>
        <v>0</v>
      </c>
      <c r="V770" s="29" t="s">
        <v>1300</v>
      </c>
      <c r="W770" s="19"/>
      <c r="X770" s="19"/>
      <c r="Y770" s="21">
        <v>0</v>
      </c>
      <c r="Z770" s="92">
        <v>1.3</v>
      </c>
      <c r="AA770" s="92">
        <v>1.2949999999999999</v>
      </c>
    </row>
    <row r="771" spans="1:27" x14ac:dyDescent="0.25">
      <c r="A771" s="33">
        <f t="shared" si="102"/>
        <v>768</v>
      </c>
      <c r="B771" s="19">
        <v>17512</v>
      </c>
      <c r="C771" s="19"/>
      <c r="D771" s="19" t="s">
        <v>1217</v>
      </c>
      <c r="E771" s="19" t="s">
        <v>988</v>
      </c>
      <c r="F771" s="19"/>
      <c r="G771" s="19"/>
      <c r="H771" s="19" t="s">
        <v>1043</v>
      </c>
      <c r="I771" s="19" t="s">
        <v>22</v>
      </c>
      <c r="J771" s="19"/>
      <c r="K771" s="19"/>
      <c r="L771" s="19"/>
      <c r="M771" s="19"/>
      <c r="N771" s="19">
        <v>8</v>
      </c>
      <c r="O771" s="19" t="s">
        <v>187</v>
      </c>
      <c r="P771" s="19"/>
      <c r="Q771" s="19" t="s">
        <v>395</v>
      </c>
      <c r="R771" s="19"/>
      <c r="S771" s="19"/>
      <c r="T771" s="19">
        <v>4</v>
      </c>
      <c r="U771" s="20">
        <f t="shared" si="104"/>
        <v>0</v>
      </c>
      <c r="V771" s="29" t="s">
        <v>1300</v>
      </c>
      <c r="W771" s="19"/>
      <c r="X771" s="19"/>
      <c r="Y771" s="21">
        <v>0</v>
      </c>
      <c r="Z771" s="92">
        <v>1.3</v>
      </c>
      <c r="AA771" s="92">
        <v>1.2949999999999999</v>
      </c>
    </row>
    <row r="772" spans="1:27" x14ac:dyDescent="0.25">
      <c r="A772" s="33">
        <f t="shared" si="102"/>
        <v>769</v>
      </c>
      <c r="B772" s="19">
        <v>17512</v>
      </c>
      <c r="C772" s="19"/>
      <c r="D772" s="19" t="s">
        <v>1217</v>
      </c>
      <c r="E772" s="19" t="s">
        <v>988</v>
      </c>
      <c r="F772" s="19"/>
      <c r="G772" s="19"/>
      <c r="H772" s="19">
        <v>60</v>
      </c>
      <c r="I772" s="19" t="s">
        <v>22</v>
      </c>
      <c r="J772" s="19"/>
      <c r="K772" s="19"/>
      <c r="L772" s="19"/>
      <c r="M772" s="19"/>
      <c r="N772" s="19">
        <v>8</v>
      </c>
      <c r="O772" s="19" t="s">
        <v>187</v>
      </c>
      <c r="P772" s="19"/>
      <c r="Q772" s="19" t="s">
        <v>395</v>
      </c>
      <c r="R772" s="19"/>
      <c r="S772" s="19"/>
      <c r="T772" s="19">
        <v>5</v>
      </c>
      <c r="U772" s="20">
        <f t="shared" si="104"/>
        <v>0</v>
      </c>
      <c r="V772" s="29" t="s">
        <v>1300</v>
      </c>
      <c r="W772" s="19"/>
      <c r="X772" s="19"/>
      <c r="Y772" s="21">
        <v>0</v>
      </c>
      <c r="Z772" s="92">
        <v>1.3</v>
      </c>
      <c r="AA772" s="92">
        <v>1.2949999999999999</v>
      </c>
    </row>
    <row r="773" spans="1:27" x14ac:dyDescent="0.25">
      <c r="A773" s="33">
        <f t="shared" si="102"/>
        <v>770</v>
      </c>
      <c r="B773" s="19">
        <v>17512</v>
      </c>
      <c r="C773" s="19" t="s">
        <v>1301</v>
      </c>
      <c r="D773" s="19" t="s">
        <v>1217</v>
      </c>
      <c r="E773" s="19" t="s">
        <v>988</v>
      </c>
      <c r="F773" s="19"/>
      <c r="G773" s="19"/>
      <c r="H773" s="19" t="s">
        <v>384</v>
      </c>
      <c r="I773" s="19" t="s">
        <v>22</v>
      </c>
      <c r="J773" s="19"/>
      <c r="K773" s="19"/>
      <c r="L773" s="19"/>
      <c r="M773" s="19"/>
      <c r="N773" s="19">
        <v>9</v>
      </c>
      <c r="O773" s="19" t="s">
        <v>187</v>
      </c>
      <c r="P773" s="19"/>
      <c r="Q773" s="19" t="s">
        <v>395</v>
      </c>
      <c r="R773" s="19"/>
      <c r="S773" s="19"/>
      <c r="T773" s="19">
        <v>1</v>
      </c>
      <c r="U773" s="20">
        <f t="shared" si="104"/>
        <v>7.26</v>
      </c>
      <c r="V773" s="29" t="s">
        <v>1302</v>
      </c>
      <c r="W773" s="19"/>
      <c r="X773" s="19"/>
      <c r="Y773" s="21">
        <v>6.6</v>
      </c>
      <c r="Z773" s="92">
        <v>1.3</v>
      </c>
      <c r="AA773" s="92">
        <v>1.2949999999999999</v>
      </c>
    </row>
    <row r="774" spans="1:27" x14ac:dyDescent="0.25">
      <c r="A774" s="33">
        <f t="shared" si="102"/>
        <v>771</v>
      </c>
      <c r="B774" s="19">
        <v>17512</v>
      </c>
      <c r="C774" s="19" t="s">
        <v>1301</v>
      </c>
      <c r="D774" s="19" t="s">
        <v>1217</v>
      </c>
      <c r="E774" s="19" t="s">
        <v>988</v>
      </c>
      <c r="F774" s="19"/>
      <c r="G774" s="19"/>
      <c r="H774" s="19" t="s">
        <v>387</v>
      </c>
      <c r="I774" s="19" t="s">
        <v>22</v>
      </c>
      <c r="J774" s="19"/>
      <c r="K774" s="19"/>
      <c r="L774" s="19"/>
      <c r="M774" s="19"/>
      <c r="N774" s="19">
        <v>9</v>
      </c>
      <c r="O774" s="19" t="s">
        <v>187</v>
      </c>
      <c r="P774" s="19"/>
      <c r="Q774" s="19" t="s">
        <v>395</v>
      </c>
      <c r="R774" s="19"/>
      <c r="S774" s="19"/>
      <c r="T774" s="19">
        <v>2</v>
      </c>
      <c r="U774" s="20">
        <f t="shared" si="104"/>
        <v>7.26</v>
      </c>
      <c r="V774" s="29" t="s">
        <v>1302</v>
      </c>
      <c r="W774" s="19"/>
      <c r="X774" s="19"/>
      <c r="Y774" s="21">
        <v>6.6</v>
      </c>
      <c r="Z774" s="92">
        <v>1.3</v>
      </c>
      <c r="AA774" s="92">
        <v>1.2949999999999999</v>
      </c>
    </row>
    <row r="775" spans="1:27" x14ac:dyDescent="0.25">
      <c r="A775" s="33">
        <f t="shared" si="102"/>
        <v>772</v>
      </c>
      <c r="B775" s="19">
        <v>17512</v>
      </c>
      <c r="C775" s="19" t="s">
        <v>1301</v>
      </c>
      <c r="D775" s="19" t="s">
        <v>1217</v>
      </c>
      <c r="E775" s="19" t="s">
        <v>988</v>
      </c>
      <c r="F775" s="19"/>
      <c r="G775" s="19"/>
      <c r="H775" s="19" t="s">
        <v>1219</v>
      </c>
      <c r="I775" s="19" t="s">
        <v>22</v>
      </c>
      <c r="J775" s="19"/>
      <c r="K775" s="19"/>
      <c r="L775" s="19"/>
      <c r="M775" s="19"/>
      <c r="N775" s="19">
        <v>9</v>
      </c>
      <c r="O775" s="19" t="s">
        <v>187</v>
      </c>
      <c r="P775" s="19"/>
      <c r="Q775" s="19" t="s">
        <v>395</v>
      </c>
      <c r="R775" s="19"/>
      <c r="S775" s="19"/>
      <c r="T775" s="19">
        <v>3</v>
      </c>
      <c r="U775" s="20">
        <f t="shared" si="104"/>
        <v>7.26</v>
      </c>
      <c r="V775" s="29" t="s">
        <v>1302</v>
      </c>
      <c r="W775" s="19"/>
      <c r="X775" s="19"/>
      <c r="Y775" s="21">
        <v>6.6</v>
      </c>
      <c r="Z775" s="92">
        <v>1.3</v>
      </c>
      <c r="AA775" s="92">
        <v>1.2949999999999999</v>
      </c>
    </row>
    <row r="776" spans="1:27" x14ac:dyDescent="0.25">
      <c r="A776" s="33">
        <f t="shared" si="102"/>
        <v>773</v>
      </c>
      <c r="B776" s="19">
        <v>17512</v>
      </c>
      <c r="C776" s="19" t="s">
        <v>1301</v>
      </c>
      <c r="D776" s="19" t="s">
        <v>1217</v>
      </c>
      <c r="E776" s="19" t="s">
        <v>988</v>
      </c>
      <c r="F776" s="19"/>
      <c r="G776" s="19"/>
      <c r="H776" s="19" t="s">
        <v>1043</v>
      </c>
      <c r="I776" s="19" t="s">
        <v>22</v>
      </c>
      <c r="J776" s="19"/>
      <c r="K776" s="19"/>
      <c r="L776" s="19"/>
      <c r="M776" s="19"/>
      <c r="N776" s="19">
        <v>9</v>
      </c>
      <c r="O776" s="19" t="s">
        <v>187</v>
      </c>
      <c r="P776" s="19"/>
      <c r="Q776" s="19" t="s">
        <v>395</v>
      </c>
      <c r="R776" s="19"/>
      <c r="S776" s="19"/>
      <c r="T776" s="19">
        <v>4</v>
      </c>
      <c r="U776" s="20">
        <f t="shared" si="104"/>
        <v>7.26</v>
      </c>
      <c r="V776" s="29" t="s">
        <v>1302</v>
      </c>
      <c r="W776" s="19"/>
      <c r="X776" s="19"/>
      <c r="Y776" s="21">
        <v>6.6</v>
      </c>
      <c r="Z776" s="92">
        <v>1.3</v>
      </c>
      <c r="AA776" s="92">
        <v>1.2949999999999999</v>
      </c>
    </row>
    <row r="777" spans="1:27" x14ac:dyDescent="0.25">
      <c r="A777" s="33">
        <f t="shared" si="102"/>
        <v>774</v>
      </c>
      <c r="B777" s="19">
        <v>17512</v>
      </c>
      <c r="C777" s="19" t="s">
        <v>1301</v>
      </c>
      <c r="D777" s="19" t="s">
        <v>1217</v>
      </c>
      <c r="E777" s="19" t="s">
        <v>988</v>
      </c>
      <c r="F777" s="19"/>
      <c r="G777" s="19"/>
      <c r="H777" s="19">
        <v>60</v>
      </c>
      <c r="I777" s="19" t="s">
        <v>22</v>
      </c>
      <c r="J777" s="19"/>
      <c r="K777" s="19"/>
      <c r="L777" s="19"/>
      <c r="M777" s="19"/>
      <c r="N777" s="19">
        <v>9</v>
      </c>
      <c r="O777" s="19" t="s">
        <v>187</v>
      </c>
      <c r="P777" s="19"/>
      <c r="Q777" s="19" t="s">
        <v>395</v>
      </c>
      <c r="R777" s="19"/>
      <c r="S777" s="19"/>
      <c r="T777" s="19">
        <v>5</v>
      </c>
      <c r="U777" s="20">
        <f t="shared" si="104"/>
        <v>7.26</v>
      </c>
      <c r="V777" s="29" t="s">
        <v>1302</v>
      </c>
      <c r="W777" s="19"/>
      <c r="X777" s="19"/>
      <c r="Y777" s="21">
        <v>6.6</v>
      </c>
      <c r="Z777" s="92">
        <v>1.3</v>
      </c>
      <c r="AA777" s="92">
        <v>1.2949999999999999</v>
      </c>
    </row>
    <row r="778" spans="1:27" x14ac:dyDescent="0.25">
      <c r="A778" s="33">
        <f t="shared" si="102"/>
        <v>775</v>
      </c>
      <c r="B778" s="210" t="s">
        <v>1303</v>
      </c>
      <c r="C778" s="210"/>
      <c r="D778" s="210"/>
      <c r="E778" s="210"/>
      <c r="F778" s="210"/>
      <c r="G778" s="210"/>
      <c r="H778" s="210"/>
      <c r="I778" s="210"/>
      <c r="J778" s="210"/>
      <c r="K778" s="210"/>
      <c r="L778" s="210"/>
      <c r="M778" s="210"/>
      <c r="N778" s="210"/>
      <c r="O778" s="210"/>
      <c r="P778" s="210"/>
      <c r="Q778" s="210"/>
      <c r="R778" s="210"/>
      <c r="S778" s="210"/>
      <c r="T778" s="210"/>
      <c r="U778" s="210"/>
      <c r="V778" s="210"/>
      <c r="W778" s="210"/>
      <c r="X778" s="19"/>
      <c r="Y778" s="74"/>
      <c r="Z778" s="76"/>
      <c r="AA778" s="76"/>
    </row>
    <row r="779" spans="1:27" x14ac:dyDescent="0.25">
      <c r="A779" s="33">
        <f t="shared" si="102"/>
        <v>776</v>
      </c>
      <c r="B779" s="19">
        <v>17521</v>
      </c>
      <c r="C779" s="19"/>
      <c r="D779" s="19" t="s">
        <v>1217</v>
      </c>
      <c r="E779" s="19" t="s">
        <v>988</v>
      </c>
      <c r="F779" s="19"/>
      <c r="G779" s="19"/>
      <c r="H779" s="19">
        <v>18</v>
      </c>
      <c r="I779" s="19" t="s">
        <v>168</v>
      </c>
      <c r="J779" s="19"/>
      <c r="K779" s="19"/>
      <c r="L779" s="19"/>
      <c r="M779" s="19"/>
      <c r="N779" s="19">
        <v>8</v>
      </c>
      <c r="O779" s="19" t="s">
        <v>187</v>
      </c>
      <c r="P779" s="19"/>
      <c r="Q779" s="19" t="s">
        <v>395</v>
      </c>
      <c r="R779" s="19"/>
      <c r="S779" s="19"/>
      <c r="T779" s="19">
        <v>1</v>
      </c>
      <c r="U779" s="20">
        <f t="shared" ref="U779:U786" si="105">Y779*1.1</f>
        <v>0</v>
      </c>
      <c r="V779" s="29" t="s">
        <v>1304</v>
      </c>
      <c r="W779" s="19"/>
      <c r="X779" s="19"/>
      <c r="Y779" s="21">
        <v>0</v>
      </c>
      <c r="Z779" s="92">
        <v>1.3</v>
      </c>
      <c r="AA779" s="92">
        <v>1.2949999999999999</v>
      </c>
    </row>
    <row r="780" spans="1:27" x14ac:dyDescent="0.25">
      <c r="A780" s="33">
        <f t="shared" si="102"/>
        <v>777</v>
      </c>
      <c r="B780" s="19">
        <v>17521</v>
      </c>
      <c r="C780" s="19"/>
      <c r="D780" s="19" t="s">
        <v>1217</v>
      </c>
      <c r="E780" s="19" t="s">
        <v>988</v>
      </c>
      <c r="F780" s="19"/>
      <c r="G780" s="19"/>
      <c r="H780" s="19">
        <v>30</v>
      </c>
      <c r="I780" s="19" t="s">
        <v>168</v>
      </c>
      <c r="J780" s="19"/>
      <c r="K780" s="19"/>
      <c r="L780" s="19"/>
      <c r="M780" s="19"/>
      <c r="N780" s="19">
        <v>8</v>
      </c>
      <c r="O780" s="19" t="s">
        <v>187</v>
      </c>
      <c r="P780" s="19"/>
      <c r="Q780" s="19" t="s">
        <v>395</v>
      </c>
      <c r="R780" s="19"/>
      <c r="S780" s="19"/>
      <c r="T780" s="19">
        <v>1</v>
      </c>
      <c r="U780" s="20">
        <f t="shared" si="105"/>
        <v>0</v>
      </c>
      <c r="V780" s="29" t="s">
        <v>1304</v>
      </c>
      <c r="W780" s="19"/>
      <c r="X780" s="19"/>
      <c r="Y780" s="21">
        <v>0</v>
      </c>
      <c r="Z780" s="92">
        <v>1.3</v>
      </c>
      <c r="AA780" s="92">
        <v>1.2949999999999999</v>
      </c>
    </row>
    <row r="781" spans="1:27" x14ac:dyDescent="0.25">
      <c r="A781" s="33">
        <f t="shared" si="102"/>
        <v>778</v>
      </c>
      <c r="B781" s="19">
        <v>17521</v>
      </c>
      <c r="C781" s="19"/>
      <c r="D781" s="19" t="s">
        <v>1217</v>
      </c>
      <c r="E781" s="19" t="s">
        <v>988</v>
      </c>
      <c r="F781" s="19"/>
      <c r="G781" s="19"/>
      <c r="H781" s="19">
        <v>42</v>
      </c>
      <c r="I781" s="19" t="s">
        <v>168</v>
      </c>
      <c r="J781" s="19"/>
      <c r="K781" s="19"/>
      <c r="L781" s="19"/>
      <c r="M781" s="19"/>
      <c r="N781" s="19">
        <v>8</v>
      </c>
      <c r="O781" s="19" t="s">
        <v>187</v>
      </c>
      <c r="P781" s="19"/>
      <c r="Q781" s="19" t="s">
        <v>395</v>
      </c>
      <c r="R781" s="19"/>
      <c r="S781" s="19"/>
      <c r="T781" s="19">
        <v>1</v>
      </c>
      <c r="U781" s="20">
        <f t="shared" si="105"/>
        <v>0</v>
      </c>
      <c r="V781" s="29" t="s">
        <v>1304</v>
      </c>
      <c r="W781" s="19"/>
      <c r="X781" s="19"/>
      <c r="Y781" s="21">
        <v>0</v>
      </c>
      <c r="Z781" s="92">
        <v>1.3</v>
      </c>
      <c r="AA781" s="92">
        <v>1.2949999999999999</v>
      </c>
    </row>
    <row r="782" spans="1:27" x14ac:dyDescent="0.25">
      <c r="A782" s="33">
        <f t="shared" si="102"/>
        <v>779</v>
      </c>
      <c r="B782" s="19">
        <v>17521</v>
      </c>
      <c r="C782" s="19"/>
      <c r="D782" s="19" t="s">
        <v>1217</v>
      </c>
      <c r="E782" s="19" t="s">
        <v>988</v>
      </c>
      <c r="F782" s="19"/>
      <c r="G782" s="19"/>
      <c r="H782" s="19">
        <v>54</v>
      </c>
      <c r="I782" s="19" t="s">
        <v>168</v>
      </c>
      <c r="J782" s="19"/>
      <c r="K782" s="19"/>
      <c r="L782" s="19"/>
      <c r="M782" s="19"/>
      <c r="N782" s="19">
        <v>8</v>
      </c>
      <c r="O782" s="19" t="s">
        <v>187</v>
      </c>
      <c r="P782" s="19"/>
      <c r="Q782" s="19" t="s">
        <v>395</v>
      </c>
      <c r="R782" s="19"/>
      <c r="S782" s="19"/>
      <c r="T782" s="19">
        <v>1</v>
      </c>
      <c r="U782" s="20">
        <f t="shared" si="105"/>
        <v>0</v>
      </c>
      <c r="V782" s="29" t="s">
        <v>1304</v>
      </c>
      <c r="W782" s="19"/>
      <c r="X782" s="19"/>
      <c r="Y782" s="21">
        <v>0</v>
      </c>
      <c r="Z782" s="92">
        <v>1.3</v>
      </c>
      <c r="AA782" s="92">
        <v>1.2949999999999999</v>
      </c>
    </row>
    <row r="783" spans="1:27" x14ac:dyDescent="0.25">
      <c r="A783" s="33">
        <f t="shared" si="102"/>
        <v>780</v>
      </c>
      <c r="B783" s="19">
        <v>17521</v>
      </c>
      <c r="C783" s="19" t="s">
        <v>1305</v>
      </c>
      <c r="D783" s="19" t="s">
        <v>1217</v>
      </c>
      <c r="E783" s="19" t="s">
        <v>988</v>
      </c>
      <c r="F783" s="19"/>
      <c r="G783" s="19"/>
      <c r="H783" s="19">
        <v>18</v>
      </c>
      <c r="I783" s="19" t="s">
        <v>168</v>
      </c>
      <c r="J783" s="19"/>
      <c r="K783" s="19"/>
      <c r="L783" s="19"/>
      <c r="M783" s="19"/>
      <c r="N783" s="19">
        <v>9</v>
      </c>
      <c r="O783" s="19" t="s">
        <v>187</v>
      </c>
      <c r="P783" s="19"/>
      <c r="Q783" s="19" t="s">
        <v>395</v>
      </c>
      <c r="R783" s="19"/>
      <c r="S783" s="19"/>
      <c r="T783" s="19">
        <v>1</v>
      </c>
      <c r="U783" s="20">
        <f t="shared" si="105"/>
        <v>6.2150000000000007</v>
      </c>
      <c r="V783" s="29" t="s">
        <v>1306</v>
      </c>
      <c r="W783" s="19"/>
      <c r="X783" s="19"/>
      <c r="Y783" s="21">
        <v>5.65</v>
      </c>
      <c r="Z783" s="92">
        <v>1.3</v>
      </c>
      <c r="AA783" s="92">
        <v>1.2949999999999999</v>
      </c>
    </row>
    <row r="784" spans="1:27" x14ac:dyDescent="0.25">
      <c r="A784" s="33">
        <f t="shared" si="102"/>
        <v>781</v>
      </c>
      <c r="B784" s="19">
        <v>17521</v>
      </c>
      <c r="C784" s="19" t="s">
        <v>1305</v>
      </c>
      <c r="D784" s="19" t="s">
        <v>1217</v>
      </c>
      <c r="E784" s="19" t="s">
        <v>988</v>
      </c>
      <c r="F784" s="19"/>
      <c r="G784" s="19"/>
      <c r="H784" s="19">
        <v>30</v>
      </c>
      <c r="I784" s="19" t="s">
        <v>168</v>
      </c>
      <c r="J784" s="19"/>
      <c r="K784" s="19"/>
      <c r="L784" s="19"/>
      <c r="M784" s="19"/>
      <c r="N784" s="19">
        <v>9</v>
      </c>
      <c r="O784" s="19" t="s">
        <v>187</v>
      </c>
      <c r="P784" s="19"/>
      <c r="Q784" s="19" t="s">
        <v>395</v>
      </c>
      <c r="R784" s="19"/>
      <c r="S784" s="19"/>
      <c r="T784" s="19">
        <v>1</v>
      </c>
      <c r="U784" s="20">
        <f t="shared" si="105"/>
        <v>6.2150000000000007</v>
      </c>
      <c r="V784" s="29" t="s">
        <v>1306</v>
      </c>
      <c r="W784" s="19"/>
      <c r="X784" s="19"/>
      <c r="Y784" s="21">
        <v>5.65</v>
      </c>
      <c r="Z784" s="92">
        <v>1.3</v>
      </c>
      <c r="AA784" s="92">
        <v>1.2949999999999999</v>
      </c>
    </row>
    <row r="785" spans="1:27" x14ac:dyDescent="0.25">
      <c r="A785" s="33">
        <f t="shared" si="102"/>
        <v>782</v>
      </c>
      <c r="B785" s="19">
        <v>17521</v>
      </c>
      <c r="C785" s="19" t="s">
        <v>1305</v>
      </c>
      <c r="D785" s="19" t="s">
        <v>1217</v>
      </c>
      <c r="E785" s="19" t="s">
        <v>988</v>
      </c>
      <c r="F785" s="19"/>
      <c r="G785" s="19"/>
      <c r="H785" s="19">
        <v>42</v>
      </c>
      <c r="I785" s="19" t="s">
        <v>168</v>
      </c>
      <c r="J785" s="19"/>
      <c r="K785" s="19"/>
      <c r="L785" s="19"/>
      <c r="M785" s="19"/>
      <c r="N785" s="19">
        <v>9</v>
      </c>
      <c r="O785" s="19" t="s">
        <v>187</v>
      </c>
      <c r="P785" s="19"/>
      <c r="Q785" s="19" t="s">
        <v>395</v>
      </c>
      <c r="R785" s="19"/>
      <c r="S785" s="19"/>
      <c r="T785" s="19">
        <v>1</v>
      </c>
      <c r="U785" s="20">
        <f t="shared" si="105"/>
        <v>6.2150000000000007</v>
      </c>
      <c r="V785" s="29" t="s">
        <v>1306</v>
      </c>
      <c r="W785" s="19"/>
      <c r="X785" s="19"/>
      <c r="Y785" s="21">
        <v>5.65</v>
      </c>
      <c r="Z785" s="92">
        <v>1.3</v>
      </c>
      <c r="AA785" s="92">
        <v>1.2949999999999999</v>
      </c>
    </row>
    <row r="786" spans="1:27" x14ac:dyDescent="0.25">
      <c r="A786" s="33">
        <f t="shared" si="102"/>
        <v>783</v>
      </c>
      <c r="B786" s="19">
        <v>17521</v>
      </c>
      <c r="C786" s="19" t="s">
        <v>1305</v>
      </c>
      <c r="D786" s="19" t="s">
        <v>1217</v>
      </c>
      <c r="E786" s="19" t="s">
        <v>988</v>
      </c>
      <c r="F786" s="19"/>
      <c r="G786" s="19"/>
      <c r="H786" s="19">
        <v>54</v>
      </c>
      <c r="I786" s="19" t="s">
        <v>168</v>
      </c>
      <c r="J786" s="19"/>
      <c r="K786" s="19"/>
      <c r="L786" s="19"/>
      <c r="M786" s="19"/>
      <c r="N786" s="19">
        <v>9</v>
      </c>
      <c r="O786" s="19" t="s">
        <v>187</v>
      </c>
      <c r="P786" s="19"/>
      <c r="Q786" s="19" t="s">
        <v>395</v>
      </c>
      <c r="R786" s="19"/>
      <c r="S786" s="19"/>
      <c r="T786" s="19">
        <v>1</v>
      </c>
      <c r="U786" s="20">
        <f t="shared" si="105"/>
        <v>6.2150000000000007</v>
      </c>
      <c r="V786" s="29" t="s">
        <v>1306</v>
      </c>
      <c r="W786" s="19"/>
      <c r="X786" s="19"/>
      <c r="Y786" s="21">
        <v>5.65</v>
      </c>
      <c r="Z786" s="92">
        <v>1.3</v>
      </c>
      <c r="AA786" s="92">
        <v>1.2949999999999999</v>
      </c>
    </row>
    <row r="787" spans="1:27" x14ac:dyDescent="0.25">
      <c r="A787" s="33">
        <f t="shared" si="102"/>
        <v>784</v>
      </c>
      <c r="B787" s="210" t="s">
        <v>1307</v>
      </c>
      <c r="C787" s="210"/>
      <c r="D787" s="210"/>
      <c r="E787" s="210"/>
      <c r="F787" s="210"/>
      <c r="G787" s="210"/>
      <c r="H787" s="210"/>
      <c r="I787" s="210"/>
      <c r="J787" s="210"/>
      <c r="K787" s="210"/>
      <c r="L787" s="210"/>
      <c r="M787" s="210"/>
      <c r="N787" s="210"/>
      <c r="O787" s="210"/>
      <c r="P787" s="210"/>
      <c r="Q787" s="210"/>
      <c r="R787" s="210"/>
      <c r="S787" s="210"/>
      <c r="T787" s="210"/>
      <c r="U787" s="210"/>
      <c r="V787" s="210"/>
      <c r="W787" s="211"/>
      <c r="X787" s="19"/>
      <c r="Y787" s="74"/>
      <c r="Z787" s="76"/>
      <c r="AA787" s="76"/>
    </row>
    <row r="788" spans="1:27" x14ac:dyDescent="0.25">
      <c r="A788" s="33">
        <f t="shared" si="102"/>
        <v>785</v>
      </c>
      <c r="B788" s="19">
        <v>17522</v>
      </c>
      <c r="C788" s="19"/>
      <c r="D788" s="19" t="s">
        <v>1217</v>
      </c>
      <c r="E788" s="19" t="s">
        <v>988</v>
      </c>
      <c r="F788" s="19"/>
      <c r="G788" s="19"/>
      <c r="H788" s="19">
        <v>18</v>
      </c>
      <c r="I788" s="19" t="s">
        <v>22</v>
      </c>
      <c r="J788" s="19"/>
      <c r="K788" s="19"/>
      <c r="L788" s="19"/>
      <c r="M788" s="19"/>
      <c r="N788" s="19">
        <v>8</v>
      </c>
      <c r="O788" s="19" t="s">
        <v>187</v>
      </c>
      <c r="P788" s="19"/>
      <c r="Q788" s="19" t="s">
        <v>395</v>
      </c>
      <c r="R788" s="19"/>
      <c r="S788" s="19"/>
      <c r="T788" s="19">
        <v>1</v>
      </c>
      <c r="U788" s="20">
        <f t="shared" ref="U788:U795" si="106">Y788*1.1</f>
        <v>0</v>
      </c>
      <c r="V788" s="29" t="s">
        <v>1308</v>
      </c>
      <c r="W788" s="19"/>
      <c r="X788" s="19"/>
      <c r="Y788" s="21">
        <v>0</v>
      </c>
      <c r="Z788" s="92">
        <v>1.3</v>
      </c>
      <c r="AA788" s="92">
        <v>1.2949999999999999</v>
      </c>
    </row>
    <row r="789" spans="1:27" x14ac:dyDescent="0.25">
      <c r="A789" s="33">
        <f t="shared" si="102"/>
        <v>786</v>
      </c>
      <c r="B789" s="19">
        <v>17522</v>
      </c>
      <c r="C789" s="19"/>
      <c r="D789" s="19" t="s">
        <v>1217</v>
      </c>
      <c r="E789" s="19" t="s">
        <v>988</v>
      </c>
      <c r="F789" s="19"/>
      <c r="G789" s="19"/>
      <c r="H789" s="19">
        <v>30</v>
      </c>
      <c r="I789" s="19" t="s">
        <v>22</v>
      </c>
      <c r="J789" s="19"/>
      <c r="K789" s="19"/>
      <c r="L789" s="19"/>
      <c r="M789" s="19"/>
      <c r="N789" s="19">
        <v>8</v>
      </c>
      <c r="O789" s="19" t="s">
        <v>187</v>
      </c>
      <c r="P789" s="19"/>
      <c r="Q789" s="19" t="s">
        <v>395</v>
      </c>
      <c r="R789" s="19"/>
      <c r="S789" s="19"/>
      <c r="T789" s="19">
        <v>1</v>
      </c>
      <c r="U789" s="20">
        <f t="shared" si="106"/>
        <v>0</v>
      </c>
      <c r="V789" s="29" t="s">
        <v>1308</v>
      </c>
      <c r="W789" s="19"/>
      <c r="X789" s="19"/>
      <c r="Y789" s="21">
        <v>0</v>
      </c>
      <c r="Z789" s="92">
        <v>1.3</v>
      </c>
      <c r="AA789" s="92">
        <v>1.2949999999999999</v>
      </c>
    </row>
    <row r="790" spans="1:27" x14ac:dyDescent="0.25">
      <c r="A790" s="33">
        <f t="shared" si="102"/>
        <v>787</v>
      </c>
      <c r="B790" s="19">
        <v>17522</v>
      </c>
      <c r="C790" s="19"/>
      <c r="D790" s="19" t="s">
        <v>1217</v>
      </c>
      <c r="E790" s="19" t="s">
        <v>988</v>
      </c>
      <c r="F790" s="19"/>
      <c r="G790" s="19"/>
      <c r="H790" s="19">
        <v>42</v>
      </c>
      <c r="I790" s="19" t="s">
        <v>22</v>
      </c>
      <c r="J790" s="19"/>
      <c r="K790" s="19"/>
      <c r="L790" s="19"/>
      <c r="M790" s="19"/>
      <c r="N790" s="19">
        <v>8</v>
      </c>
      <c r="O790" s="19" t="s">
        <v>187</v>
      </c>
      <c r="P790" s="19"/>
      <c r="Q790" s="19" t="s">
        <v>395</v>
      </c>
      <c r="R790" s="19"/>
      <c r="S790" s="19"/>
      <c r="T790" s="19">
        <v>1</v>
      </c>
      <c r="U790" s="20">
        <f t="shared" si="106"/>
        <v>0</v>
      </c>
      <c r="V790" s="29" t="s">
        <v>1308</v>
      </c>
      <c r="W790" s="19"/>
      <c r="X790" s="19"/>
      <c r="Y790" s="21">
        <v>0</v>
      </c>
      <c r="Z790" s="92">
        <v>1.3</v>
      </c>
      <c r="AA790" s="92">
        <v>1.2949999999999999</v>
      </c>
    </row>
    <row r="791" spans="1:27" x14ac:dyDescent="0.25">
      <c r="A791" s="33">
        <f t="shared" si="102"/>
        <v>788</v>
      </c>
      <c r="B791" s="19">
        <v>17522</v>
      </c>
      <c r="C791" s="19"/>
      <c r="D791" s="19" t="s">
        <v>1217</v>
      </c>
      <c r="E791" s="19" t="s">
        <v>988</v>
      </c>
      <c r="F791" s="19"/>
      <c r="G791" s="19"/>
      <c r="H791" s="19">
        <v>54</v>
      </c>
      <c r="I791" s="19" t="s">
        <v>22</v>
      </c>
      <c r="J791" s="19"/>
      <c r="K791" s="19"/>
      <c r="L791" s="19"/>
      <c r="M791" s="19"/>
      <c r="N791" s="19">
        <v>8</v>
      </c>
      <c r="O791" s="19" t="s">
        <v>187</v>
      </c>
      <c r="P791" s="19"/>
      <c r="Q791" s="19" t="s">
        <v>395</v>
      </c>
      <c r="R791" s="19"/>
      <c r="S791" s="19"/>
      <c r="T791" s="19">
        <v>1</v>
      </c>
      <c r="U791" s="20">
        <f t="shared" si="106"/>
        <v>0</v>
      </c>
      <c r="V791" s="29" t="s">
        <v>1308</v>
      </c>
      <c r="W791" s="19"/>
      <c r="X791" s="19"/>
      <c r="Y791" s="21">
        <v>0</v>
      </c>
      <c r="Z791" s="92">
        <v>1.3</v>
      </c>
      <c r="AA791" s="92">
        <v>1.2949999999999999</v>
      </c>
    </row>
    <row r="792" spans="1:27" x14ac:dyDescent="0.25">
      <c r="A792" s="33">
        <f t="shared" si="102"/>
        <v>789</v>
      </c>
      <c r="B792" s="19">
        <v>17522</v>
      </c>
      <c r="C792" s="19" t="s">
        <v>1309</v>
      </c>
      <c r="D792" s="19" t="s">
        <v>1217</v>
      </c>
      <c r="E792" s="19" t="s">
        <v>988</v>
      </c>
      <c r="F792" s="19"/>
      <c r="G792" s="19"/>
      <c r="H792" s="19">
        <v>18</v>
      </c>
      <c r="I792" s="19" t="s">
        <v>22</v>
      </c>
      <c r="J792" s="19"/>
      <c r="K792" s="19"/>
      <c r="L792" s="19"/>
      <c r="M792" s="19"/>
      <c r="N792" s="19">
        <v>9</v>
      </c>
      <c r="O792" s="19" t="s">
        <v>187</v>
      </c>
      <c r="P792" s="19"/>
      <c r="Q792" s="19" t="s">
        <v>395</v>
      </c>
      <c r="R792" s="19"/>
      <c r="S792" s="19"/>
      <c r="T792" s="19">
        <v>1</v>
      </c>
      <c r="U792" s="20">
        <f t="shared" si="106"/>
        <v>6.2150000000000007</v>
      </c>
      <c r="V792" s="29" t="s">
        <v>1310</v>
      </c>
      <c r="W792" s="19"/>
      <c r="X792" s="19"/>
      <c r="Y792" s="21">
        <v>5.65</v>
      </c>
      <c r="Z792" s="92">
        <v>1.3</v>
      </c>
      <c r="AA792" s="92">
        <v>1.2949999999999999</v>
      </c>
    </row>
    <row r="793" spans="1:27" x14ac:dyDescent="0.25">
      <c r="A793" s="33">
        <f t="shared" si="102"/>
        <v>790</v>
      </c>
      <c r="B793" s="19">
        <v>17522</v>
      </c>
      <c r="C793" s="19" t="s">
        <v>1309</v>
      </c>
      <c r="D793" s="19" t="s">
        <v>1217</v>
      </c>
      <c r="E793" s="19" t="s">
        <v>988</v>
      </c>
      <c r="F793" s="19"/>
      <c r="G793" s="19"/>
      <c r="H793" s="19">
        <v>30</v>
      </c>
      <c r="I793" s="19" t="s">
        <v>22</v>
      </c>
      <c r="J793" s="19"/>
      <c r="K793" s="19"/>
      <c r="L793" s="19"/>
      <c r="M793" s="19"/>
      <c r="N793" s="19">
        <v>9</v>
      </c>
      <c r="O793" s="19" t="s">
        <v>187</v>
      </c>
      <c r="P793" s="19"/>
      <c r="Q793" s="19" t="s">
        <v>395</v>
      </c>
      <c r="R793" s="19"/>
      <c r="S793" s="19"/>
      <c r="T793" s="19">
        <v>1</v>
      </c>
      <c r="U793" s="20">
        <f t="shared" si="106"/>
        <v>6.2150000000000007</v>
      </c>
      <c r="V793" s="29" t="s">
        <v>1310</v>
      </c>
      <c r="W793" s="19"/>
      <c r="X793" s="19"/>
      <c r="Y793" s="21">
        <v>5.65</v>
      </c>
      <c r="Z793" s="92">
        <v>1.3</v>
      </c>
      <c r="AA793" s="92">
        <v>1.2949999999999999</v>
      </c>
    </row>
    <row r="794" spans="1:27" x14ac:dyDescent="0.25">
      <c r="A794" s="33">
        <f t="shared" si="102"/>
        <v>791</v>
      </c>
      <c r="B794" s="19">
        <v>17522</v>
      </c>
      <c r="C794" s="19" t="s">
        <v>1309</v>
      </c>
      <c r="D794" s="19" t="s">
        <v>1217</v>
      </c>
      <c r="E794" s="19" t="s">
        <v>988</v>
      </c>
      <c r="F794" s="19"/>
      <c r="G794" s="19"/>
      <c r="H794" s="19">
        <v>42</v>
      </c>
      <c r="I794" s="19" t="s">
        <v>22</v>
      </c>
      <c r="J794" s="19"/>
      <c r="K794" s="19"/>
      <c r="L794" s="19"/>
      <c r="M794" s="19"/>
      <c r="N794" s="19">
        <v>9</v>
      </c>
      <c r="O794" s="19" t="s">
        <v>187</v>
      </c>
      <c r="P794" s="19"/>
      <c r="Q794" s="19" t="s">
        <v>395</v>
      </c>
      <c r="R794" s="19"/>
      <c r="S794" s="19"/>
      <c r="T794" s="19">
        <v>1</v>
      </c>
      <c r="U794" s="20">
        <f t="shared" si="106"/>
        <v>6.2150000000000007</v>
      </c>
      <c r="V794" s="29" t="s">
        <v>1310</v>
      </c>
      <c r="W794" s="19"/>
      <c r="X794" s="19"/>
      <c r="Y794" s="21">
        <v>5.65</v>
      </c>
      <c r="Z794" s="92">
        <v>1.3</v>
      </c>
      <c r="AA794" s="92">
        <v>1.2949999999999999</v>
      </c>
    </row>
    <row r="795" spans="1:27" x14ac:dyDescent="0.25">
      <c r="A795" s="33">
        <f t="shared" si="102"/>
        <v>792</v>
      </c>
      <c r="B795" s="19">
        <v>17522</v>
      </c>
      <c r="C795" s="19" t="s">
        <v>1309</v>
      </c>
      <c r="D795" s="19" t="s">
        <v>1217</v>
      </c>
      <c r="E795" s="19" t="s">
        <v>988</v>
      </c>
      <c r="F795" s="19"/>
      <c r="G795" s="19"/>
      <c r="H795" s="19">
        <v>54</v>
      </c>
      <c r="I795" s="19" t="s">
        <v>22</v>
      </c>
      <c r="J795" s="19"/>
      <c r="K795" s="19"/>
      <c r="L795" s="19"/>
      <c r="M795" s="19"/>
      <c r="N795" s="19">
        <v>9</v>
      </c>
      <c r="O795" s="19" t="s">
        <v>187</v>
      </c>
      <c r="P795" s="19"/>
      <c r="Q795" s="19" t="s">
        <v>395</v>
      </c>
      <c r="R795" s="19"/>
      <c r="S795" s="19"/>
      <c r="T795" s="19">
        <v>1</v>
      </c>
      <c r="U795" s="20">
        <f t="shared" si="106"/>
        <v>6.2150000000000007</v>
      </c>
      <c r="V795" s="29" t="s">
        <v>1310</v>
      </c>
      <c r="W795" s="19"/>
      <c r="X795" s="19"/>
      <c r="Y795" s="21">
        <v>5.65</v>
      </c>
      <c r="Z795" s="92">
        <v>1.3</v>
      </c>
      <c r="AA795" s="92">
        <v>1.2949999999999999</v>
      </c>
    </row>
    <row r="796" spans="1:27" x14ac:dyDescent="0.25">
      <c r="A796" s="33">
        <f t="shared" si="102"/>
        <v>793</v>
      </c>
      <c r="B796" s="210" t="s">
        <v>1311</v>
      </c>
      <c r="C796" s="210"/>
      <c r="D796" s="210"/>
      <c r="E796" s="210"/>
      <c r="F796" s="210"/>
      <c r="G796" s="210"/>
      <c r="H796" s="210"/>
      <c r="I796" s="210"/>
      <c r="J796" s="210"/>
      <c r="K796" s="210"/>
      <c r="L796" s="210"/>
      <c r="M796" s="210"/>
      <c r="N796" s="210"/>
      <c r="O796" s="210"/>
      <c r="P796" s="210"/>
      <c r="Q796" s="210"/>
      <c r="R796" s="210"/>
      <c r="S796" s="210"/>
      <c r="T796" s="210"/>
      <c r="U796" s="210"/>
      <c r="V796" s="210"/>
      <c r="W796" s="211"/>
      <c r="X796" s="19"/>
      <c r="Y796" s="74"/>
      <c r="Z796" s="76"/>
      <c r="AA796" s="76"/>
    </row>
    <row r="797" spans="1:27" x14ac:dyDescent="0.25">
      <c r="A797" s="33">
        <f t="shared" si="102"/>
        <v>794</v>
      </c>
      <c r="B797" s="19">
        <v>17920</v>
      </c>
      <c r="C797" s="19"/>
      <c r="D797" s="19" t="s">
        <v>1217</v>
      </c>
      <c r="E797" s="22" t="s">
        <v>1281</v>
      </c>
      <c r="F797" s="19"/>
      <c r="G797" s="19"/>
      <c r="H797" s="19" t="s">
        <v>384</v>
      </c>
      <c r="I797" s="19" t="s">
        <v>1055</v>
      </c>
      <c r="J797" s="19"/>
      <c r="K797" s="19"/>
      <c r="L797" s="19"/>
      <c r="M797" s="19"/>
      <c r="N797" s="19">
        <v>8</v>
      </c>
      <c r="O797" s="19" t="s">
        <v>200</v>
      </c>
      <c r="P797" s="19"/>
      <c r="Q797" s="19" t="s">
        <v>395</v>
      </c>
      <c r="R797" s="19"/>
      <c r="S797" s="19"/>
      <c r="T797" s="19">
        <v>1</v>
      </c>
      <c r="U797" s="20">
        <f t="shared" ref="U797:U806" si="107">Y797*1.1</f>
        <v>0</v>
      </c>
      <c r="V797" s="19" t="s">
        <v>1312</v>
      </c>
      <c r="W797" s="19"/>
      <c r="X797" s="19"/>
      <c r="Y797" s="21">
        <v>0</v>
      </c>
      <c r="Z797" s="92">
        <v>1.3</v>
      </c>
      <c r="AA797" s="92">
        <v>1.2949999999999999</v>
      </c>
    </row>
    <row r="798" spans="1:27" x14ac:dyDescent="0.25">
      <c r="A798" s="33">
        <f t="shared" si="102"/>
        <v>795</v>
      </c>
      <c r="B798" s="19">
        <v>17920</v>
      </c>
      <c r="C798" s="19"/>
      <c r="D798" s="19" t="s">
        <v>1217</v>
      </c>
      <c r="E798" s="22" t="s">
        <v>1281</v>
      </c>
      <c r="F798" s="19"/>
      <c r="G798" s="19"/>
      <c r="H798" s="19" t="s">
        <v>387</v>
      </c>
      <c r="I798" s="19" t="s">
        <v>1055</v>
      </c>
      <c r="J798" s="19"/>
      <c r="K798" s="19"/>
      <c r="L798" s="19"/>
      <c r="M798" s="19"/>
      <c r="N798" s="19">
        <v>8</v>
      </c>
      <c r="O798" s="19" t="s">
        <v>200</v>
      </c>
      <c r="P798" s="19"/>
      <c r="Q798" s="19" t="s">
        <v>395</v>
      </c>
      <c r="R798" s="19"/>
      <c r="S798" s="19"/>
      <c r="T798" s="19">
        <v>2</v>
      </c>
      <c r="U798" s="20">
        <f t="shared" si="107"/>
        <v>0</v>
      </c>
      <c r="V798" s="19" t="s">
        <v>1312</v>
      </c>
      <c r="W798" s="19"/>
      <c r="X798" s="19"/>
      <c r="Y798" s="21">
        <v>0</v>
      </c>
      <c r="Z798" s="92">
        <v>1.3</v>
      </c>
      <c r="AA798" s="92">
        <v>1.2949999999999999</v>
      </c>
    </row>
    <row r="799" spans="1:27" x14ac:dyDescent="0.25">
      <c r="A799" s="33">
        <f t="shared" si="102"/>
        <v>796</v>
      </c>
      <c r="B799" s="19">
        <v>17920</v>
      </c>
      <c r="C799" s="19"/>
      <c r="D799" s="19" t="s">
        <v>1217</v>
      </c>
      <c r="E799" s="22" t="s">
        <v>1281</v>
      </c>
      <c r="F799" s="19"/>
      <c r="G799" s="19"/>
      <c r="H799" s="19" t="s">
        <v>1219</v>
      </c>
      <c r="I799" s="19" t="s">
        <v>1055</v>
      </c>
      <c r="J799" s="19"/>
      <c r="K799" s="19"/>
      <c r="L799" s="19"/>
      <c r="M799" s="19"/>
      <c r="N799" s="19">
        <v>8</v>
      </c>
      <c r="O799" s="19" t="s">
        <v>200</v>
      </c>
      <c r="P799" s="19"/>
      <c r="Q799" s="19" t="s">
        <v>395</v>
      </c>
      <c r="R799" s="19"/>
      <c r="S799" s="19"/>
      <c r="T799" s="19">
        <v>3</v>
      </c>
      <c r="U799" s="20">
        <f t="shared" si="107"/>
        <v>0</v>
      </c>
      <c r="V799" s="19" t="s">
        <v>1312</v>
      </c>
      <c r="W799" s="19"/>
      <c r="X799" s="19"/>
      <c r="Y799" s="21">
        <v>0</v>
      </c>
      <c r="Z799" s="92">
        <v>1.3</v>
      </c>
      <c r="AA799" s="92">
        <v>1.2949999999999999</v>
      </c>
    </row>
    <row r="800" spans="1:27" x14ac:dyDescent="0.25">
      <c r="A800" s="33">
        <f t="shared" si="102"/>
        <v>797</v>
      </c>
      <c r="B800" s="19">
        <v>17920</v>
      </c>
      <c r="C800" s="19"/>
      <c r="D800" s="19" t="s">
        <v>1217</v>
      </c>
      <c r="E800" s="22" t="s">
        <v>1281</v>
      </c>
      <c r="F800" s="19"/>
      <c r="G800" s="19"/>
      <c r="H800" s="19" t="s">
        <v>1043</v>
      </c>
      <c r="I800" s="19" t="s">
        <v>1055</v>
      </c>
      <c r="J800" s="19"/>
      <c r="K800" s="19"/>
      <c r="L800" s="19"/>
      <c r="M800" s="19"/>
      <c r="N800" s="19">
        <v>8</v>
      </c>
      <c r="O800" s="19" t="s">
        <v>200</v>
      </c>
      <c r="P800" s="19"/>
      <c r="Q800" s="19" t="s">
        <v>395</v>
      </c>
      <c r="R800" s="19"/>
      <c r="S800" s="19"/>
      <c r="T800" s="19">
        <v>4</v>
      </c>
      <c r="U800" s="20">
        <f t="shared" si="107"/>
        <v>0</v>
      </c>
      <c r="V800" s="19" t="s">
        <v>1312</v>
      </c>
      <c r="W800" s="19"/>
      <c r="X800" s="19"/>
      <c r="Y800" s="21">
        <v>0</v>
      </c>
      <c r="Z800" s="92">
        <v>1.3</v>
      </c>
      <c r="AA800" s="92">
        <v>1.2949999999999999</v>
      </c>
    </row>
    <row r="801" spans="1:27" x14ac:dyDescent="0.25">
      <c r="A801" s="33">
        <f t="shared" si="102"/>
        <v>798</v>
      </c>
      <c r="B801" s="19">
        <v>17920</v>
      </c>
      <c r="C801" s="19"/>
      <c r="D801" s="19" t="s">
        <v>1217</v>
      </c>
      <c r="E801" s="22" t="s">
        <v>1281</v>
      </c>
      <c r="F801" s="19"/>
      <c r="G801" s="19"/>
      <c r="H801" s="19">
        <v>60</v>
      </c>
      <c r="I801" s="19" t="s">
        <v>1055</v>
      </c>
      <c r="J801" s="19"/>
      <c r="K801" s="19"/>
      <c r="L801" s="19"/>
      <c r="M801" s="19"/>
      <c r="N801" s="19">
        <v>8</v>
      </c>
      <c r="O801" s="19" t="s">
        <v>200</v>
      </c>
      <c r="P801" s="19"/>
      <c r="Q801" s="19" t="s">
        <v>395</v>
      </c>
      <c r="R801" s="19"/>
      <c r="S801" s="19"/>
      <c r="T801" s="19">
        <v>5</v>
      </c>
      <c r="U801" s="20">
        <f t="shared" si="107"/>
        <v>0</v>
      </c>
      <c r="V801" s="19" t="s">
        <v>1312</v>
      </c>
      <c r="W801" s="19"/>
      <c r="X801" s="19"/>
      <c r="Y801" s="21">
        <v>0</v>
      </c>
      <c r="Z801" s="92">
        <v>1.3</v>
      </c>
      <c r="AA801" s="92">
        <v>1.2949999999999999</v>
      </c>
    </row>
    <row r="802" spans="1:27" x14ac:dyDescent="0.25">
      <c r="A802" s="33">
        <f t="shared" si="102"/>
        <v>799</v>
      </c>
      <c r="B802" s="19">
        <v>17920</v>
      </c>
      <c r="C802" s="19" t="s">
        <v>1313</v>
      </c>
      <c r="D802" s="19" t="s">
        <v>1217</v>
      </c>
      <c r="E802" s="22" t="s">
        <v>1281</v>
      </c>
      <c r="F802" s="19"/>
      <c r="G802" s="19"/>
      <c r="H802" s="19" t="s">
        <v>384</v>
      </c>
      <c r="I802" s="19" t="s">
        <v>1055</v>
      </c>
      <c r="J802" s="19"/>
      <c r="K802" s="19"/>
      <c r="L802" s="19"/>
      <c r="M802" s="19"/>
      <c r="N802" s="19">
        <v>9</v>
      </c>
      <c r="O802" s="19" t="s">
        <v>200</v>
      </c>
      <c r="P802" s="19"/>
      <c r="Q802" s="19" t="s">
        <v>395</v>
      </c>
      <c r="R802" s="19"/>
      <c r="S802" s="19"/>
      <c r="T802" s="19">
        <v>1</v>
      </c>
      <c r="U802" s="20">
        <f t="shared" si="107"/>
        <v>8.9870000000000001</v>
      </c>
      <c r="V802" s="19" t="s">
        <v>1314</v>
      </c>
      <c r="W802" s="19"/>
      <c r="X802" s="19"/>
      <c r="Y802" s="21">
        <v>8.17</v>
      </c>
      <c r="Z802" s="92">
        <v>1.3</v>
      </c>
      <c r="AA802" s="92">
        <v>1.2949999999999999</v>
      </c>
    </row>
    <row r="803" spans="1:27" x14ac:dyDescent="0.25">
      <c r="A803" s="33">
        <f t="shared" si="102"/>
        <v>800</v>
      </c>
      <c r="B803" s="19">
        <v>17920</v>
      </c>
      <c r="C803" s="19" t="s">
        <v>1313</v>
      </c>
      <c r="D803" s="19" t="s">
        <v>1217</v>
      </c>
      <c r="E803" s="22" t="s">
        <v>1281</v>
      </c>
      <c r="F803" s="19"/>
      <c r="G803" s="19"/>
      <c r="H803" s="19" t="s">
        <v>387</v>
      </c>
      <c r="I803" s="19" t="s">
        <v>1055</v>
      </c>
      <c r="J803" s="19"/>
      <c r="K803" s="19"/>
      <c r="L803" s="19"/>
      <c r="M803" s="19"/>
      <c r="N803" s="19">
        <v>9</v>
      </c>
      <c r="O803" s="19" t="s">
        <v>200</v>
      </c>
      <c r="P803" s="19"/>
      <c r="Q803" s="19" t="s">
        <v>395</v>
      </c>
      <c r="R803" s="19"/>
      <c r="S803" s="19"/>
      <c r="T803" s="19">
        <v>2</v>
      </c>
      <c r="U803" s="20">
        <f t="shared" si="107"/>
        <v>8.9870000000000001</v>
      </c>
      <c r="V803" s="19" t="s">
        <v>1314</v>
      </c>
      <c r="W803" s="19"/>
      <c r="X803" s="19"/>
      <c r="Y803" s="21">
        <v>8.17</v>
      </c>
      <c r="Z803" s="92">
        <v>1.3</v>
      </c>
      <c r="AA803" s="92">
        <v>1.2949999999999999</v>
      </c>
    </row>
    <row r="804" spans="1:27" x14ac:dyDescent="0.25">
      <c r="A804" s="33">
        <f t="shared" si="102"/>
        <v>801</v>
      </c>
      <c r="B804" s="19">
        <v>17920</v>
      </c>
      <c r="C804" s="19" t="s">
        <v>1313</v>
      </c>
      <c r="D804" s="19" t="s">
        <v>1217</v>
      </c>
      <c r="E804" s="22" t="s">
        <v>1281</v>
      </c>
      <c r="F804" s="19"/>
      <c r="G804" s="19"/>
      <c r="H804" s="19" t="s">
        <v>1219</v>
      </c>
      <c r="I804" s="19" t="s">
        <v>1055</v>
      </c>
      <c r="J804" s="19"/>
      <c r="K804" s="19"/>
      <c r="L804" s="19"/>
      <c r="M804" s="19"/>
      <c r="N804" s="19">
        <v>9</v>
      </c>
      <c r="O804" s="19" t="s">
        <v>200</v>
      </c>
      <c r="P804" s="19"/>
      <c r="Q804" s="19" t="s">
        <v>395</v>
      </c>
      <c r="R804" s="19"/>
      <c r="S804" s="19"/>
      <c r="T804" s="19">
        <v>3</v>
      </c>
      <c r="U804" s="20">
        <f t="shared" si="107"/>
        <v>8.9870000000000001</v>
      </c>
      <c r="V804" s="19" t="s">
        <v>1314</v>
      </c>
      <c r="W804" s="19"/>
      <c r="X804" s="19"/>
      <c r="Y804" s="21">
        <v>8.17</v>
      </c>
      <c r="Z804" s="92">
        <v>1.3</v>
      </c>
      <c r="AA804" s="92">
        <v>1.2949999999999999</v>
      </c>
    </row>
    <row r="805" spans="1:27" x14ac:dyDescent="0.25">
      <c r="A805" s="33">
        <f t="shared" si="102"/>
        <v>802</v>
      </c>
      <c r="B805" s="19">
        <v>17920</v>
      </c>
      <c r="C805" s="19" t="s">
        <v>1313</v>
      </c>
      <c r="D805" s="19" t="s">
        <v>1217</v>
      </c>
      <c r="E805" s="22" t="s">
        <v>1281</v>
      </c>
      <c r="F805" s="19"/>
      <c r="G805" s="19"/>
      <c r="H805" s="19" t="s">
        <v>1043</v>
      </c>
      <c r="I805" s="19" t="s">
        <v>1055</v>
      </c>
      <c r="J805" s="19"/>
      <c r="K805" s="19"/>
      <c r="L805" s="19"/>
      <c r="M805" s="19"/>
      <c r="N805" s="19">
        <v>9</v>
      </c>
      <c r="O805" s="19" t="s">
        <v>200</v>
      </c>
      <c r="P805" s="19"/>
      <c r="Q805" s="19" t="s">
        <v>395</v>
      </c>
      <c r="R805" s="19"/>
      <c r="S805" s="19"/>
      <c r="T805" s="19">
        <v>4</v>
      </c>
      <c r="U805" s="20">
        <f t="shared" si="107"/>
        <v>8.9870000000000001</v>
      </c>
      <c r="V805" s="19" t="s">
        <v>1314</v>
      </c>
      <c r="W805" s="19"/>
      <c r="X805" s="19"/>
      <c r="Y805" s="21">
        <v>8.17</v>
      </c>
      <c r="Z805" s="92">
        <v>1.3</v>
      </c>
      <c r="AA805" s="92">
        <v>1.2949999999999999</v>
      </c>
    </row>
    <row r="806" spans="1:27" x14ac:dyDescent="0.25">
      <c r="A806" s="33">
        <f t="shared" si="102"/>
        <v>803</v>
      </c>
      <c r="B806" s="19">
        <v>17920</v>
      </c>
      <c r="C806" s="19" t="s">
        <v>1313</v>
      </c>
      <c r="D806" s="19" t="s">
        <v>1217</v>
      </c>
      <c r="E806" s="22" t="s">
        <v>1281</v>
      </c>
      <c r="F806" s="19"/>
      <c r="G806" s="19"/>
      <c r="H806" s="19">
        <v>60</v>
      </c>
      <c r="I806" s="19" t="s">
        <v>1055</v>
      </c>
      <c r="J806" s="19"/>
      <c r="K806" s="19"/>
      <c r="L806" s="19"/>
      <c r="M806" s="19"/>
      <c r="N806" s="19">
        <v>9</v>
      </c>
      <c r="O806" s="19" t="s">
        <v>200</v>
      </c>
      <c r="P806" s="19"/>
      <c r="Q806" s="19" t="s">
        <v>395</v>
      </c>
      <c r="R806" s="19"/>
      <c r="S806" s="19"/>
      <c r="T806" s="19">
        <v>5</v>
      </c>
      <c r="U806" s="20">
        <f t="shared" si="107"/>
        <v>8.9870000000000001</v>
      </c>
      <c r="V806" s="19" t="s">
        <v>1314</v>
      </c>
      <c r="W806" s="19"/>
      <c r="X806" s="19"/>
      <c r="Y806" s="21">
        <v>8.17</v>
      </c>
      <c r="Z806" s="92">
        <v>1.3</v>
      </c>
      <c r="AA806" s="92">
        <v>1.2949999999999999</v>
      </c>
    </row>
    <row r="807" spans="1:27" x14ac:dyDescent="0.25">
      <c r="A807" s="33">
        <f t="shared" si="102"/>
        <v>804</v>
      </c>
      <c r="B807" s="210" t="s">
        <v>1315</v>
      </c>
      <c r="C807" s="210"/>
      <c r="D807" s="210"/>
      <c r="E807" s="210"/>
      <c r="F807" s="210"/>
      <c r="G807" s="210"/>
      <c r="H807" s="210"/>
      <c r="I807" s="210"/>
      <c r="J807" s="210"/>
      <c r="K807" s="210"/>
      <c r="L807" s="210"/>
      <c r="M807" s="210"/>
      <c r="N807" s="210"/>
      <c r="O807" s="210"/>
      <c r="P807" s="210"/>
      <c r="Q807" s="210"/>
      <c r="R807" s="210"/>
      <c r="S807" s="210"/>
      <c r="T807" s="210"/>
      <c r="U807" s="210"/>
      <c r="V807" s="210"/>
      <c r="W807" s="211"/>
      <c r="X807" s="19"/>
      <c r="Y807" s="74"/>
      <c r="Z807" s="76"/>
      <c r="AA807" s="76"/>
    </row>
    <row r="808" spans="1:27" x14ac:dyDescent="0.25">
      <c r="A808" s="33">
        <f t="shared" si="102"/>
        <v>805</v>
      </c>
      <c r="B808" s="19">
        <v>17410</v>
      </c>
      <c r="C808" s="19" t="s">
        <v>1316</v>
      </c>
      <c r="D808" s="19" t="s">
        <v>1217</v>
      </c>
      <c r="E808" s="22" t="s">
        <v>1317</v>
      </c>
      <c r="F808" s="19"/>
      <c r="G808" s="19"/>
      <c r="H808" s="19"/>
      <c r="I808" s="19" t="s">
        <v>1021</v>
      </c>
      <c r="J808" s="19"/>
      <c r="K808" s="19"/>
      <c r="L808" s="19"/>
      <c r="M808" s="19"/>
      <c r="N808" s="19">
        <v>8</v>
      </c>
      <c r="O808" s="19">
        <v>27</v>
      </c>
      <c r="P808" s="19"/>
      <c r="Q808" s="19" t="s">
        <v>395</v>
      </c>
      <c r="R808" s="19"/>
      <c r="S808" s="19">
        <f>1/3</f>
        <v>0.33333333333333331</v>
      </c>
      <c r="T808" s="23"/>
      <c r="U808" s="20">
        <f t="shared" ref="U808:U822" si="108">Y808*1.1</f>
        <v>0</v>
      </c>
      <c r="V808" s="19" t="s">
        <v>1318</v>
      </c>
      <c r="W808" s="19"/>
      <c r="X808" s="19"/>
      <c r="Y808" s="21">
        <v>0</v>
      </c>
      <c r="Z808" s="92">
        <v>1.3</v>
      </c>
      <c r="AA808" s="92">
        <v>1.2949999999999999</v>
      </c>
    </row>
    <row r="809" spans="1:27" x14ac:dyDescent="0.25">
      <c r="A809" s="33">
        <f t="shared" si="102"/>
        <v>806</v>
      </c>
      <c r="B809" s="19">
        <v>17410</v>
      </c>
      <c r="C809" s="19" t="s">
        <v>1319</v>
      </c>
      <c r="D809" s="19" t="s">
        <v>1217</v>
      </c>
      <c r="E809" s="22" t="s">
        <v>1317</v>
      </c>
      <c r="F809" s="19"/>
      <c r="G809" s="19"/>
      <c r="H809" s="19"/>
      <c r="I809" s="19" t="s">
        <v>1021</v>
      </c>
      <c r="J809" s="19"/>
      <c r="K809" s="19"/>
      <c r="L809" s="19"/>
      <c r="M809" s="19"/>
      <c r="N809" s="19">
        <v>8</v>
      </c>
      <c r="O809" s="19">
        <v>30</v>
      </c>
      <c r="P809" s="19"/>
      <c r="Q809" s="19" t="s">
        <v>395</v>
      </c>
      <c r="R809" s="19"/>
      <c r="S809" s="19">
        <f t="shared" ref="S809:S815" si="109">1/3</f>
        <v>0.33333333333333331</v>
      </c>
      <c r="T809" s="23"/>
      <c r="U809" s="20">
        <f t="shared" si="108"/>
        <v>0</v>
      </c>
      <c r="V809" s="19" t="s">
        <v>1320</v>
      </c>
      <c r="W809" s="19"/>
      <c r="X809" s="19"/>
      <c r="Y809" s="21">
        <v>0</v>
      </c>
      <c r="Z809" s="92">
        <v>1.3</v>
      </c>
      <c r="AA809" s="92">
        <v>1.2949999999999999</v>
      </c>
    </row>
    <row r="810" spans="1:27" x14ac:dyDescent="0.25">
      <c r="A810" s="33">
        <f t="shared" si="102"/>
        <v>807</v>
      </c>
      <c r="B810" s="19">
        <v>17410</v>
      </c>
      <c r="C810" s="19" t="s">
        <v>1321</v>
      </c>
      <c r="D810" s="19" t="s">
        <v>1217</v>
      </c>
      <c r="E810" s="22" t="s">
        <v>1317</v>
      </c>
      <c r="F810" s="19"/>
      <c r="G810" s="19"/>
      <c r="H810" s="19"/>
      <c r="I810" s="19" t="s">
        <v>1021</v>
      </c>
      <c r="J810" s="19"/>
      <c r="K810" s="19"/>
      <c r="L810" s="19"/>
      <c r="M810" s="19"/>
      <c r="N810" s="19">
        <v>8</v>
      </c>
      <c r="O810" s="19">
        <v>35</v>
      </c>
      <c r="P810" s="19"/>
      <c r="Q810" s="19" t="s">
        <v>395</v>
      </c>
      <c r="R810" s="19"/>
      <c r="S810" s="19">
        <f t="shared" si="109"/>
        <v>0.33333333333333331</v>
      </c>
      <c r="T810" s="23"/>
      <c r="U810" s="20">
        <f t="shared" si="108"/>
        <v>0</v>
      </c>
      <c r="V810" s="19" t="s">
        <v>1322</v>
      </c>
      <c r="W810" s="19"/>
      <c r="X810" s="19"/>
      <c r="Y810" s="21">
        <v>0</v>
      </c>
      <c r="Z810" s="92">
        <v>1.3</v>
      </c>
      <c r="AA810" s="92">
        <v>1.2949999999999999</v>
      </c>
    </row>
    <row r="811" spans="1:27" x14ac:dyDescent="0.25">
      <c r="A811" s="33">
        <f t="shared" si="102"/>
        <v>808</v>
      </c>
      <c r="B811" s="19">
        <v>17410</v>
      </c>
      <c r="C811" s="19" t="s">
        <v>1323</v>
      </c>
      <c r="D811" s="19" t="s">
        <v>1217</v>
      </c>
      <c r="E811" s="22" t="s">
        <v>1317</v>
      </c>
      <c r="F811" s="19"/>
      <c r="G811" s="19"/>
      <c r="H811" s="19"/>
      <c r="I811" s="19" t="s">
        <v>1021</v>
      </c>
      <c r="J811" s="19"/>
      <c r="K811" s="19"/>
      <c r="L811" s="19"/>
      <c r="M811" s="19"/>
      <c r="N811" s="19">
        <v>8</v>
      </c>
      <c r="O811" s="19">
        <v>40</v>
      </c>
      <c r="P811" s="19"/>
      <c r="Q811" s="19" t="s">
        <v>395</v>
      </c>
      <c r="R811" s="19"/>
      <c r="S811" s="19">
        <f t="shared" si="109"/>
        <v>0.33333333333333331</v>
      </c>
      <c r="T811" s="23"/>
      <c r="U811" s="20">
        <f t="shared" si="108"/>
        <v>0</v>
      </c>
      <c r="V811" s="19" t="s">
        <v>1324</v>
      </c>
      <c r="W811" s="19"/>
      <c r="X811" s="19"/>
      <c r="Y811" s="21">
        <v>0</v>
      </c>
      <c r="Z811" s="92">
        <v>1.3</v>
      </c>
      <c r="AA811" s="92">
        <v>1.2949999999999999</v>
      </c>
    </row>
    <row r="812" spans="1:27" x14ac:dyDescent="0.25">
      <c r="A812" s="33">
        <f t="shared" si="102"/>
        <v>809</v>
      </c>
      <c r="B812" s="19">
        <v>17410</v>
      </c>
      <c r="C812" s="19" t="s">
        <v>1325</v>
      </c>
      <c r="D812" s="19" t="s">
        <v>1217</v>
      </c>
      <c r="E812" s="22" t="s">
        <v>1317</v>
      </c>
      <c r="F812" s="19"/>
      <c r="G812" s="19"/>
      <c r="H812" s="19"/>
      <c r="I812" s="19" t="s">
        <v>1021</v>
      </c>
      <c r="J812" s="19"/>
      <c r="K812" s="19"/>
      <c r="L812" s="19"/>
      <c r="M812" s="19"/>
      <c r="N812" s="19">
        <v>9</v>
      </c>
      <c r="O812" s="19">
        <v>27</v>
      </c>
      <c r="P812" s="19"/>
      <c r="Q812" s="19" t="s">
        <v>395</v>
      </c>
      <c r="R812" s="19"/>
      <c r="S812" s="19">
        <f t="shared" si="109"/>
        <v>0.33333333333333331</v>
      </c>
      <c r="T812" s="23"/>
      <c r="U812" s="20">
        <f t="shared" si="108"/>
        <v>3.5200000000000005</v>
      </c>
      <c r="V812" s="19" t="s">
        <v>1326</v>
      </c>
      <c r="W812" s="19"/>
      <c r="X812" s="19"/>
      <c r="Y812" s="21">
        <v>3.2</v>
      </c>
      <c r="Z812" s="92">
        <v>1.3</v>
      </c>
      <c r="AA812" s="92">
        <v>1.2949999999999999</v>
      </c>
    </row>
    <row r="813" spans="1:27" x14ac:dyDescent="0.25">
      <c r="A813" s="33">
        <f t="shared" si="102"/>
        <v>810</v>
      </c>
      <c r="B813" s="19">
        <v>17410</v>
      </c>
      <c r="C813" s="19" t="s">
        <v>1327</v>
      </c>
      <c r="D813" s="19" t="s">
        <v>1217</v>
      </c>
      <c r="E813" s="22" t="s">
        <v>1317</v>
      </c>
      <c r="F813" s="19"/>
      <c r="G813" s="19"/>
      <c r="H813" s="19"/>
      <c r="I813" s="19" t="s">
        <v>1021</v>
      </c>
      <c r="J813" s="19"/>
      <c r="K813" s="19"/>
      <c r="L813" s="19"/>
      <c r="M813" s="19"/>
      <c r="N813" s="19">
        <v>9</v>
      </c>
      <c r="O813" s="19">
        <v>30</v>
      </c>
      <c r="P813" s="19"/>
      <c r="Q813" s="19" t="s">
        <v>395</v>
      </c>
      <c r="R813" s="19"/>
      <c r="S813" s="19">
        <f t="shared" si="109"/>
        <v>0.33333333333333331</v>
      </c>
      <c r="T813" s="23"/>
      <c r="U813" s="20">
        <f t="shared" si="108"/>
        <v>3.5200000000000005</v>
      </c>
      <c r="V813" s="19" t="s">
        <v>1328</v>
      </c>
      <c r="W813" s="19"/>
      <c r="X813" s="19"/>
      <c r="Y813" s="21">
        <v>3.2</v>
      </c>
      <c r="Z813" s="92">
        <v>1.3</v>
      </c>
      <c r="AA813" s="92">
        <v>1.2949999999999999</v>
      </c>
    </row>
    <row r="814" spans="1:27" x14ac:dyDescent="0.25">
      <c r="A814" s="33">
        <f t="shared" si="102"/>
        <v>811</v>
      </c>
      <c r="B814" s="19">
        <v>17410</v>
      </c>
      <c r="C814" s="19" t="s">
        <v>1329</v>
      </c>
      <c r="D814" s="19" t="s">
        <v>1217</v>
      </c>
      <c r="E814" s="22" t="s">
        <v>1317</v>
      </c>
      <c r="F814" s="19"/>
      <c r="G814" s="19"/>
      <c r="H814" s="19"/>
      <c r="I814" s="19" t="s">
        <v>1021</v>
      </c>
      <c r="J814" s="19"/>
      <c r="K814" s="19"/>
      <c r="L814" s="19"/>
      <c r="M814" s="19"/>
      <c r="N814" s="19">
        <v>9</v>
      </c>
      <c r="O814" s="19">
        <v>35</v>
      </c>
      <c r="P814" s="19"/>
      <c r="Q814" s="19" t="s">
        <v>395</v>
      </c>
      <c r="R814" s="19"/>
      <c r="S814" s="19">
        <f t="shared" si="109"/>
        <v>0.33333333333333331</v>
      </c>
      <c r="T814" s="23"/>
      <c r="U814" s="20">
        <f t="shared" si="108"/>
        <v>3.5200000000000005</v>
      </c>
      <c r="V814" s="19" t="s">
        <v>1330</v>
      </c>
      <c r="W814" s="19"/>
      <c r="X814" s="19"/>
      <c r="Y814" s="21">
        <v>3.2</v>
      </c>
      <c r="Z814" s="92">
        <v>1.3</v>
      </c>
      <c r="AA814" s="92">
        <v>1.2949999999999999</v>
      </c>
    </row>
    <row r="815" spans="1:27" x14ac:dyDescent="0.25">
      <c r="A815" s="33">
        <f t="shared" ref="A815:A849" si="110">ROW()-3</f>
        <v>812</v>
      </c>
      <c r="B815" s="19">
        <v>17410</v>
      </c>
      <c r="C815" s="19" t="s">
        <v>1331</v>
      </c>
      <c r="D815" s="19" t="s">
        <v>1217</v>
      </c>
      <c r="E815" s="22" t="s">
        <v>1317</v>
      </c>
      <c r="F815" s="19"/>
      <c r="G815" s="19"/>
      <c r="H815" s="19"/>
      <c r="I815" s="19" t="s">
        <v>1021</v>
      </c>
      <c r="J815" s="19"/>
      <c r="K815" s="19"/>
      <c r="L815" s="19"/>
      <c r="M815" s="19"/>
      <c r="N815" s="19">
        <v>9</v>
      </c>
      <c r="O815" s="19">
        <v>40</v>
      </c>
      <c r="P815" s="19"/>
      <c r="Q815" s="19" t="s">
        <v>395</v>
      </c>
      <c r="R815" s="19"/>
      <c r="S815" s="19">
        <f t="shared" si="109"/>
        <v>0.33333333333333331</v>
      </c>
      <c r="T815" s="23"/>
      <c r="U815" s="20">
        <f t="shared" si="108"/>
        <v>3.5200000000000005</v>
      </c>
      <c r="V815" s="19" t="s">
        <v>1332</v>
      </c>
      <c r="W815" s="19"/>
      <c r="X815" s="19"/>
      <c r="Y815" s="21">
        <v>3.2</v>
      </c>
      <c r="Z815" s="92">
        <v>1.3</v>
      </c>
      <c r="AA815" s="92">
        <v>1.2949999999999999</v>
      </c>
    </row>
    <row r="816" spans="1:27" x14ac:dyDescent="0.25">
      <c r="A816" s="33">
        <f t="shared" si="110"/>
        <v>813</v>
      </c>
      <c r="B816" s="19">
        <v>17410</v>
      </c>
      <c r="C816" s="19" t="s">
        <v>1319</v>
      </c>
      <c r="D816" s="19" t="s">
        <v>1217</v>
      </c>
      <c r="E816" s="22" t="s">
        <v>1317</v>
      </c>
      <c r="F816" s="19"/>
      <c r="G816" s="19"/>
      <c r="H816" s="19"/>
      <c r="I816" s="19" t="s">
        <v>1333</v>
      </c>
      <c r="J816" s="19"/>
      <c r="K816" s="19"/>
      <c r="L816" s="19"/>
      <c r="M816" s="19"/>
      <c r="N816" s="19">
        <v>8</v>
      </c>
      <c r="O816" s="19">
        <v>30</v>
      </c>
      <c r="P816" s="19"/>
      <c r="Q816" s="19" t="s">
        <v>395</v>
      </c>
      <c r="R816" s="19"/>
      <c r="S816" s="19">
        <f t="shared" ref="S816:S818" si="111">2*1/3</f>
        <v>0.66666666666666663</v>
      </c>
      <c r="T816" s="23"/>
      <c r="U816" s="20">
        <f t="shared" si="108"/>
        <v>0</v>
      </c>
      <c r="V816" s="19" t="s">
        <v>1320</v>
      </c>
      <c r="W816" s="19"/>
      <c r="X816" s="19"/>
      <c r="Y816" s="21">
        <v>0</v>
      </c>
      <c r="Z816" s="92">
        <v>1.3</v>
      </c>
      <c r="AA816" s="92">
        <v>1.2949999999999999</v>
      </c>
    </row>
    <row r="817" spans="1:27" x14ac:dyDescent="0.25">
      <c r="A817" s="33">
        <f t="shared" si="110"/>
        <v>814</v>
      </c>
      <c r="B817" s="19">
        <v>17410</v>
      </c>
      <c r="C817" s="19" t="s">
        <v>1321</v>
      </c>
      <c r="D817" s="19" t="s">
        <v>1217</v>
      </c>
      <c r="E817" s="22" t="s">
        <v>1317</v>
      </c>
      <c r="F817" s="19"/>
      <c r="G817" s="19"/>
      <c r="H817" s="19"/>
      <c r="I817" s="19" t="s">
        <v>1333</v>
      </c>
      <c r="J817" s="19"/>
      <c r="K817" s="19"/>
      <c r="L817" s="19"/>
      <c r="M817" s="19"/>
      <c r="N817" s="19">
        <v>8</v>
      </c>
      <c r="O817" s="19">
        <v>35</v>
      </c>
      <c r="P817" s="19"/>
      <c r="Q817" s="19" t="s">
        <v>395</v>
      </c>
      <c r="R817" s="19"/>
      <c r="S817" s="19">
        <f t="shared" si="111"/>
        <v>0.66666666666666663</v>
      </c>
      <c r="T817" s="23"/>
      <c r="U817" s="20">
        <f t="shared" si="108"/>
        <v>0</v>
      </c>
      <c r="V817" s="19" t="s">
        <v>1322</v>
      </c>
      <c r="W817" s="19"/>
      <c r="X817" s="19"/>
      <c r="Y817" s="21">
        <v>0</v>
      </c>
      <c r="Z817" s="92">
        <v>1.3</v>
      </c>
      <c r="AA817" s="92">
        <v>1.2949999999999999</v>
      </c>
    </row>
    <row r="818" spans="1:27" x14ac:dyDescent="0.25">
      <c r="A818" s="33">
        <f t="shared" si="110"/>
        <v>815</v>
      </c>
      <c r="B818" s="19">
        <v>17410</v>
      </c>
      <c r="C818" s="19" t="s">
        <v>1323</v>
      </c>
      <c r="D818" s="19" t="s">
        <v>1217</v>
      </c>
      <c r="E818" s="22" t="s">
        <v>1317</v>
      </c>
      <c r="F818" s="19"/>
      <c r="G818" s="19"/>
      <c r="H818" s="19"/>
      <c r="I818" s="19" t="s">
        <v>1333</v>
      </c>
      <c r="J818" s="19"/>
      <c r="K818" s="19"/>
      <c r="L818" s="19"/>
      <c r="M818" s="19"/>
      <c r="N818" s="19">
        <v>8</v>
      </c>
      <c r="O818" s="19">
        <v>40</v>
      </c>
      <c r="P818" s="19"/>
      <c r="Q818" s="19" t="s">
        <v>395</v>
      </c>
      <c r="R818" s="19"/>
      <c r="S818" s="19">
        <f t="shared" si="111"/>
        <v>0.66666666666666663</v>
      </c>
      <c r="T818" s="23"/>
      <c r="U818" s="20">
        <f t="shared" si="108"/>
        <v>0</v>
      </c>
      <c r="V818" s="19" t="s">
        <v>1324</v>
      </c>
      <c r="W818" s="19"/>
      <c r="X818" s="19"/>
      <c r="Y818" s="21">
        <v>0</v>
      </c>
      <c r="Z818" s="92">
        <v>1.3</v>
      </c>
      <c r="AA818" s="92">
        <v>1.2949999999999999</v>
      </c>
    </row>
    <row r="819" spans="1:27" x14ac:dyDescent="0.25">
      <c r="A819" s="33">
        <f t="shared" si="110"/>
        <v>816</v>
      </c>
      <c r="B819" s="19">
        <v>17410</v>
      </c>
      <c r="C819" s="19" t="s">
        <v>1325</v>
      </c>
      <c r="D819" s="19" t="s">
        <v>1217</v>
      </c>
      <c r="E819" s="22" t="s">
        <v>1317</v>
      </c>
      <c r="F819" s="19"/>
      <c r="G819" s="19"/>
      <c r="H819" s="19"/>
      <c r="I819" s="19" t="s">
        <v>1333</v>
      </c>
      <c r="J819" s="19"/>
      <c r="K819" s="19"/>
      <c r="L819" s="19"/>
      <c r="M819" s="19"/>
      <c r="N819" s="19">
        <v>9</v>
      </c>
      <c r="O819" s="19">
        <v>27</v>
      </c>
      <c r="P819" s="19"/>
      <c r="Q819" s="19" t="s">
        <v>395</v>
      </c>
      <c r="R819" s="19"/>
      <c r="S819" s="19">
        <f>2*1/3</f>
        <v>0.66666666666666663</v>
      </c>
      <c r="T819" s="23"/>
      <c r="U819" s="20">
        <f t="shared" si="108"/>
        <v>3.5200000000000005</v>
      </c>
      <c r="V819" s="19" t="s">
        <v>1326</v>
      </c>
      <c r="W819" s="19"/>
      <c r="X819" s="19"/>
      <c r="Y819" s="21">
        <v>3.2</v>
      </c>
      <c r="Z819" s="92">
        <v>1.3</v>
      </c>
      <c r="AA819" s="92">
        <v>1.2949999999999999</v>
      </c>
    </row>
    <row r="820" spans="1:27" x14ac:dyDescent="0.25">
      <c r="A820" s="33">
        <f t="shared" si="110"/>
        <v>817</v>
      </c>
      <c r="B820" s="19">
        <v>17410</v>
      </c>
      <c r="C820" s="19" t="s">
        <v>1327</v>
      </c>
      <c r="D820" s="19" t="s">
        <v>1217</v>
      </c>
      <c r="E820" s="22" t="s">
        <v>1317</v>
      </c>
      <c r="F820" s="19"/>
      <c r="G820" s="19"/>
      <c r="H820" s="19"/>
      <c r="I820" s="19" t="s">
        <v>1333</v>
      </c>
      <c r="J820" s="19"/>
      <c r="K820" s="19"/>
      <c r="L820" s="19"/>
      <c r="M820" s="19"/>
      <c r="N820" s="19">
        <v>9</v>
      </c>
      <c r="O820" s="19">
        <v>30</v>
      </c>
      <c r="P820" s="19"/>
      <c r="Q820" s="19" t="s">
        <v>395</v>
      </c>
      <c r="R820" s="19"/>
      <c r="S820" s="19">
        <f>2*1/3</f>
        <v>0.66666666666666663</v>
      </c>
      <c r="T820" s="23"/>
      <c r="U820" s="20">
        <f t="shared" si="108"/>
        <v>3.5200000000000005</v>
      </c>
      <c r="V820" s="19" t="s">
        <v>1328</v>
      </c>
      <c r="W820" s="19"/>
      <c r="X820" s="19"/>
      <c r="Y820" s="21">
        <v>3.2</v>
      </c>
      <c r="Z820" s="92">
        <v>1.3</v>
      </c>
      <c r="AA820" s="92">
        <v>1.2949999999999999</v>
      </c>
    </row>
    <row r="821" spans="1:27" x14ac:dyDescent="0.25">
      <c r="A821" s="33">
        <f t="shared" si="110"/>
        <v>818</v>
      </c>
      <c r="B821" s="19">
        <v>17410</v>
      </c>
      <c r="C821" s="19" t="s">
        <v>1329</v>
      </c>
      <c r="D821" s="19" t="s">
        <v>1217</v>
      </c>
      <c r="E821" s="22" t="s">
        <v>1317</v>
      </c>
      <c r="F821" s="19"/>
      <c r="G821" s="19"/>
      <c r="H821" s="19"/>
      <c r="I821" s="19" t="s">
        <v>1333</v>
      </c>
      <c r="J821" s="19"/>
      <c r="K821" s="19"/>
      <c r="L821" s="19"/>
      <c r="M821" s="19"/>
      <c r="N821" s="19">
        <v>9</v>
      </c>
      <c r="O821" s="19">
        <v>35</v>
      </c>
      <c r="P821" s="19"/>
      <c r="Q821" s="19" t="s">
        <v>395</v>
      </c>
      <c r="R821" s="19"/>
      <c r="S821" s="19">
        <f>2*1/3</f>
        <v>0.66666666666666663</v>
      </c>
      <c r="T821" s="23"/>
      <c r="U821" s="20">
        <f t="shared" si="108"/>
        <v>3.5200000000000005</v>
      </c>
      <c r="V821" s="19" t="s">
        <v>1330</v>
      </c>
      <c r="W821" s="19"/>
      <c r="X821" s="19"/>
      <c r="Y821" s="21">
        <v>3.2</v>
      </c>
      <c r="Z821" s="92">
        <v>1.3</v>
      </c>
      <c r="AA821" s="92">
        <v>1.2949999999999999</v>
      </c>
    </row>
    <row r="822" spans="1:27" x14ac:dyDescent="0.25">
      <c r="A822" s="33">
        <f t="shared" si="110"/>
        <v>819</v>
      </c>
      <c r="B822" s="19">
        <v>17410</v>
      </c>
      <c r="C822" s="19" t="s">
        <v>1331</v>
      </c>
      <c r="D822" s="19" t="s">
        <v>1217</v>
      </c>
      <c r="E822" s="22" t="s">
        <v>1317</v>
      </c>
      <c r="F822" s="19"/>
      <c r="G822" s="19"/>
      <c r="H822" s="19"/>
      <c r="I822" s="19" t="s">
        <v>1333</v>
      </c>
      <c r="J822" s="19"/>
      <c r="K822" s="19"/>
      <c r="L822" s="19"/>
      <c r="M822" s="19"/>
      <c r="N822" s="19">
        <v>9</v>
      </c>
      <c r="O822" s="19">
        <v>40</v>
      </c>
      <c r="P822" s="19"/>
      <c r="Q822" s="19" t="s">
        <v>395</v>
      </c>
      <c r="R822" s="19"/>
      <c r="S822" s="19">
        <f>2*1/3</f>
        <v>0.66666666666666663</v>
      </c>
      <c r="T822" s="23"/>
      <c r="U822" s="20">
        <f t="shared" si="108"/>
        <v>3.5200000000000005</v>
      </c>
      <c r="V822" s="19" t="s">
        <v>1332</v>
      </c>
      <c r="W822" s="19"/>
      <c r="X822" s="19"/>
      <c r="Y822" s="21">
        <v>3.2</v>
      </c>
      <c r="Z822" s="92">
        <v>1.3</v>
      </c>
      <c r="AA822" s="92">
        <v>1.2949999999999999</v>
      </c>
    </row>
    <row r="823" spans="1:27" x14ac:dyDescent="0.25">
      <c r="A823" s="33">
        <f t="shared" si="110"/>
        <v>820</v>
      </c>
      <c r="B823" s="213" t="s">
        <v>1334</v>
      </c>
      <c r="C823" s="213"/>
      <c r="D823" s="213"/>
      <c r="E823" s="213"/>
      <c r="F823" s="213"/>
      <c r="G823" s="213"/>
      <c r="H823" s="213"/>
      <c r="I823" s="213"/>
      <c r="J823" s="213"/>
      <c r="K823" s="213"/>
      <c r="L823" s="213"/>
      <c r="M823" s="213"/>
      <c r="N823" s="213"/>
      <c r="O823" s="213"/>
      <c r="P823" s="213"/>
      <c r="Q823" s="213"/>
      <c r="R823" s="213"/>
      <c r="S823" s="213"/>
      <c r="T823" s="213"/>
      <c r="U823" s="213"/>
      <c r="V823" s="213"/>
      <c r="W823" s="213"/>
      <c r="X823" s="24"/>
      <c r="Y823" s="18"/>
      <c r="Z823" s="18"/>
      <c r="AA823" s="18"/>
    </row>
    <row r="824" spans="1:27" x14ac:dyDescent="0.25">
      <c r="A824" s="33">
        <f t="shared" si="110"/>
        <v>821</v>
      </c>
      <c r="B824" s="19" t="s">
        <v>1335</v>
      </c>
      <c r="C824" s="19" t="s">
        <v>1336</v>
      </c>
      <c r="D824" s="19" t="s">
        <v>1337</v>
      </c>
      <c r="E824" s="19" t="s">
        <v>299</v>
      </c>
      <c r="F824" s="19"/>
      <c r="G824" s="19"/>
      <c r="H824" s="19"/>
      <c r="I824" s="19"/>
      <c r="J824" s="19"/>
      <c r="K824" s="19"/>
      <c r="L824" s="19"/>
      <c r="M824" s="19" t="s">
        <v>110</v>
      </c>
      <c r="N824" s="19"/>
      <c r="O824" s="19"/>
      <c r="P824" s="19"/>
      <c r="Q824" s="19" t="s">
        <v>395</v>
      </c>
      <c r="R824" s="19"/>
      <c r="S824" s="19">
        <v>6</v>
      </c>
      <c r="T824" s="19"/>
      <c r="U824" s="20">
        <f t="shared" ref="U824:U847" si="112">Y824*1.1</f>
        <v>0.31900000000000001</v>
      </c>
      <c r="V824" s="19" t="s">
        <v>1338</v>
      </c>
      <c r="W824" s="19" t="s">
        <v>750</v>
      </c>
      <c r="X824" s="19"/>
      <c r="Y824" s="21">
        <v>0.28999999999999998</v>
      </c>
      <c r="Z824" s="92">
        <v>1.4</v>
      </c>
      <c r="AA824" s="92">
        <v>1.58</v>
      </c>
    </row>
    <row r="825" spans="1:27" x14ac:dyDescent="0.25">
      <c r="A825" s="33">
        <f t="shared" si="110"/>
        <v>822</v>
      </c>
      <c r="B825" s="19" t="s">
        <v>1339</v>
      </c>
      <c r="C825" s="19" t="s">
        <v>1340</v>
      </c>
      <c r="D825" s="19" t="s">
        <v>1337</v>
      </c>
      <c r="E825" s="19" t="s">
        <v>299</v>
      </c>
      <c r="F825" s="19"/>
      <c r="G825" s="19"/>
      <c r="H825" s="19"/>
      <c r="I825" s="19"/>
      <c r="J825" s="19"/>
      <c r="K825" s="19"/>
      <c r="L825" s="19"/>
      <c r="M825" s="19" t="s">
        <v>133</v>
      </c>
      <c r="N825" s="19"/>
      <c r="O825" s="19"/>
      <c r="P825" s="19"/>
      <c r="Q825" s="19" t="s">
        <v>395</v>
      </c>
      <c r="R825" s="19"/>
      <c r="S825" s="19">
        <v>6</v>
      </c>
      <c r="T825" s="19"/>
      <c r="U825" s="20">
        <f t="shared" si="112"/>
        <v>0.29700000000000004</v>
      </c>
      <c r="V825" s="19" t="s">
        <v>1341</v>
      </c>
      <c r="W825" s="19" t="s">
        <v>750</v>
      </c>
      <c r="X825" s="19"/>
      <c r="Y825" s="21">
        <v>0.27</v>
      </c>
      <c r="Z825" s="92">
        <v>1.4</v>
      </c>
      <c r="AA825" s="92">
        <v>1.58</v>
      </c>
    </row>
    <row r="826" spans="1:27" x14ac:dyDescent="0.25">
      <c r="A826" s="33">
        <f t="shared" si="110"/>
        <v>823</v>
      </c>
      <c r="B826" s="19" t="s">
        <v>1342</v>
      </c>
      <c r="C826" s="19" t="s">
        <v>1343</v>
      </c>
      <c r="D826" s="19" t="s">
        <v>1337</v>
      </c>
      <c r="E826" s="19" t="s">
        <v>299</v>
      </c>
      <c r="F826" s="19"/>
      <c r="G826" s="19"/>
      <c r="H826" s="19"/>
      <c r="I826" s="19"/>
      <c r="J826" s="19"/>
      <c r="K826" s="19"/>
      <c r="L826" s="19"/>
      <c r="M826" s="19" t="s">
        <v>126</v>
      </c>
      <c r="N826" s="19"/>
      <c r="O826" s="19"/>
      <c r="P826" s="19"/>
      <c r="Q826" s="19" t="s">
        <v>395</v>
      </c>
      <c r="R826" s="19"/>
      <c r="S826" s="19">
        <v>6</v>
      </c>
      <c r="T826" s="19"/>
      <c r="U826" s="20">
        <f t="shared" si="112"/>
        <v>0.29700000000000004</v>
      </c>
      <c r="V826" s="19" t="s">
        <v>1344</v>
      </c>
      <c r="W826" s="19" t="s">
        <v>750</v>
      </c>
      <c r="X826" s="19"/>
      <c r="Y826" s="21">
        <v>0.27</v>
      </c>
      <c r="Z826" s="92">
        <v>1.4</v>
      </c>
      <c r="AA826" s="92">
        <v>1.58</v>
      </c>
    </row>
    <row r="827" spans="1:27" x14ac:dyDescent="0.25">
      <c r="A827" s="33">
        <f t="shared" si="110"/>
        <v>824</v>
      </c>
      <c r="B827" s="19" t="s">
        <v>1345</v>
      </c>
      <c r="C827" s="19" t="s">
        <v>1346</v>
      </c>
      <c r="D827" s="19" t="s">
        <v>1337</v>
      </c>
      <c r="E827" s="19" t="s">
        <v>299</v>
      </c>
      <c r="F827" s="19"/>
      <c r="G827" s="19"/>
      <c r="H827" s="19"/>
      <c r="I827" s="19"/>
      <c r="J827" s="19"/>
      <c r="K827" s="19"/>
      <c r="L827" s="19"/>
      <c r="M827" s="19" t="s">
        <v>171</v>
      </c>
      <c r="N827" s="19"/>
      <c r="O827" s="19"/>
      <c r="P827" s="19"/>
      <c r="Q827" s="19" t="s">
        <v>395</v>
      </c>
      <c r="R827" s="19"/>
      <c r="S827" s="19">
        <v>6</v>
      </c>
      <c r="T827" s="19"/>
      <c r="U827" s="20">
        <f t="shared" si="112"/>
        <v>0.29700000000000004</v>
      </c>
      <c r="V827" s="19" t="s">
        <v>1347</v>
      </c>
      <c r="W827" s="19" t="s">
        <v>750</v>
      </c>
      <c r="X827" s="19"/>
      <c r="Y827" s="21">
        <v>0.27</v>
      </c>
      <c r="Z827" s="92">
        <v>1.4</v>
      </c>
      <c r="AA827" s="92">
        <v>1.58</v>
      </c>
    </row>
    <row r="828" spans="1:27" x14ac:dyDescent="0.25">
      <c r="A828" s="33">
        <f t="shared" si="110"/>
        <v>825</v>
      </c>
      <c r="B828" s="19" t="s">
        <v>1348</v>
      </c>
      <c r="C828" s="19" t="s">
        <v>1349</v>
      </c>
      <c r="D828" s="19" t="s">
        <v>1337</v>
      </c>
      <c r="E828" s="19" t="s">
        <v>299</v>
      </c>
      <c r="F828" s="19"/>
      <c r="G828" s="19"/>
      <c r="H828" s="19"/>
      <c r="I828" s="19"/>
      <c r="J828" s="19"/>
      <c r="K828" s="19"/>
      <c r="L828" s="19"/>
      <c r="M828" s="19" t="s">
        <v>157</v>
      </c>
      <c r="N828" s="19"/>
      <c r="O828" s="19"/>
      <c r="P828" s="19"/>
      <c r="Q828" s="19" t="s">
        <v>395</v>
      </c>
      <c r="R828" s="19"/>
      <c r="S828" s="19">
        <v>6</v>
      </c>
      <c r="T828" s="19"/>
      <c r="U828" s="20">
        <f t="shared" si="112"/>
        <v>0.31900000000000001</v>
      </c>
      <c r="V828" s="19" t="s">
        <v>1350</v>
      </c>
      <c r="W828" s="19" t="s">
        <v>750</v>
      </c>
      <c r="X828" s="19"/>
      <c r="Y828" s="21">
        <v>0.28999999999999998</v>
      </c>
      <c r="Z828" s="92">
        <v>1.4</v>
      </c>
      <c r="AA828" s="92">
        <v>1.58</v>
      </c>
    </row>
    <row r="829" spans="1:27" x14ac:dyDescent="0.25">
      <c r="A829" s="33">
        <f t="shared" si="110"/>
        <v>826</v>
      </c>
      <c r="B829" s="19" t="s">
        <v>1351</v>
      </c>
      <c r="C829" s="19" t="s">
        <v>1352</v>
      </c>
      <c r="D829" s="19" t="s">
        <v>1337</v>
      </c>
      <c r="E829" s="19" t="s">
        <v>299</v>
      </c>
      <c r="F829" s="19"/>
      <c r="G829" s="19"/>
      <c r="H829" s="19"/>
      <c r="I829" s="19"/>
      <c r="J829" s="19"/>
      <c r="K829" s="19"/>
      <c r="L829" s="19"/>
      <c r="M829" s="19" t="s">
        <v>28</v>
      </c>
      <c r="N829" s="19"/>
      <c r="O829" s="19"/>
      <c r="P829" s="19"/>
      <c r="Q829" s="19" t="s">
        <v>395</v>
      </c>
      <c r="R829" s="19"/>
      <c r="S829" s="19">
        <v>6</v>
      </c>
      <c r="T829" s="19"/>
      <c r="U829" s="20">
        <f t="shared" si="112"/>
        <v>0.31900000000000001</v>
      </c>
      <c r="V829" s="19" t="s">
        <v>1353</v>
      </c>
      <c r="W829" s="19" t="s">
        <v>750</v>
      </c>
      <c r="X829" s="19"/>
      <c r="Y829" s="21">
        <v>0.28999999999999998</v>
      </c>
      <c r="Z829" s="92">
        <v>1.4</v>
      </c>
      <c r="AA829" s="92">
        <v>1.58</v>
      </c>
    </row>
    <row r="830" spans="1:27" x14ac:dyDescent="0.25">
      <c r="A830" s="33">
        <f t="shared" si="110"/>
        <v>827</v>
      </c>
      <c r="B830" s="19" t="s">
        <v>1354</v>
      </c>
      <c r="C830" s="19" t="s">
        <v>1355</v>
      </c>
      <c r="D830" s="19" t="s">
        <v>1337</v>
      </c>
      <c r="E830" s="19" t="s">
        <v>301</v>
      </c>
      <c r="F830" s="19"/>
      <c r="G830" s="19"/>
      <c r="H830" s="19"/>
      <c r="I830" s="19"/>
      <c r="J830" s="19"/>
      <c r="K830" s="19"/>
      <c r="L830" s="19"/>
      <c r="M830" s="19" t="s">
        <v>28</v>
      </c>
      <c r="N830" s="19"/>
      <c r="O830" s="19"/>
      <c r="P830" s="19"/>
      <c r="Q830" s="19" t="s">
        <v>395</v>
      </c>
      <c r="R830" s="19"/>
      <c r="S830" s="19">
        <v>6</v>
      </c>
      <c r="T830" s="19"/>
      <c r="U830" s="20">
        <f t="shared" si="112"/>
        <v>0.41800000000000004</v>
      </c>
      <c r="V830" s="19" t="s">
        <v>1356</v>
      </c>
      <c r="W830" s="19" t="s">
        <v>750</v>
      </c>
      <c r="X830" s="19"/>
      <c r="Y830" s="21">
        <v>0.38</v>
      </c>
      <c r="Z830" s="92">
        <v>1.4</v>
      </c>
      <c r="AA830" s="92">
        <v>1.58</v>
      </c>
    </row>
    <row r="831" spans="1:27" x14ac:dyDescent="0.25">
      <c r="A831" s="33">
        <f t="shared" si="110"/>
        <v>828</v>
      </c>
      <c r="B831" s="19" t="s">
        <v>1357</v>
      </c>
      <c r="C831" s="19" t="s">
        <v>1358</v>
      </c>
      <c r="D831" s="19" t="s">
        <v>1337</v>
      </c>
      <c r="E831" s="19" t="s">
        <v>301</v>
      </c>
      <c r="F831" s="19"/>
      <c r="G831" s="19"/>
      <c r="H831" s="19"/>
      <c r="I831" s="19"/>
      <c r="J831" s="19"/>
      <c r="K831" s="19"/>
      <c r="L831" s="19"/>
      <c r="M831" s="19" t="s">
        <v>22</v>
      </c>
      <c r="N831" s="19"/>
      <c r="O831" s="19"/>
      <c r="P831" s="19"/>
      <c r="Q831" s="19" t="s">
        <v>395</v>
      </c>
      <c r="R831" s="19"/>
      <c r="S831" s="19">
        <v>6</v>
      </c>
      <c r="T831" s="19"/>
      <c r="U831" s="20">
        <f t="shared" si="112"/>
        <v>0.41800000000000004</v>
      </c>
      <c r="V831" s="19" t="s">
        <v>1359</v>
      </c>
      <c r="W831" s="19" t="s">
        <v>750</v>
      </c>
      <c r="X831" s="19"/>
      <c r="Y831" s="21">
        <v>0.38</v>
      </c>
      <c r="Z831" s="92">
        <v>1.4</v>
      </c>
      <c r="AA831" s="92">
        <v>1.58</v>
      </c>
    </row>
    <row r="832" spans="1:27" x14ac:dyDescent="0.25">
      <c r="A832" s="33">
        <f t="shared" si="110"/>
        <v>829</v>
      </c>
      <c r="B832" s="19" t="s">
        <v>1360</v>
      </c>
      <c r="C832" s="19" t="s">
        <v>1361</v>
      </c>
      <c r="D832" s="19" t="s">
        <v>1337</v>
      </c>
      <c r="E832" s="19" t="s">
        <v>1281</v>
      </c>
      <c r="F832" s="19"/>
      <c r="G832" s="19"/>
      <c r="H832" s="19"/>
      <c r="I832" s="19"/>
      <c r="J832" s="19"/>
      <c r="K832" s="19"/>
      <c r="L832" s="19"/>
      <c r="M832" s="19" t="s">
        <v>110</v>
      </c>
      <c r="N832" s="19"/>
      <c r="O832" s="19"/>
      <c r="P832" s="19"/>
      <c r="Q832" s="19" t="s">
        <v>395</v>
      </c>
      <c r="R832" s="19"/>
      <c r="S832" s="19">
        <v>10</v>
      </c>
      <c r="T832" s="19"/>
      <c r="U832" s="20">
        <f t="shared" si="112"/>
        <v>0.29700000000000004</v>
      </c>
      <c r="V832" s="19" t="s">
        <v>1362</v>
      </c>
      <c r="W832" s="19" t="s">
        <v>750</v>
      </c>
      <c r="X832" s="19"/>
      <c r="Y832" s="21">
        <v>0.27</v>
      </c>
      <c r="Z832" s="92">
        <v>1.4</v>
      </c>
      <c r="AA832" s="92">
        <v>1.58</v>
      </c>
    </row>
    <row r="833" spans="1:27" x14ac:dyDescent="0.25">
      <c r="A833" s="33">
        <f t="shared" si="110"/>
        <v>830</v>
      </c>
      <c r="B833" s="19" t="s">
        <v>1363</v>
      </c>
      <c r="C833" s="19" t="s">
        <v>1364</v>
      </c>
      <c r="D833" s="19" t="s">
        <v>1337</v>
      </c>
      <c r="E833" s="19" t="s">
        <v>1281</v>
      </c>
      <c r="F833" s="19"/>
      <c r="G833" s="19"/>
      <c r="H833" s="19"/>
      <c r="I833" s="19"/>
      <c r="J833" s="19"/>
      <c r="K833" s="19"/>
      <c r="L833" s="19"/>
      <c r="M833" s="19" t="s">
        <v>133</v>
      </c>
      <c r="N833" s="19"/>
      <c r="O833" s="19"/>
      <c r="P833" s="19"/>
      <c r="Q833" s="19" t="s">
        <v>395</v>
      </c>
      <c r="R833" s="19"/>
      <c r="S833" s="19">
        <v>10</v>
      </c>
      <c r="T833" s="19"/>
      <c r="U833" s="20">
        <f t="shared" si="112"/>
        <v>0.37400000000000005</v>
      </c>
      <c r="V833" s="19" t="s">
        <v>1365</v>
      </c>
      <c r="W833" s="19" t="s">
        <v>750</v>
      </c>
      <c r="X833" s="19"/>
      <c r="Y833" s="21">
        <v>0.34</v>
      </c>
      <c r="Z833" s="92">
        <v>1.4</v>
      </c>
      <c r="AA833" s="92">
        <v>1.58</v>
      </c>
    </row>
    <row r="834" spans="1:27" x14ac:dyDescent="0.25">
      <c r="A834" s="33">
        <f t="shared" si="110"/>
        <v>831</v>
      </c>
      <c r="B834" s="19" t="s">
        <v>1366</v>
      </c>
      <c r="C834" s="19" t="s">
        <v>1367</v>
      </c>
      <c r="D834" s="19" t="s">
        <v>1337</v>
      </c>
      <c r="E834" s="19" t="s">
        <v>1281</v>
      </c>
      <c r="F834" s="19"/>
      <c r="G834" s="19"/>
      <c r="H834" s="19"/>
      <c r="I834" s="19"/>
      <c r="J834" s="19"/>
      <c r="K834" s="19"/>
      <c r="L834" s="19"/>
      <c r="M834" s="19" t="s">
        <v>126</v>
      </c>
      <c r="N834" s="19"/>
      <c r="O834" s="19"/>
      <c r="P834" s="19"/>
      <c r="Q834" s="19" t="s">
        <v>395</v>
      </c>
      <c r="R834" s="19"/>
      <c r="S834" s="19">
        <v>10</v>
      </c>
      <c r="T834" s="19"/>
      <c r="U834" s="20">
        <f t="shared" si="112"/>
        <v>0.33</v>
      </c>
      <c r="V834" s="19" t="s">
        <v>1368</v>
      </c>
      <c r="W834" s="19" t="s">
        <v>750</v>
      </c>
      <c r="X834" s="19"/>
      <c r="Y834" s="21">
        <v>0.3</v>
      </c>
      <c r="Z834" s="92">
        <v>1.4</v>
      </c>
      <c r="AA834" s="92">
        <v>1.58</v>
      </c>
    </row>
    <row r="835" spans="1:27" x14ac:dyDescent="0.25">
      <c r="A835" s="33">
        <f t="shared" si="110"/>
        <v>832</v>
      </c>
      <c r="B835" s="19" t="s">
        <v>1369</v>
      </c>
      <c r="C835" s="19" t="s">
        <v>1370</v>
      </c>
      <c r="D835" s="19" t="s">
        <v>1337</v>
      </c>
      <c r="E835" s="19" t="s">
        <v>1281</v>
      </c>
      <c r="F835" s="19"/>
      <c r="G835" s="19"/>
      <c r="H835" s="19"/>
      <c r="I835" s="19"/>
      <c r="J835" s="19"/>
      <c r="K835" s="19"/>
      <c r="L835" s="19"/>
      <c r="M835" s="19" t="s">
        <v>171</v>
      </c>
      <c r="N835" s="19"/>
      <c r="O835" s="19"/>
      <c r="P835" s="19"/>
      <c r="Q835" s="19" t="s">
        <v>395</v>
      </c>
      <c r="R835" s="19"/>
      <c r="S835" s="19">
        <v>10</v>
      </c>
      <c r="T835" s="19"/>
      <c r="U835" s="20">
        <f t="shared" si="112"/>
        <v>0.33</v>
      </c>
      <c r="V835" s="19" t="s">
        <v>1371</v>
      </c>
      <c r="W835" s="19" t="s">
        <v>750</v>
      </c>
      <c r="X835" s="19"/>
      <c r="Y835" s="21">
        <v>0.3</v>
      </c>
      <c r="Z835" s="92">
        <v>1.4</v>
      </c>
      <c r="AA835" s="92">
        <v>1.58</v>
      </c>
    </row>
    <row r="836" spans="1:27" x14ac:dyDescent="0.25">
      <c r="A836" s="33">
        <f t="shared" si="110"/>
        <v>833</v>
      </c>
      <c r="B836" s="19" t="s">
        <v>1369</v>
      </c>
      <c r="C836" s="19" t="s">
        <v>1370</v>
      </c>
      <c r="D836" s="19" t="s">
        <v>1337</v>
      </c>
      <c r="E836" s="19" t="s">
        <v>1281</v>
      </c>
      <c r="F836" s="19"/>
      <c r="G836" s="19"/>
      <c r="H836" s="19"/>
      <c r="I836" s="19"/>
      <c r="J836" s="19"/>
      <c r="K836" s="19"/>
      <c r="L836" s="19"/>
      <c r="M836" s="19" t="s">
        <v>22</v>
      </c>
      <c r="N836" s="19"/>
      <c r="O836" s="19"/>
      <c r="P836" s="19"/>
      <c r="Q836" s="19" t="s">
        <v>395</v>
      </c>
      <c r="R836" s="19"/>
      <c r="S836" s="19">
        <v>10</v>
      </c>
      <c r="T836" s="19"/>
      <c r="U836" s="20">
        <f t="shared" si="112"/>
        <v>0.33</v>
      </c>
      <c r="V836" s="19" t="s">
        <v>1371</v>
      </c>
      <c r="W836" s="19" t="s">
        <v>750</v>
      </c>
      <c r="X836" s="19"/>
      <c r="Y836" s="21">
        <v>0.3</v>
      </c>
      <c r="Z836" s="92">
        <v>1.4</v>
      </c>
      <c r="AA836" s="92">
        <v>1.58</v>
      </c>
    </row>
    <row r="837" spans="1:27" x14ac:dyDescent="0.25">
      <c r="A837" s="33">
        <f t="shared" si="110"/>
        <v>834</v>
      </c>
      <c r="B837" s="19" t="s">
        <v>1372</v>
      </c>
      <c r="C837" s="19" t="s">
        <v>1373</v>
      </c>
      <c r="D837" s="19" t="s">
        <v>1337</v>
      </c>
      <c r="E837" s="19" t="s">
        <v>1281</v>
      </c>
      <c r="F837" s="19"/>
      <c r="G837" s="19"/>
      <c r="H837" s="19"/>
      <c r="I837" s="19"/>
      <c r="J837" s="19"/>
      <c r="K837" s="19"/>
      <c r="L837" s="19"/>
      <c r="M837" s="19" t="s">
        <v>107</v>
      </c>
      <c r="N837" s="19"/>
      <c r="O837" s="19"/>
      <c r="P837" s="19"/>
      <c r="Q837" s="19" t="s">
        <v>395</v>
      </c>
      <c r="R837" s="19"/>
      <c r="S837" s="19">
        <v>10</v>
      </c>
      <c r="T837" s="19"/>
      <c r="U837" s="20">
        <f t="shared" si="112"/>
        <v>0.37400000000000005</v>
      </c>
      <c r="V837" s="19" t="s">
        <v>1374</v>
      </c>
      <c r="W837" s="19" t="s">
        <v>750</v>
      </c>
      <c r="X837" s="19"/>
      <c r="Y837" s="21">
        <v>0.34</v>
      </c>
      <c r="Z837" s="92">
        <v>1.4</v>
      </c>
      <c r="AA837" s="92">
        <v>1.58</v>
      </c>
    </row>
    <row r="838" spans="1:27" x14ac:dyDescent="0.25">
      <c r="A838" s="33">
        <f t="shared" si="110"/>
        <v>835</v>
      </c>
      <c r="B838" s="19" t="s">
        <v>1375</v>
      </c>
      <c r="C838" s="19" t="s">
        <v>1376</v>
      </c>
      <c r="D838" s="19" t="s">
        <v>1337</v>
      </c>
      <c r="E838" s="19" t="s">
        <v>1281</v>
      </c>
      <c r="F838" s="19"/>
      <c r="G838" s="19"/>
      <c r="H838" s="19"/>
      <c r="I838" s="19"/>
      <c r="J838" s="19"/>
      <c r="K838" s="19"/>
      <c r="L838" s="19"/>
      <c r="M838" s="19" t="s">
        <v>157</v>
      </c>
      <c r="N838" s="19"/>
      <c r="O838" s="19"/>
      <c r="P838" s="19"/>
      <c r="Q838" s="19" t="s">
        <v>395</v>
      </c>
      <c r="R838" s="19"/>
      <c r="S838" s="19">
        <v>10</v>
      </c>
      <c r="T838" s="19"/>
      <c r="U838" s="20">
        <f t="shared" si="112"/>
        <v>0.33</v>
      </c>
      <c r="V838" s="19" t="s">
        <v>1377</v>
      </c>
      <c r="W838" s="19" t="s">
        <v>750</v>
      </c>
      <c r="X838" s="19"/>
      <c r="Y838" s="21">
        <v>0.3</v>
      </c>
      <c r="Z838" s="92">
        <v>1.4</v>
      </c>
      <c r="AA838" s="92">
        <v>1.58</v>
      </c>
    </row>
    <row r="839" spans="1:27" x14ac:dyDescent="0.25">
      <c r="A839" s="33">
        <f t="shared" si="110"/>
        <v>836</v>
      </c>
      <c r="B839" s="19" t="s">
        <v>1335</v>
      </c>
      <c r="C839" s="19" t="s">
        <v>1336</v>
      </c>
      <c r="D839" s="19" t="s">
        <v>1337</v>
      </c>
      <c r="E839" s="19" t="s">
        <v>299</v>
      </c>
      <c r="F839" s="19"/>
      <c r="G839" s="19"/>
      <c r="H839" s="19" t="s">
        <v>1378</v>
      </c>
      <c r="I839" s="19"/>
      <c r="J839" s="19"/>
      <c r="K839" s="19"/>
      <c r="L839" s="19"/>
      <c r="M839" s="19" t="s">
        <v>110</v>
      </c>
      <c r="N839" s="19"/>
      <c r="O839" s="19"/>
      <c r="P839" s="19"/>
      <c r="Q839" s="19" t="s">
        <v>395</v>
      </c>
      <c r="R839" s="19"/>
      <c r="S839" s="19"/>
      <c r="T839" s="19">
        <v>3</v>
      </c>
      <c r="U839" s="20">
        <f t="shared" si="112"/>
        <v>0.31900000000000001</v>
      </c>
      <c r="V839" s="19" t="s">
        <v>1338</v>
      </c>
      <c r="W839" s="19" t="s">
        <v>750</v>
      </c>
      <c r="X839" s="19"/>
      <c r="Y839" s="21">
        <v>0.28999999999999998</v>
      </c>
      <c r="Z839" s="92">
        <v>1.4</v>
      </c>
      <c r="AA839" s="92">
        <v>1.58</v>
      </c>
    </row>
    <row r="840" spans="1:27" x14ac:dyDescent="0.25">
      <c r="A840" s="33">
        <f t="shared" si="110"/>
        <v>837</v>
      </c>
      <c r="B840" s="19" t="s">
        <v>1339</v>
      </c>
      <c r="C840" s="19" t="s">
        <v>1340</v>
      </c>
      <c r="D840" s="19" t="s">
        <v>1337</v>
      </c>
      <c r="E840" s="19" t="s">
        <v>299</v>
      </c>
      <c r="F840" s="19"/>
      <c r="G840" s="19"/>
      <c r="H840" s="19" t="s">
        <v>1378</v>
      </c>
      <c r="I840" s="19"/>
      <c r="J840" s="19"/>
      <c r="K840" s="19"/>
      <c r="L840" s="19"/>
      <c r="M840" s="19" t="s">
        <v>133</v>
      </c>
      <c r="N840" s="19"/>
      <c r="O840" s="19"/>
      <c r="P840" s="19"/>
      <c r="Q840" s="19" t="s">
        <v>395</v>
      </c>
      <c r="R840" s="19"/>
      <c r="S840" s="19"/>
      <c r="T840" s="19">
        <v>3</v>
      </c>
      <c r="U840" s="20">
        <f t="shared" si="112"/>
        <v>0.29700000000000004</v>
      </c>
      <c r="V840" s="19" t="s">
        <v>1341</v>
      </c>
      <c r="W840" s="19" t="s">
        <v>750</v>
      </c>
      <c r="X840" s="19"/>
      <c r="Y840" s="21">
        <v>0.27</v>
      </c>
      <c r="Z840" s="92">
        <v>1.4</v>
      </c>
      <c r="AA840" s="92">
        <v>1.58</v>
      </c>
    </row>
    <row r="841" spans="1:27" x14ac:dyDescent="0.25">
      <c r="A841" s="33">
        <f t="shared" si="110"/>
        <v>838</v>
      </c>
      <c r="B841" s="19" t="s">
        <v>1342</v>
      </c>
      <c r="C841" s="19" t="s">
        <v>1343</v>
      </c>
      <c r="D841" s="19" t="s">
        <v>1337</v>
      </c>
      <c r="E841" s="19" t="s">
        <v>299</v>
      </c>
      <c r="F841" s="19"/>
      <c r="G841" s="19"/>
      <c r="H841" s="19" t="s">
        <v>1378</v>
      </c>
      <c r="I841" s="19"/>
      <c r="J841" s="19"/>
      <c r="K841" s="19"/>
      <c r="L841" s="19"/>
      <c r="M841" s="19" t="s">
        <v>126</v>
      </c>
      <c r="N841" s="19"/>
      <c r="O841" s="19"/>
      <c r="P841" s="19"/>
      <c r="Q841" s="19" t="s">
        <v>395</v>
      </c>
      <c r="R841" s="19"/>
      <c r="S841" s="19"/>
      <c r="T841" s="19">
        <v>3</v>
      </c>
      <c r="U841" s="20">
        <f t="shared" si="112"/>
        <v>0.29700000000000004</v>
      </c>
      <c r="V841" s="19" t="s">
        <v>1344</v>
      </c>
      <c r="W841" s="19" t="s">
        <v>750</v>
      </c>
      <c r="X841" s="19"/>
      <c r="Y841" s="21">
        <v>0.27</v>
      </c>
      <c r="Z841" s="92">
        <v>1.4</v>
      </c>
      <c r="AA841" s="92">
        <v>1.58</v>
      </c>
    </row>
    <row r="842" spans="1:27" x14ac:dyDescent="0.25">
      <c r="A842" s="33">
        <f t="shared" si="110"/>
        <v>839</v>
      </c>
      <c r="B842" s="19" t="s">
        <v>1345</v>
      </c>
      <c r="C842" s="19" t="s">
        <v>1346</v>
      </c>
      <c r="D842" s="19" t="s">
        <v>1337</v>
      </c>
      <c r="E842" s="19" t="s">
        <v>299</v>
      </c>
      <c r="F842" s="19"/>
      <c r="G842" s="19"/>
      <c r="H842" s="19" t="s">
        <v>1378</v>
      </c>
      <c r="I842" s="19"/>
      <c r="J842" s="19"/>
      <c r="K842" s="19"/>
      <c r="L842" s="19"/>
      <c r="M842" s="19" t="s">
        <v>171</v>
      </c>
      <c r="N842" s="19"/>
      <c r="O842" s="19"/>
      <c r="P842" s="19"/>
      <c r="Q842" s="19" t="s">
        <v>395</v>
      </c>
      <c r="R842" s="19"/>
      <c r="S842" s="19"/>
      <c r="T842" s="19">
        <v>3</v>
      </c>
      <c r="U842" s="20">
        <f t="shared" si="112"/>
        <v>0.29700000000000004</v>
      </c>
      <c r="V842" s="19" t="s">
        <v>1347</v>
      </c>
      <c r="W842" s="19" t="s">
        <v>750</v>
      </c>
      <c r="X842" s="19"/>
      <c r="Y842" s="21">
        <v>0.27</v>
      </c>
      <c r="Z842" s="92">
        <v>1.4</v>
      </c>
      <c r="AA842" s="92">
        <v>1.58</v>
      </c>
    </row>
    <row r="843" spans="1:27" x14ac:dyDescent="0.25">
      <c r="A843" s="33">
        <f t="shared" si="110"/>
        <v>840</v>
      </c>
      <c r="B843" s="19" t="s">
        <v>1348</v>
      </c>
      <c r="C843" s="19" t="s">
        <v>1349</v>
      </c>
      <c r="D843" s="19" t="s">
        <v>1337</v>
      </c>
      <c r="E843" s="19" t="s">
        <v>299</v>
      </c>
      <c r="F843" s="19"/>
      <c r="G843" s="19"/>
      <c r="H843" s="19" t="s">
        <v>1378</v>
      </c>
      <c r="I843" s="19"/>
      <c r="J843" s="19"/>
      <c r="K843" s="19"/>
      <c r="L843" s="19"/>
      <c r="M843" s="19" t="s">
        <v>157</v>
      </c>
      <c r="N843" s="19"/>
      <c r="O843" s="19"/>
      <c r="P843" s="19"/>
      <c r="Q843" s="19" t="s">
        <v>395</v>
      </c>
      <c r="R843" s="19"/>
      <c r="S843" s="19"/>
      <c r="T843" s="19">
        <v>3</v>
      </c>
      <c r="U843" s="20">
        <f t="shared" si="112"/>
        <v>0.31900000000000001</v>
      </c>
      <c r="V843" s="19" t="s">
        <v>1350</v>
      </c>
      <c r="W843" s="19" t="s">
        <v>750</v>
      </c>
      <c r="X843" s="19"/>
      <c r="Y843" s="21">
        <v>0.28999999999999998</v>
      </c>
      <c r="Z843" s="92">
        <v>1.4</v>
      </c>
      <c r="AA843" s="92">
        <v>1.58</v>
      </c>
    </row>
    <row r="844" spans="1:27" x14ac:dyDescent="0.25">
      <c r="A844" s="33">
        <f t="shared" si="110"/>
        <v>841</v>
      </c>
      <c r="B844" s="19" t="s">
        <v>1351</v>
      </c>
      <c r="C844" s="19" t="s">
        <v>1352</v>
      </c>
      <c r="D844" s="19" t="s">
        <v>1337</v>
      </c>
      <c r="E844" s="19" t="s">
        <v>299</v>
      </c>
      <c r="F844" s="19"/>
      <c r="G844" s="19"/>
      <c r="H844" s="19" t="s">
        <v>1378</v>
      </c>
      <c r="I844" s="19"/>
      <c r="J844" s="19"/>
      <c r="K844" s="19"/>
      <c r="L844" s="19"/>
      <c r="M844" s="19" t="s">
        <v>28</v>
      </c>
      <c r="N844" s="19"/>
      <c r="O844" s="19"/>
      <c r="P844" s="19"/>
      <c r="Q844" s="19" t="s">
        <v>395</v>
      </c>
      <c r="R844" s="19"/>
      <c r="S844" s="19"/>
      <c r="T844" s="19">
        <v>3</v>
      </c>
      <c r="U844" s="20">
        <f t="shared" si="112"/>
        <v>0.31900000000000001</v>
      </c>
      <c r="V844" s="19" t="s">
        <v>1353</v>
      </c>
      <c r="W844" s="19" t="s">
        <v>750</v>
      </c>
      <c r="X844" s="19"/>
      <c r="Y844" s="21">
        <v>0.28999999999999998</v>
      </c>
      <c r="Z844" s="92">
        <v>1.4</v>
      </c>
      <c r="AA844" s="92">
        <v>1.58</v>
      </c>
    </row>
    <row r="845" spans="1:27" x14ac:dyDescent="0.25">
      <c r="A845" s="33">
        <f t="shared" si="110"/>
        <v>842</v>
      </c>
      <c r="B845" s="19" t="s">
        <v>1354</v>
      </c>
      <c r="C845" s="19" t="s">
        <v>1355</v>
      </c>
      <c r="D845" s="19" t="s">
        <v>1337</v>
      </c>
      <c r="E845" s="19" t="s">
        <v>301</v>
      </c>
      <c r="F845" s="19"/>
      <c r="G845" s="19"/>
      <c r="H845" s="19" t="s">
        <v>1378</v>
      </c>
      <c r="I845" s="19"/>
      <c r="J845" s="19"/>
      <c r="K845" s="19"/>
      <c r="L845" s="19"/>
      <c r="M845" s="19" t="s">
        <v>28</v>
      </c>
      <c r="N845" s="19"/>
      <c r="O845" s="19"/>
      <c r="P845" s="19"/>
      <c r="Q845" s="19" t="s">
        <v>395</v>
      </c>
      <c r="R845" s="19"/>
      <c r="S845" s="19"/>
      <c r="T845" s="19">
        <v>3</v>
      </c>
      <c r="U845" s="20">
        <f t="shared" si="112"/>
        <v>0.41800000000000004</v>
      </c>
      <c r="V845" s="19" t="s">
        <v>1356</v>
      </c>
      <c r="W845" s="19" t="s">
        <v>750</v>
      </c>
      <c r="X845" s="19"/>
      <c r="Y845" s="21">
        <v>0.38</v>
      </c>
      <c r="Z845" s="92">
        <v>1.4</v>
      </c>
      <c r="AA845" s="92">
        <v>1.58</v>
      </c>
    </row>
    <row r="846" spans="1:27" x14ac:dyDescent="0.25">
      <c r="A846" s="33">
        <f t="shared" si="110"/>
        <v>843</v>
      </c>
      <c r="B846" s="19" t="s">
        <v>1357</v>
      </c>
      <c r="C846" s="19" t="s">
        <v>1358</v>
      </c>
      <c r="D846" s="19" t="s">
        <v>1337</v>
      </c>
      <c r="E846" s="19" t="s">
        <v>240</v>
      </c>
      <c r="F846" s="19"/>
      <c r="G846" s="19"/>
      <c r="H846" s="19">
        <v>6</v>
      </c>
      <c r="I846" s="19"/>
      <c r="J846" s="19"/>
      <c r="K846" s="19"/>
      <c r="L846" s="19"/>
      <c r="M846" s="19" t="s">
        <v>161</v>
      </c>
      <c r="N846" s="19"/>
      <c r="O846" s="19"/>
      <c r="P846" s="19"/>
      <c r="Q846" s="19" t="s">
        <v>395</v>
      </c>
      <c r="R846" s="19"/>
      <c r="S846" s="19"/>
      <c r="T846" s="19">
        <v>3</v>
      </c>
      <c r="U846" s="20">
        <f t="shared" si="112"/>
        <v>0.41800000000000004</v>
      </c>
      <c r="V846" s="19" t="s">
        <v>1359</v>
      </c>
      <c r="W846" s="19" t="s">
        <v>750</v>
      </c>
      <c r="X846" s="19"/>
      <c r="Y846" s="21">
        <v>0.38</v>
      </c>
      <c r="Z846" s="92">
        <v>1.4</v>
      </c>
      <c r="AA846" s="92">
        <v>1.58</v>
      </c>
    </row>
    <row r="847" spans="1:27" x14ac:dyDescent="0.25">
      <c r="A847" s="33">
        <f t="shared" si="110"/>
        <v>844</v>
      </c>
      <c r="B847" s="19" t="s">
        <v>1357</v>
      </c>
      <c r="C847" s="19" t="s">
        <v>1358</v>
      </c>
      <c r="D847" s="19" t="s">
        <v>1337</v>
      </c>
      <c r="E847" s="19" t="s">
        <v>301</v>
      </c>
      <c r="F847" s="19"/>
      <c r="G847" s="19"/>
      <c r="H847" s="19" t="s">
        <v>1378</v>
      </c>
      <c r="I847" s="19"/>
      <c r="J847" s="19"/>
      <c r="K847" s="19"/>
      <c r="L847" s="19"/>
      <c r="M847" s="19" t="s">
        <v>22</v>
      </c>
      <c r="N847" s="19"/>
      <c r="O847" s="19"/>
      <c r="P847" s="19"/>
      <c r="Q847" s="19" t="s">
        <v>395</v>
      </c>
      <c r="R847" s="19"/>
      <c r="S847" s="19"/>
      <c r="T847" s="19">
        <v>3</v>
      </c>
      <c r="U847" s="20">
        <f t="shared" si="112"/>
        <v>0.41800000000000004</v>
      </c>
      <c r="V847" s="19" t="s">
        <v>1359</v>
      </c>
      <c r="W847" s="19" t="s">
        <v>750</v>
      </c>
      <c r="X847" s="19"/>
      <c r="Y847" s="21">
        <v>0.38</v>
      </c>
      <c r="Z847" s="92">
        <v>1.4</v>
      </c>
      <c r="AA847" s="92">
        <v>1.58</v>
      </c>
    </row>
    <row r="848" spans="1:27" x14ac:dyDescent="0.25">
      <c r="A848" s="33">
        <f t="shared" si="110"/>
        <v>845</v>
      </c>
      <c r="B848" s="212" t="s">
        <v>1379</v>
      </c>
      <c r="C848" s="212"/>
      <c r="D848" s="212"/>
      <c r="E848" s="212"/>
      <c r="F848" s="212"/>
      <c r="G848" s="212"/>
      <c r="H848" s="212"/>
      <c r="I848" s="212"/>
      <c r="J848" s="212"/>
      <c r="K848" s="212"/>
      <c r="L848" s="212"/>
      <c r="M848" s="212"/>
      <c r="N848" s="212"/>
      <c r="O848" s="212"/>
      <c r="P848" s="212"/>
      <c r="Q848" s="212"/>
      <c r="R848" s="212"/>
      <c r="S848" s="212"/>
      <c r="T848" s="212"/>
      <c r="U848" s="212"/>
      <c r="V848" s="212"/>
      <c r="W848" s="211"/>
      <c r="X848" s="19"/>
      <c r="Y848" s="74"/>
      <c r="Z848" s="76"/>
      <c r="AA848" s="76"/>
    </row>
    <row r="849" spans="1:28" x14ac:dyDescent="0.25">
      <c r="A849" s="33">
        <f t="shared" si="110"/>
        <v>846</v>
      </c>
      <c r="B849" s="19" t="s">
        <v>1380</v>
      </c>
      <c r="C849" s="19" t="s">
        <v>705</v>
      </c>
      <c r="D849" s="19" t="s">
        <v>1381</v>
      </c>
      <c r="E849" s="22" t="s">
        <v>1382</v>
      </c>
      <c r="F849" s="19"/>
      <c r="G849" s="19"/>
      <c r="H849" s="19"/>
      <c r="I849" s="19"/>
      <c r="J849" s="19"/>
      <c r="K849" s="19"/>
      <c r="L849" s="19" t="s">
        <v>41</v>
      </c>
      <c r="M849" s="19" t="s">
        <v>103</v>
      </c>
      <c r="N849" s="19"/>
      <c r="O849" s="19"/>
      <c r="P849" s="19"/>
      <c r="Q849" s="19" t="s">
        <v>338</v>
      </c>
      <c r="R849" s="19"/>
      <c r="S849" s="19">
        <v>300</v>
      </c>
      <c r="T849" s="19">
        <v>1</v>
      </c>
      <c r="U849" s="20">
        <f t="shared" ref="U849" si="113">Y849*1.1</f>
        <v>1.0449999999999999</v>
      </c>
      <c r="V849" s="19" t="s">
        <v>708</v>
      </c>
      <c r="W849" s="19"/>
      <c r="X849" s="19"/>
      <c r="Y849" s="21">
        <v>0.95</v>
      </c>
      <c r="Z849" s="92">
        <v>1.4</v>
      </c>
      <c r="AA849" s="92">
        <v>1.5</v>
      </c>
    </row>
    <row r="850" spans="1:28" x14ac:dyDescent="0.25">
      <c r="A850" s="33">
        <f t="shared" ref="A850:A912" si="114">ROW()-3</f>
        <v>847</v>
      </c>
      <c r="B850" s="212" t="s">
        <v>1383</v>
      </c>
      <c r="C850" s="212"/>
      <c r="D850" s="212"/>
      <c r="E850" s="212"/>
      <c r="F850" s="212"/>
      <c r="G850" s="212"/>
      <c r="H850" s="212"/>
      <c r="I850" s="212"/>
      <c r="J850" s="212"/>
      <c r="K850" s="212"/>
      <c r="L850" s="212"/>
      <c r="M850" s="212"/>
      <c r="N850" s="212"/>
      <c r="O850" s="212"/>
      <c r="P850" s="212"/>
      <c r="Q850" s="212"/>
      <c r="R850" s="212"/>
      <c r="S850" s="212"/>
      <c r="T850" s="212"/>
      <c r="U850" s="212"/>
      <c r="V850" s="212"/>
      <c r="W850" s="212"/>
      <c r="X850" s="19"/>
      <c r="Y850" s="74"/>
      <c r="Z850" s="76"/>
      <c r="AA850" s="76"/>
    </row>
    <row r="851" spans="1:28" x14ac:dyDescent="0.25">
      <c r="A851" s="33">
        <f t="shared" si="114"/>
        <v>848</v>
      </c>
      <c r="B851" s="19" t="s">
        <v>1384</v>
      </c>
      <c r="C851" s="19" t="s">
        <v>705</v>
      </c>
      <c r="D851" s="19" t="s">
        <v>1381</v>
      </c>
      <c r="E851" s="19" t="s">
        <v>1385</v>
      </c>
      <c r="F851" s="19"/>
      <c r="G851" s="19"/>
      <c r="H851" s="19"/>
      <c r="I851" s="19"/>
      <c r="J851" s="19"/>
      <c r="K851" s="19"/>
      <c r="L851" s="19"/>
      <c r="M851" s="19" t="s">
        <v>103</v>
      </c>
      <c r="N851" s="19"/>
      <c r="O851" s="19"/>
      <c r="P851" s="19"/>
      <c r="Q851" s="19" t="s">
        <v>338</v>
      </c>
      <c r="R851" s="19"/>
      <c r="S851" s="26">
        <v>300</v>
      </c>
      <c r="T851" s="19"/>
      <c r="U851" s="20">
        <f t="shared" ref="U851:U898" si="115">Y851*1.1</f>
        <v>1.0449999999999999</v>
      </c>
      <c r="V851" s="19" t="s">
        <v>708</v>
      </c>
      <c r="W851" s="19" t="s">
        <v>750</v>
      </c>
      <c r="X851" s="19"/>
      <c r="Y851" s="21">
        <v>0.95</v>
      </c>
      <c r="Z851" s="92">
        <v>1.4</v>
      </c>
      <c r="AA851" s="92">
        <v>1.5</v>
      </c>
      <c r="AB851" s="70"/>
    </row>
    <row r="852" spans="1:28" x14ac:dyDescent="0.25">
      <c r="A852" s="33">
        <f t="shared" si="114"/>
        <v>849</v>
      </c>
      <c r="B852" s="19" t="s">
        <v>1386</v>
      </c>
      <c r="C852" s="19" t="s">
        <v>705</v>
      </c>
      <c r="D852" s="19" t="s">
        <v>1381</v>
      </c>
      <c r="E852" s="19" t="s">
        <v>1387</v>
      </c>
      <c r="F852" s="19"/>
      <c r="G852" s="19"/>
      <c r="H852" s="19"/>
      <c r="I852" s="19"/>
      <c r="J852" s="19"/>
      <c r="K852" s="19"/>
      <c r="L852" s="19"/>
      <c r="M852" s="19" t="s">
        <v>1388</v>
      </c>
      <c r="N852" s="19"/>
      <c r="O852" s="19"/>
      <c r="P852" s="19"/>
      <c r="Q852" s="19" t="s">
        <v>338</v>
      </c>
      <c r="R852" s="19"/>
      <c r="S852" s="26">
        <v>300</v>
      </c>
      <c r="T852" s="19"/>
      <c r="U852" s="20">
        <f t="shared" si="115"/>
        <v>0</v>
      </c>
      <c r="V852" s="19" t="s">
        <v>1389</v>
      </c>
      <c r="W852" s="19" t="s">
        <v>750</v>
      </c>
      <c r="X852" s="19"/>
      <c r="Y852" s="21">
        <v>0</v>
      </c>
      <c r="Z852" s="92">
        <v>1.4</v>
      </c>
      <c r="AA852" s="92">
        <v>1.5</v>
      </c>
      <c r="AB852" s="70"/>
    </row>
    <row r="853" spans="1:28" x14ac:dyDescent="0.25">
      <c r="A853" s="33">
        <f t="shared" si="114"/>
        <v>850</v>
      </c>
      <c r="B853" s="19" t="s">
        <v>1390</v>
      </c>
      <c r="C853" s="19"/>
      <c r="D853" s="19" t="s">
        <v>1391</v>
      </c>
      <c r="E853" s="19" t="s">
        <v>299</v>
      </c>
      <c r="F853" s="19"/>
      <c r="G853" s="19"/>
      <c r="H853" s="19"/>
      <c r="I853" s="19"/>
      <c r="J853" s="19"/>
      <c r="K853" s="19"/>
      <c r="L853" s="19" t="s">
        <v>1392</v>
      </c>
      <c r="M853" s="19"/>
      <c r="N853" s="19"/>
      <c r="O853" s="19"/>
      <c r="P853" s="19"/>
      <c r="Q853" s="19" t="s">
        <v>395</v>
      </c>
      <c r="R853" s="19"/>
      <c r="S853" s="19">
        <v>1</v>
      </c>
      <c r="T853" s="19"/>
      <c r="U853" s="20">
        <f t="shared" si="115"/>
        <v>0</v>
      </c>
      <c r="V853" s="19"/>
      <c r="W853" s="19" t="s">
        <v>750</v>
      </c>
      <c r="X853" s="19"/>
      <c r="Y853" s="21">
        <v>0</v>
      </c>
      <c r="Z853" s="92">
        <v>1.4</v>
      </c>
      <c r="AA853" s="92">
        <v>1.5</v>
      </c>
      <c r="AB853" s="70"/>
    </row>
    <row r="854" spans="1:28" x14ac:dyDescent="0.25">
      <c r="A854" s="33">
        <f t="shared" si="114"/>
        <v>851</v>
      </c>
      <c r="B854" s="19" t="s">
        <v>1390</v>
      </c>
      <c r="C854" s="19" t="s">
        <v>1393</v>
      </c>
      <c r="D854" s="19" t="s">
        <v>1391</v>
      </c>
      <c r="E854" s="19" t="s">
        <v>299</v>
      </c>
      <c r="F854" s="19"/>
      <c r="G854" s="19"/>
      <c r="H854" s="19"/>
      <c r="I854" s="19"/>
      <c r="J854" s="19"/>
      <c r="K854" s="19"/>
      <c r="L854" s="19" t="s">
        <v>149</v>
      </c>
      <c r="M854" s="19"/>
      <c r="N854" s="19"/>
      <c r="O854" s="19"/>
      <c r="P854" s="19"/>
      <c r="Q854" s="19" t="s">
        <v>395</v>
      </c>
      <c r="R854" s="19"/>
      <c r="S854" s="19">
        <v>1</v>
      </c>
      <c r="T854" s="19"/>
      <c r="U854" s="20">
        <f t="shared" si="115"/>
        <v>2.0350000000000001</v>
      </c>
      <c r="V854" s="19" t="s">
        <v>1394</v>
      </c>
      <c r="W854" s="19" t="s">
        <v>750</v>
      </c>
      <c r="X854" s="19"/>
      <c r="Y854" s="21">
        <v>1.85</v>
      </c>
      <c r="Z854" s="92">
        <v>1.4</v>
      </c>
      <c r="AA854" s="92">
        <v>1.86</v>
      </c>
      <c r="AB854" s="70"/>
    </row>
    <row r="855" spans="1:28" x14ac:dyDescent="0.25">
      <c r="A855" s="33">
        <f t="shared" si="114"/>
        <v>852</v>
      </c>
      <c r="B855" s="19" t="s">
        <v>1390</v>
      </c>
      <c r="C855" s="19" t="s">
        <v>1395</v>
      </c>
      <c r="D855" s="19" t="s">
        <v>1391</v>
      </c>
      <c r="E855" s="19" t="s">
        <v>299</v>
      </c>
      <c r="F855" s="19"/>
      <c r="G855" s="19"/>
      <c r="H855" s="19"/>
      <c r="I855" s="19"/>
      <c r="J855" s="19"/>
      <c r="K855" s="19"/>
      <c r="L855" s="19" t="s">
        <v>133</v>
      </c>
      <c r="M855" s="19"/>
      <c r="N855" s="19"/>
      <c r="O855" s="19"/>
      <c r="P855" s="19"/>
      <c r="Q855" s="19" t="s">
        <v>395</v>
      </c>
      <c r="R855" s="19"/>
      <c r="S855" s="19">
        <v>1</v>
      </c>
      <c r="T855" s="19"/>
      <c r="U855" s="20">
        <f t="shared" si="115"/>
        <v>1.7380000000000002</v>
      </c>
      <c r="V855" s="19" t="s">
        <v>1396</v>
      </c>
      <c r="W855" s="19" t="s">
        <v>750</v>
      </c>
      <c r="X855" s="19"/>
      <c r="Y855" s="21">
        <v>1.58</v>
      </c>
      <c r="Z855" s="92">
        <v>1.4</v>
      </c>
      <c r="AA855" s="92">
        <v>1.86</v>
      </c>
      <c r="AB855" s="70"/>
    </row>
    <row r="856" spans="1:28" x14ac:dyDescent="0.25">
      <c r="A856" s="33">
        <f t="shared" si="114"/>
        <v>853</v>
      </c>
      <c r="B856" s="19" t="s">
        <v>1390</v>
      </c>
      <c r="C856" s="19" t="s">
        <v>1397</v>
      </c>
      <c r="D856" s="19" t="s">
        <v>1391</v>
      </c>
      <c r="E856" s="19" t="s">
        <v>299</v>
      </c>
      <c r="F856" s="19"/>
      <c r="G856" s="19"/>
      <c r="H856" s="19"/>
      <c r="I856" s="19"/>
      <c r="J856" s="19"/>
      <c r="K856" s="19"/>
      <c r="L856" s="19" t="s">
        <v>118</v>
      </c>
      <c r="M856" s="19"/>
      <c r="N856" s="19"/>
      <c r="O856" s="19"/>
      <c r="P856" s="19"/>
      <c r="Q856" s="19" t="s">
        <v>395</v>
      </c>
      <c r="R856" s="19"/>
      <c r="S856" s="19">
        <v>1</v>
      </c>
      <c r="T856" s="19"/>
      <c r="U856" s="20">
        <f t="shared" si="115"/>
        <v>2.0350000000000001</v>
      </c>
      <c r="V856" s="19" t="s">
        <v>1398</v>
      </c>
      <c r="W856" s="19" t="s">
        <v>750</v>
      </c>
      <c r="X856" s="19"/>
      <c r="Y856" s="21">
        <v>1.85</v>
      </c>
      <c r="Z856" s="92">
        <v>1.4</v>
      </c>
      <c r="AA856" s="92">
        <v>1.86</v>
      </c>
      <c r="AB856" s="70"/>
    </row>
    <row r="857" spans="1:28" x14ac:dyDescent="0.25">
      <c r="A857" s="33">
        <f t="shared" si="114"/>
        <v>854</v>
      </c>
      <c r="B857" s="19" t="s">
        <v>1390</v>
      </c>
      <c r="C857" s="19"/>
      <c r="D857" s="19" t="s">
        <v>1391</v>
      </c>
      <c r="E857" s="19" t="s">
        <v>299</v>
      </c>
      <c r="F857" s="19"/>
      <c r="G857" s="19"/>
      <c r="H857" s="19"/>
      <c r="I857" s="19"/>
      <c r="J857" s="19"/>
      <c r="K857" s="19"/>
      <c r="L857" s="19" t="s">
        <v>1392</v>
      </c>
      <c r="M857" s="19"/>
      <c r="N857" s="19"/>
      <c r="O857" s="19"/>
      <c r="P857" s="19"/>
      <c r="Q857" s="19" t="s">
        <v>395</v>
      </c>
      <c r="R857" s="19"/>
      <c r="S857" s="19">
        <v>1</v>
      </c>
      <c r="T857" s="19"/>
      <c r="U857" s="20">
        <f t="shared" si="115"/>
        <v>0</v>
      </c>
      <c r="V857" s="19"/>
      <c r="W857" s="19" t="s">
        <v>750</v>
      </c>
      <c r="X857" s="19"/>
      <c r="Y857" s="21">
        <v>0</v>
      </c>
      <c r="Z857" s="92">
        <v>1.4</v>
      </c>
      <c r="AA857" s="92">
        <v>1.86</v>
      </c>
      <c r="AB857" s="70"/>
    </row>
    <row r="858" spans="1:28" x14ac:dyDescent="0.25">
      <c r="A858" s="33">
        <f t="shared" si="114"/>
        <v>855</v>
      </c>
      <c r="B858" s="19" t="s">
        <v>1390</v>
      </c>
      <c r="C858" s="19"/>
      <c r="D858" s="19" t="s">
        <v>1391</v>
      </c>
      <c r="E858" s="19" t="s">
        <v>299</v>
      </c>
      <c r="F858" s="19"/>
      <c r="G858" s="19"/>
      <c r="H858" s="19"/>
      <c r="I858" s="19"/>
      <c r="J858" s="19"/>
      <c r="K858" s="19"/>
      <c r="L858" s="19" t="s">
        <v>1392</v>
      </c>
      <c r="M858" s="19"/>
      <c r="N858" s="19"/>
      <c r="O858" s="19"/>
      <c r="P858" s="19"/>
      <c r="Q858" s="19" t="s">
        <v>395</v>
      </c>
      <c r="R858" s="19"/>
      <c r="S858" s="19">
        <v>1</v>
      </c>
      <c r="T858" s="19"/>
      <c r="U858" s="20">
        <f t="shared" si="115"/>
        <v>0</v>
      </c>
      <c r="V858" s="19"/>
      <c r="W858" s="19" t="s">
        <v>750</v>
      </c>
      <c r="X858" s="19"/>
      <c r="Y858" s="21">
        <v>0</v>
      </c>
      <c r="Z858" s="92">
        <v>1.4</v>
      </c>
      <c r="AA858" s="92">
        <v>1.86</v>
      </c>
      <c r="AB858" s="70"/>
    </row>
    <row r="859" spans="1:28" x14ac:dyDescent="0.25">
      <c r="A859" s="33">
        <f t="shared" si="114"/>
        <v>856</v>
      </c>
      <c r="B859" s="19" t="s">
        <v>1390</v>
      </c>
      <c r="C859" s="19" t="s">
        <v>1399</v>
      </c>
      <c r="D859" s="19" t="s">
        <v>1391</v>
      </c>
      <c r="E859" s="19" t="s">
        <v>299</v>
      </c>
      <c r="F859" s="19"/>
      <c r="G859" s="19"/>
      <c r="H859" s="19"/>
      <c r="I859" s="19"/>
      <c r="J859" s="19"/>
      <c r="K859" s="19"/>
      <c r="L859" s="19" t="s">
        <v>28</v>
      </c>
      <c r="M859" s="19"/>
      <c r="N859" s="19"/>
      <c r="O859" s="19"/>
      <c r="P859" s="19"/>
      <c r="Q859" s="19" t="s">
        <v>395</v>
      </c>
      <c r="R859" s="19"/>
      <c r="S859" s="19">
        <v>1</v>
      </c>
      <c r="T859" s="19"/>
      <c r="U859" s="20">
        <f t="shared" si="115"/>
        <v>1.7270000000000003</v>
      </c>
      <c r="V859" s="19" t="s">
        <v>1400</v>
      </c>
      <c r="W859" s="19" t="s">
        <v>750</v>
      </c>
      <c r="X859" s="19"/>
      <c r="Y859" s="21">
        <v>1.57</v>
      </c>
      <c r="Z859" s="92">
        <v>1.4</v>
      </c>
      <c r="AA859" s="92">
        <v>1.86</v>
      </c>
      <c r="AB859" s="70"/>
    </row>
    <row r="860" spans="1:28" x14ac:dyDescent="0.25">
      <c r="A860" s="33">
        <f t="shared" si="114"/>
        <v>857</v>
      </c>
      <c r="B860" s="19" t="s">
        <v>1390</v>
      </c>
      <c r="C860" s="19" t="s">
        <v>1401</v>
      </c>
      <c r="D860" s="19" t="s">
        <v>1391</v>
      </c>
      <c r="E860" s="19" t="s">
        <v>299</v>
      </c>
      <c r="F860" s="19"/>
      <c r="G860" s="19"/>
      <c r="H860" s="19"/>
      <c r="I860" s="19"/>
      <c r="J860" s="19"/>
      <c r="K860" s="19"/>
      <c r="L860" s="19" t="s">
        <v>22</v>
      </c>
      <c r="M860" s="19"/>
      <c r="N860" s="19"/>
      <c r="O860" s="19"/>
      <c r="P860" s="19"/>
      <c r="Q860" s="19" t="s">
        <v>395</v>
      </c>
      <c r="R860" s="19"/>
      <c r="S860" s="19">
        <v>1</v>
      </c>
      <c r="T860" s="19"/>
      <c r="U860" s="20">
        <f t="shared" si="115"/>
        <v>2.0240000000000005</v>
      </c>
      <c r="V860" s="19" t="s">
        <v>1402</v>
      </c>
      <c r="W860" s="19" t="s">
        <v>750</v>
      </c>
      <c r="X860" s="19"/>
      <c r="Y860" s="21">
        <v>1.84</v>
      </c>
      <c r="Z860" s="92">
        <v>1.4</v>
      </c>
      <c r="AA860" s="92">
        <v>1.86</v>
      </c>
      <c r="AB860" s="70"/>
    </row>
    <row r="861" spans="1:28" x14ac:dyDescent="0.25">
      <c r="A861" s="33">
        <f t="shared" si="114"/>
        <v>858</v>
      </c>
      <c r="B861" s="19" t="s">
        <v>1403</v>
      </c>
      <c r="C861" s="19"/>
      <c r="D861" s="19" t="s">
        <v>1391</v>
      </c>
      <c r="E861" s="19" t="s">
        <v>299</v>
      </c>
      <c r="F861" s="19"/>
      <c r="G861" s="19"/>
      <c r="H861" s="19" t="s">
        <v>1378</v>
      </c>
      <c r="I861" s="19"/>
      <c r="J861" s="19"/>
      <c r="K861" s="19"/>
      <c r="L861" s="19" t="s">
        <v>1392</v>
      </c>
      <c r="M861" s="19"/>
      <c r="N861" s="19"/>
      <c r="O861" s="19"/>
      <c r="P861" s="19"/>
      <c r="Q861" s="19" t="s">
        <v>395</v>
      </c>
      <c r="R861" s="19"/>
      <c r="S861" s="19"/>
      <c r="T861" s="19">
        <v>1</v>
      </c>
      <c r="U861" s="20">
        <f t="shared" si="115"/>
        <v>0</v>
      </c>
      <c r="V861" s="19"/>
      <c r="W861" s="19" t="s">
        <v>750</v>
      </c>
      <c r="X861" s="19"/>
      <c r="Y861" s="21">
        <v>0</v>
      </c>
      <c r="Z861" s="92">
        <v>1.4</v>
      </c>
      <c r="AA861" s="92">
        <v>1.86</v>
      </c>
      <c r="AB861" s="70"/>
    </row>
    <row r="862" spans="1:28" x14ac:dyDescent="0.25">
      <c r="A862" s="33">
        <f t="shared" si="114"/>
        <v>859</v>
      </c>
      <c r="B862" s="19" t="s">
        <v>1403</v>
      </c>
      <c r="C862" s="19" t="s">
        <v>1404</v>
      </c>
      <c r="D862" s="19" t="s">
        <v>1391</v>
      </c>
      <c r="E862" s="19" t="s">
        <v>299</v>
      </c>
      <c r="F862" s="19"/>
      <c r="G862" s="19"/>
      <c r="H862" s="19" t="s">
        <v>1378</v>
      </c>
      <c r="I862" s="19"/>
      <c r="J862" s="19"/>
      <c r="K862" s="19"/>
      <c r="L862" s="19" t="s">
        <v>149</v>
      </c>
      <c r="M862" s="19"/>
      <c r="N862" s="19"/>
      <c r="O862" s="19"/>
      <c r="P862" s="19"/>
      <c r="Q862" s="19" t="s">
        <v>395</v>
      </c>
      <c r="R862" s="19"/>
      <c r="S862" s="19"/>
      <c r="T862" s="19">
        <v>1</v>
      </c>
      <c r="U862" s="20">
        <f t="shared" si="115"/>
        <v>1.54</v>
      </c>
      <c r="V862" s="19" t="s">
        <v>1405</v>
      </c>
      <c r="W862" s="19" t="s">
        <v>750</v>
      </c>
      <c r="X862" s="19"/>
      <c r="Y862" s="21">
        <v>1.4</v>
      </c>
      <c r="Z862" s="92">
        <v>1.4</v>
      </c>
      <c r="AA862" s="92">
        <v>1.86</v>
      </c>
      <c r="AB862" s="70"/>
    </row>
    <row r="863" spans="1:28" x14ac:dyDescent="0.25">
      <c r="A863" s="33">
        <f t="shared" si="114"/>
        <v>860</v>
      </c>
      <c r="B863" s="19" t="s">
        <v>1403</v>
      </c>
      <c r="C863" s="19" t="s">
        <v>1406</v>
      </c>
      <c r="D863" s="19" t="s">
        <v>1391</v>
      </c>
      <c r="E863" s="19" t="s">
        <v>299</v>
      </c>
      <c r="F863" s="19"/>
      <c r="G863" s="19"/>
      <c r="H863" s="19" t="s">
        <v>1378</v>
      </c>
      <c r="I863" s="19"/>
      <c r="J863" s="19"/>
      <c r="K863" s="19"/>
      <c r="L863" s="19" t="s">
        <v>133</v>
      </c>
      <c r="M863" s="19"/>
      <c r="N863" s="19"/>
      <c r="O863" s="19"/>
      <c r="P863" s="19"/>
      <c r="Q863" s="19" t="s">
        <v>395</v>
      </c>
      <c r="R863" s="19"/>
      <c r="S863" s="19"/>
      <c r="T863" s="19">
        <v>1</v>
      </c>
      <c r="U863" s="20">
        <f t="shared" si="115"/>
        <v>1.54</v>
      </c>
      <c r="V863" s="19" t="s">
        <v>1407</v>
      </c>
      <c r="W863" s="19" t="s">
        <v>750</v>
      </c>
      <c r="X863" s="19"/>
      <c r="Y863" s="21">
        <v>1.4</v>
      </c>
      <c r="Z863" s="92">
        <v>1.4</v>
      </c>
      <c r="AA863" s="92">
        <v>1.86</v>
      </c>
      <c r="AB863" s="70"/>
    </row>
    <row r="864" spans="1:28" x14ac:dyDescent="0.25">
      <c r="A864" s="33">
        <f t="shared" si="114"/>
        <v>861</v>
      </c>
      <c r="B864" s="19" t="s">
        <v>1403</v>
      </c>
      <c r="C864" s="19" t="s">
        <v>1408</v>
      </c>
      <c r="D864" s="19" t="s">
        <v>1391</v>
      </c>
      <c r="E864" s="19" t="s">
        <v>299</v>
      </c>
      <c r="F864" s="19"/>
      <c r="G864" s="19"/>
      <c r="H864" s="19" t="s">
        <v>1378</v>
      </c>
      <c r="I864" s="19"/>
      <c r="J864" s="19"/>
      <c r="K864" s="19"/>
      <c r="L864" s="19" t="s">
        <v>118</v>
      </c>
      <c r="M864" s="19"/>
      <c r="N864" s="19"/>
      <c r="O864" s="19"/>
      <c r="P864" s="19"/>
      <c r="Q864" s="19" t="s">
        <v>395</v>
      </c>
      <c r="R864" s="19"/>
      <c r="S864" s="19"/>
      <c r="T864" s="19">
        <v>1</v>
      </c>
      <c r="U864" s="20">
        <f t="shared" si="115"/>
        <v>1.54</v>
      </c>
      <c r="V864" s="19" t="s">
        <v>1409</v>
      </c>
      <c r="W864" s="19" t="s">
        <v>750</v>
      </c>
      <c r="X864" s="19"/>
      <c r="Y864" s="21">
        <v>1.4</v>
      </c>
      <c r="Z864" s="92">
        <v>1.4</v>
      </c>
      <c r="AA864" s="92">
        <v>1.86</v>
      </c>
      <c r="AB864" s="70"/>
    </row>
    <row r="865" spans="1:28" x14ac:dyDescent="0.25">
      <c r="A865" s="33">
        <f t="shared" si="114"/>
        <v>862</v>
      </c>
      <c r="B865" s="19" t="s">
        <v>1403</v>
      </c>
      <c r="C865" s="19"/>
      <c r="D865" s="19" t="s">
        <v>1391</v>
      </c>
      <c r="E865" s="19" t="s">
        <v>299</v>
      </c>
      <c r="F865" s="19"/>
      <c r="G865" s="19"/>
      <c r="H865" s="19" t="s">
        <v>1378</v>
      </c>
      <c r="I865" s="19"/>
      <c r="J865" s="19"/>
      <c r="K865" s="19"/>
      <c r="L865" s="19" t="s">
        <v>1392</v>
      </c>
      <c r="M865" s="19"/>
      <c r="N865" s="19"/>
      <c r="O865" s="19"/>
      <c r="P865" s="19"/>
      <c r="Q865" s="19" t="s">
        <v>395</v>
      </c>
      <c r="R865" s="19"/>
      <c r="S865" s="19"/>
      <c r="T865" s="19">
        <v>1</v>
      </c>
      <c r="U865" s="20">
        <f t="shared" si="115"/>
        <v>0</v>
      </c>
      <c r="V865" s="19"/>
      <c r="W865" s="19" t="s">
        <v>750</v>
      </c>
      <c r="X865" s="19"/>
      <c r="Y865" s="21">
        <v>0</v>
      </c>
      <c r="Z865" s="92">
        <v>1.4</v>
      </c>
      <c r="AA865" s="92">
        <v>1.86</v>
      </c>
      <c r="AB865" s="70"/>
    </row>
    <row r="866" spans="1:28" x14ac:dyDescent="0.25">
      <c r="A866" s="33">
        <f t="shared" si="114"/>
        <v>863</v>
      </c>
      <c r="B866" s="19" t="s">
        <v>1403</v>
      </c>
      <c r="C866" s="19"/>
      <c r="D866" s="19" t="s">
        <v>1391</v>
      </c>
      <c r="E866" s="19" t="s">
        <v>299</v>
      </c>
      <c r="F866" s="19"/>
      <c r="G866" s="19"/>
      <c r="H866" s="19" t="s">
        <v>1378</v>
      </c>
      <c r="I866" s="19"/>
      <c r="J866" s="19"/>
      <c r="K866" s="19"/>
      <c r="L866" s="19" t="s">
        <v>1392</v>
      </c>
      <c r="M866" s="19"/>
      <c r="N866" s="19"/>
      <c r="O866" s="19"/>
      <c r="P866" s="19"/>
      <c r="Q866" s="19" t="s">
        <v>395</v>
      </c>
      <c r="R866" s="19"/>
      <c r="S866" s="19"/>
      <c r="T866" s="19">
        <v>1</v>
      </c>
      <c r="U866" s="20">
        <f t="shared" si="115"/>
        <v>0</v>
      </c>
      <c r="V866" s="19"/>
      <c r="W866" s="19" t="s">
        <v>750</v>
      </c>
      <c r="X866" s="19"/>
      <c r="Y866" s="21">
        <v>0</v>
      </c>
      <c r="Z866" s="92">
        <v>1.4</v>
      </c>
      <c r="AA866" s="92">
        <v>1.86</v>
      </c>
      <c r="AB866" s="70"/>
    </row>
    <row r="867" spans="1:28" x14ac:dyDescent="0.25">
      <c r="A867" s="33">
        <f t="shared" si="114"/>
        <v>864</v>
      </c>
      <c r="B867" s="19" t="s">
        <v>1403</v>
      </c>
      <c r="C867" s="19" t="s">
        <v>1410</v>
      </c>
      <c r="D867" s="19" t="s">
        <v>1391</v>
      </c>
      <c r="E867" s="19" t="s">
        <v>299</v>
      </c>
      <c r="F867" s="19"/>
      <c r="G867" s="19"/>
      <c r="H867" s="19" t="s">
        <v>1378</v>
      </c>
      <c r="I867" s="19"/>
      <c r="J867" s="19"/>
      <c r="K867" s="19"/>
      <c r="L867" s="19" t="s">
        <v>28</v>
      </c>
      <c r="M867" s="19"/>
      <c r="N867" s="19"/>
      <c r="O867" s="19"/>
      <c r="P867" s="19"/>
      <c r="Q867" s="19" t="s">
        <v>395</v>
      </c>
      <c r="R867" s="19"/>
      <c r="S867" s="19"/>
      <c r="T867" s="19">
        <v>1</v>
      </c>
      <c r="U867" s="20">
        <f t="shared" si="115"/>
        <v>0.49500000000000005</v>
      </c>
      <c r="V867" s="19" t="s">
        <v>1411</v>
      </c>
      <c r="W867" s="19" t="s">
        <v>750</v>
      </c>
      <c r="X867" s="19"/>
      <c r="Y867" s="21">
        <v>0.45</v>
      </c>
      <c r="Z867" s="92">
        <v>1.4</v>
      </c>
      <c r="AA867" s="92">
        <v>1.86</v>
      </c>
      <c r="AB867" s="70"/>
    </row>
    <row r="868" spans="1:28" x14ac:dyDescent="0.25">
      <c r="A868" s="33">
        <f t="shared" si="114"/>
        <v>865</v>
      </c>
      <c r="B868" s="19" t="s">
        <v>1403</v>
      </c>
      <c r="C868" s="19" t="s">
        <v>1412</v>
      </c>
      <c r="D868" s="19" t="s">
        <v>1391</v>
      </c>
      <c r="E868" s="19" t="s">
        <v>299</v>
      </c>
      <c r="F868" s="19"/>
      <c r="G868" s="19"/>
      <c r="H868" s="19" t="s">
        <v>1378</v>
      </c>
      <c r="I868" s="19"/>
      <c r="J868" s="19"/>
      <c r="K868" s="19"/>
      <c r="L868" s="19" t="s">
        <v>22</v>
      </c>
      <c r="M868" s="19"/>
      <c r="N868" s="19"/>
      <c r="O868" s="19"/>
      <c r="P868" s="19"/>
      <c r="Q868" s="19" t="s">
        <v>395</v>
      </c>
      <c r="R868" s="19"/>
      <c r="S868" s="19"/>
      <c r="T868" s="19">
        <v>1</v>
      </c>
      <c r="U868" s="20">
        <f t="shared" si="115"/>
        <v>0.49500000000000005</v>
      </c>
      <c r="V868" s="19" t="s">
        <v>1413</v>
      </c>
      <c r="W868" s="19" t="s">
        <v>750</v>
      </c>
      <c r="X868" s="19"/>
      <c r="Y868" s="21">
        <v>0.45</v>
      </c>
      <c r="Z868" s="92">
        <v>1.4</v>
      </c>
      <c r="AA868" s="92">
        <v>1.86</v>
      </c>
      <c r="AB868" s="70"/>
    </row>
    <row r="869" spans="1:28" x14ac:dyDescent="0.25">
      <c r="A869" s="33">
        <f t="shared" si="114"/>
        <v>866</v>
      </c>
      <c r="B869" s="19" t="s">
        <v>1414</v>
      </c>
      <c r="C869" s="19"/>
      <c r="D869" s="19" t="s">
        <v>1391</v>
      </c>
      <c r="E869" s="19" t="s">
        <v>301</v>
      </c>
      <c r="F869" s="19"/>
      <c r="G869" s="19"/>
      <c r="H869" s="19"/>
      <c r="I869" s="19"/>
      <c r="J869" s="19"/>
      <c r="K869" s="19"/>
      <c r="L869" s="19" t="s">
        <v>1392</v>
      </c>
      <c r="M869" s="19"/>
      <c r="N869" s="19"/>
      <c r="O869" s="19"/>
      <c r="P869" s="19"/>
      <c r="Q869" s="19" t="s">
        <v>395</v>
      </c>
      <c r="R869" s="19"/>
      <c r="S869" s="19">
        <v>1</v>
      </c>
      <c r="T869" s="19"/>
      <c r="U869" s="20">
        <f t="shared" si="115"/>
        <v>0</v>
      </c>
      <c r="V869" s="19"/>
      <c r="W869" s="19" t="s">
        <v>750</v>
      </c>
      <c r="X869" s="19"/>
      <c r="Y869" s="21">
        <v>0</v>
      </c>
      <c r="Z869" s="92">
        <v>1.4</v>
      </c>
      <c r="AA869" s="92">
        <v>1.86</v>
      </c>
      <c r="AB869" s="70"/>
    </row>
    <row r="870" spans="1:28" x14ac:dyDescent="0.25">
      <c r="A870" s="33">
        <f t="shared" si="114"/>
        <v>867</v>
      </c>
      <c r="B870" s="19" t="s">
        <v>1414</v>
      </c>
      <c r="C870" s="19" t="s">
        <v>1415</v>
      </c>
      <c r="D870" s="19" t="s">
        <v>1391</v>
      </c>
      <c r="E870" s="19" t="s">
        <v>301</v>
      </c>
      <c r="F870" s="19"/>
      <c r="G870" s="19"/>
      <c r="H870" s="19"/>
      <c r="I870" s="19"/>
      <c r="J870" s="19"/>
      <c r="K870" s="19"/>
      <c r="L870" s="19" t="s">
        <v>149</v>
      </c>
      <c r="M870" s="19"/>
      <c r="N870" s="19"/>
      <c r="O870" s="19"/>
      <c r="P870" s="19"/>
      <c r="Q870" s="19" t="s">
        <v>395</v>
      </c>
      <c r="R870" s="19"/>
      <c r="S870" s="19">
        <v>1</v>
      </c>
      <c r="T870" s="19"/>
      <c r="U870" s="20">
        <f t="shared" si="115"/>
        <v>1.7820000000000003</v>
      </c>
      <c r="V870" s="19" t="s">
        <v>1416</v>
      </c>
      <c r="W870" s="19" t="s">
        <v>750</v>
      </c>
      <c r="X870" s="19"/>
      <c r="Y870" s="21">
        <v>1.62</v>
      </c>
      <c r="Z870" s="92">
        <v>1.4</v>
      </c>
      <c r="AA870" s="92">
        <v>1.86</v>
      </c>
      <c r="AB870" s="70"/>
    </row>
    <row r="871" spans="1:28" x14ac:dyDescent="0.25">
      <c r="A871" s="33">
        <f t="shared" si="114"/>
        <v>868</v>
      </c>
      <c r="B871" s="19" t="s">
        <v>1414</v>
      </c>
      <c r="C871" s="19" t="s">
        <v>1417</v>
      </c>
      <c r="D871" s="19" t="s">
        <v>1391</v>
      </c>
      <c r="E871" s="19" t="s">
        <v>301</v>
      </c>
      <c r="F871" s="19"/>
      <c r="G871" s="19"/>
      <c r="H871" s="19"/>
      <c r="I871" s="19"/>
      <c r="J871" s="19"/>
      <c r="K871" s="19"/>
      <c r="L871" s="19" t="s">
        <v>133</v>
      </c>
      <c r="M871" s="19"/>
      <c r="N871" s="19"/>
      <c r="O871" s="19"/>
      <c r="P871" s="19"/>
      <c r="Q871" s="19" t="s">
        <v>395</v>
      </c>
      <c r="R871" s="19"/>
      <c r="S871" s="19">
        <v>1</v>
      </c>
      <c r="T871" s="19"/>
      <c r="U871" s="20">
        <f t="shared" si="115"/>
        <v>2.5410000000000004</v>
      </c>
      <c r="V871" s="19" t="s">
        <v>1418</v>
      </c>
      <c r="W871" s="19" t="s">
        <v>750</v>
      </c>
      <c r="X871" s="19"/>
      <c r="Y871" s="21">
        <v>2.31</v>
      </c>
      <c r="Z871" s="92">
        <v>1.4</v>
      </c>
      <c r="AA871" s="92">
        <v>1.86</v>
      </c>
      <c r="AB871" s="70"/>
    </row>
    <row r="872" spans="1:28" x14ac:dyDescent="0.25">
      <c r="A872" s="33">
        <f t="shared" si="114"/>
        <v>869</v>
      </c>
      <c r="B872" s="19" t="s">
        <v>1414</v>
      </c>
      <c r="C872" s="19" t="s">
        <v>1419</v>
      </c>
      <c r="D872" s="19" t="s">
        <v>1391</v>
      </c>
      <c r="E872" s="19" t="s">
        <v>301</v>
      </c>
      <c r="F872" s="19"/>
      <c r="G872" s="19"/>
      <c r="H872" s="19"/>
      <c r="I872" s="19"/>
      <c r="J872" s="19"/>
      <c r="K872" s="19"/>
      <c r="L872" s="19" t="s">
        <v>118</v>
      </c>
      <c r="M872" s="19"/>
      <c r="N872" s="19"/>
      <c r="O872" s="19"/>
      <c r="P872" s="19"/>
      <c r="Q872" s="19" t="s">
        <v>395</v>
      </c>
      <c r="R872" s="19"/>
      <c r="S872" s="19">
        <v>1</v>
      </c>
      <c r="T872" s="19"/>
      <c r="U872" s="20">
        <f t="shared" si="115"/>
        <v>2.2549999999999999</v>
      </c>
      <c r="V872" s="19" t="s">
        <v>1420</v>
      </c>
      <c r="W872" s="19" t="s">
        <v>750</v>
      </c>
      <c r="X872" s="19"/>
      <c r="Y872" s="21">
        <v>2.0499999999999998</v>
      </c>
      <c r="Z872" s="92">
        <v>1.4</v>
      </c>
      <c r="AA872" s="92">
        <v>1.86</v>
      </c>
      <c r="AB872" s="70"/>
    </row>
    <row r="873" spans="1:28" x14ac:dyDescent="0.25">
      <c r="A873" s="33">
        <f t="shared" si="114"/>
        <v>870</v>
      </c>
      <c r="B873" s="19" t="s">
        <v>1414</v>
      </c>
      <c r="C873" s="19"/>
      <c r="D873" s="19" t="s">
        <v>1391</v>
      </c>
      <c r="E873" s="19" t="s">
        <v>301</v>
      </c>
      <c r="F873" s="19"/>
      <c r="G873" s="19"/>
      <c r="H873" s="19"/>
      <c r="I873" s="19"/>
      <c r="J873" s="19"/>
      <c r="K873" s="19"/>
      <c r="L873" s="19" t="s">
        <v>1392</v>
      </c>
      <c r="M873" s="19"/>
      <c r="N873" s="19"/>
      <c r="O873" s="19"/>
      <c r="P873" s="19"/>
      <c r="Q873" s="19" t="s">
        <v>395</v>
      </c>
      <c r="R873" s="19"/>
      <c r="S873" s="19">
        <v>1</v>
      </c>
      <c r="T873" s="19"/>
      <c r="U873" s="20">
        <f t="shared" si="115"/>
        <v>0</v>
      </c>
      <c r="V873" s="19"/>
      <c r="W873" s="19" t="s">
        <v>750</v>
      </c>
      <c r="X873" s="19"/>
      <c r="Y873" s="21">
        <v>0</v>
      </c>
      <c r="Z873" s="92">
        <v>1.4</v>
      </c>
      <c r="AA873" s="92">
        <v>1.86</v>
      </c>
      <c r="AB873" s="70"/>
    </row>
    <row r="874" spans="1:28" x14ac:dyDescent="0.25">
      <c r="A874" s="33">
        <f t="shared" si="114"/>
        <v>871</v>
      </c>
      <c r="B874" s="19" t="s">
        <v>1414</v>
      </c>
      <c r="C874" s="19"/>
      <c r="D874" s="19" t="s">
        <v>1391</v>
      </c>
      <c r="E874" s="19" t="s">
        <v>301</v>
      </c>
      <c r="F874" s="19"/>
      <c r="G874" s="19"/>
      <c r="H874" s="19"/>
      <c r="I874" s="19"/>
      <c r="J874" s="19"/>
      <c r="K874" s="19"/>
      <c r="L874" s="19" t="s">
        <v>1392</v>
      </c>
      <c r="M874" s="19"/>
      <c r="N874" s="19"/>
      <c r="O874" s="19"/>
      <c r="P874" s="19"/>
      <c r="Q874" s="19" t="s">
        <v>395</v>
      </c>
      <c r="R874" s="19"/>
      <c r="S874" s="19">
        <v>1</v>
      </c>
      <c r="T874" s="19"/>
      <c r="U874" s="20">
        <f t="shared" si="115"/>
        <v>0</v>
      </c>
      <c r="V874" s="19"/>
      <c r="W874" s="19" t="s">
        <v>750</v>
      </c>
      <c r="X874" s="19"/>
      <c r="Y874" s="21">
        <v>0</v>
      </c>
      <c r="Z874" s="92">
        <v>1.4</v>
      </c>
      <c r="AA874" s="92">
        <v>1.86</v>
      </c>
      <c r="AB874" s="70"/>
    </row>
    <row r="875" spans="1:28" x14ac:dyDescent="0.25">
      <c r="A875" s="33">
        <f t="shared" si="114"/>
        <v>872</v>
      </c>
      <c r="B875" s="19" t="s">
        <v>1414</v>
      </c>
      <c r="C875" s="19" t="s">
        <v>1421</v>
      </c>
      <c r="D875" s="19" t="s">
        <v>1391</v>
      </c>
      <c r="E875" s="19" t="s">
        <v>301</v>
      </c>
      <c r="F875" s="19"/>
      <c r="G875" s="19"/>
      <c r="H875" s="19"/>
      <c r="I875" s="19"/>
      <c r="J875" s="19"/>
      <c r="K875" s="19"/>
      <c r="L875" s="19" t="s">
        <v>28</v>
      </c>
      <c r="M875" s="19"/>
      <c r="N875" s="19"/>
      <c r="O875" s="19"/>
      <c r="P875" s="19"/>
      <c r="Q875" s="19" t="s">
        <v>395</v>
      </c>
      <c r="R875" s="19"/>
      <c r="S875" s="19">
        <v>1</v>
      </c>
      <c r="T875" s="19"/>
      <c r="U875" s="20">
        <f t="shared" si="115"/>
        <v>1.9800000000000002</v>
      </c>
      <c r="V875" s="19" t="s">
        <v>1422</v>
      </c>
      <c r="W875" s="19" t="s">
        <v>750</v>
      </c>
      <c r="X875" s="19"/>
      <c r="Y875" s="21">
        <v>1.8</v>
      </c>
      <c r="Z875" s="92">
        <v>1.4</v>
      </c>
      <c r="AA875" s="92">
        <v>1.86</v>
      </c>
      <c r="AB875" s="70"/>
    </row>
    <row r="876" spans="1:28" x14ac:dyDescent="0.25">
      <c r="A876" s="33">
        <f t="shared" si="114"/>
        <v>873</v>
      </c>
      <c r="B876" s="19" t="s">
        <v>1414</v>
      </c>
      <c r="C876" s="19" t="s">
        <v>1423</v>
      </c>
      <c r="D876" s="19" t="s">
        <v>1391</v>
      </c>
      <c r="E876" s="19" t="s">
        <v>301</v>
      </c>
      <c r="F876" s="19"/>
      <c r="G876" s="19"/>
      <c r="H876" s="19"/>
      <c r="I876" s="19"/>
      <c r="J876" s="19"/>
      <c r="K876" s="19"/>
      <c r="L876" s="19" t="s">
        <v>22</v>
      </c>
      <c r="M876" s="19"/>
      <c r="N876" s="19"/>
      <c r="O876" s="19"/>
      <c r="P876" s="19"/>
      <c r="Q876" s="19" t="s">
        <v>395</v>
      </c>
      <c r="R876" s="19"/>
      <c r="S876" s="19">
        <v>1</v>
      </c>
      <c r="T876" s="19"/>
      <c r="U876" s="20">
        <f t="shared" si="115"/>
        <v>1.32</v>
      </c>
      <c r="V876" s="19" t="s">
        <v>1424</v>
      </c>
      <c r="W876" s="19" t="s">
        <v>750</v>
      </c>
      <c r="X876" s="19"/>
      <c r="Y876" s="21">
        <v>1.2</v>
      </c>
      <c r="Z876" s="92">
        <v>1.4</v>
      </c>
      <c r="AA876" s="92">
        <v>1.86</v>
      </c>
      <c r="AB876" s="70"/>
    </row>
    <row r="877" spans="1:28" x14ac:dyDescent="0.25">
      <c r="A877" s="33">
        <f t="shared" si="114"/>
        <v>874</v>
      </c>
      <c r="B877" s="19" t="s">
        <v>1425</v>
      </c>
      <c r="C877" s="19"/>
      <c r="D877" s="19" t="s">
        <v>1391</v>
      </c>
      <c r="E877" s="19" t="s">
        <v>301</v>
      </c>
      <c r="F877" s="19"/>
      <c r="G877" s="19"/>
      <c r="H877" s="19" t="s">
        <v>1378</v>
      </c>
      <c r="I877" s="19"/>
      <c r="J877" s="19"/>
      <c r="K877" s="19"/>
      <c r="L877" s="19" t="s">
        <v>1392</v>
      </c>
      <c r="M877" s="19"/>
      <c r="N877" s="19"/>
      <c r="O877" s="19"/>
      <c r="P877" s="19"/>
      <c r="Q877" s="19" t="s">
        <v>395</v>
      </c>
      <c r="R877" s="19"/>
      <c r="S877" s="19"/>
      <c r="T877" s="19">
        <v>1</v>
      </c>
      <c r="U877" s="20">
        <f t="shared" si="115"/>
        <v>0</v>
      </c>
      <c r="V877" s="19"/>
      <c r="W877" s="19" t="s">
        <v>750</v>
      </c>
      <c r="X877" s="19"/>
      <c r="Y877" s="21">
        <v>0</v>
      </c>
      <c r="Z877" s="92">
        <v>1.4</v>
      </c>
      <c r="AA877" s="92">
        <v>1.86</v>
      </c>
      <c r="AB877" s="70"/>
    </row>
    <row r="878" spans="1:28" x14ac:dyDescent="0.25">
      <c r="A878" s="33">
        <f t="shared" si="114"/>
        <v>875</v>
      </c>
      <c r="B878" s="19" t="s">
        <v>1425</v>
      </c>
      <c r="C878" s="19" t="s">
        <v>1426</v>
      </c>
      <c r="D878" s="19" t="s">
        <v>1391</v>
      </c>
      <c r="E878" s="19" t="s">
        <v>301</v>
      </c>
      <c r="F878" s="19"/>
      <c r="G878" s="19"/>
      <c r="H878" s="19" t="s">
        <v>1378</v>
      </c>
      <c r="I878" s="19"/>
      <c r="J878" s="19"/>
      <c r="K878" s="19"/>
      <c r="L878" s="19" t="s">
        <v>149</v>
      </c>
      <c r="M878" s="19"/>
      <c r="N878" s="19"/>
      <c r="O878" s="19"/>
      <c r="P878" s="19"/>
      <c r="Q878" s="19" t="s">
        <v>395</v>
      </c>
      <c r="R878" s="19"/>
      <c r="S878" s="19"/>
      <c r="T878" s="19">
        <v>1</v>
      </c>
      <c r="U878" s="20">
        <f t="shared" si="115"/>
        <v>0.71500000000000008</v>
      </c>
      <c r="V878" s="19" t="s">
        <v>1427</v>
      </c>
      <c r="W878" s="19" t="s">
        <v>750</v>
      </c>
      <c r="X878" s="19"/>
      <c r="Y878" s="21">
        <v>0.65</v>
      </c>
      <c r="Z878" s="92">
        <v>1.4</v>
      </c>
      <c r="AA878" s="92">
        <v>1.86</v>
      </c>
      <c r="AB878" s="70"/>
    </row>
    <row r="879" spans="1:28" x14ac:dyDescent="0.25">
      <c r="A879" s="33">
        <f t="shared" si="114"/>
        <v>876</v>
      </c>
      <c r="B879" s="19" t="s">
        <v>1425</v>
      </c>
      <c r="C879" s="19" t="s">
        <v>1428</v>
      </c>
      <c r="D879" s="19" t="s">
        <v>1391</v>
      </c>
      <c r="E879" s="19" t="s">
        <v>301</v>
      </c>
      <c r="F879" s="19"/>
      <c r="G879" s="19"/>
      <c r="H879" s="19" t="s">
        <v>1378</v>
      </c>
      <c r="I879" s="19"/>
      <c r="J879" s="19"/>
      <c r="K879" s="19"/>
      <c r="L879" s="19" t="s">
        <v>133</v>
      </c>
      <c r="M879" s="19"/>
      <c r="N879" s="19"/>
      <c r="O879" s="19"/>
      <c r="P879" s="19"/>
      <c r="Q879" s="19" t="s">
        <v>395</v>
      </c>
      <c r="R879" s="19"/>
      <c r="S879" s="19"/>
      <c r="T879" s="19">
        <v>1</v>
      </c>
      <c r="U879" s="20">
        <f t="shared" si="115"/>
        <v>0.71500000000000008</v>
      </c>
      <c r="V879" s="19" t="s">
        <v>1429</v>
      </c>
      <c r="W879" s="19" t="s">
        <v>750</v>
      </c>
      <c r="X879" s="19"/>
      <c r="Y879" s="21">
        <v>0.65</v>
      </c>
      <c r="Z879" s="92">
        <v>1.4</v>
      </c>
      <c r="AA879" s="92">
        <v>1.86</v>
      </c>
      <c r="AB879" s="70"/>
    </row>
    <row r="880" spans="1:28" x14ac:dyDescent="0.25">
      <c r="A880" s="33">
        <f t="shared" si="114"/>
        <v>877</v>
      </c>
      <c r="B880" s="19" t="s">
        <v>1425</v>
      </c>
      <c r="C880" s="19" t="s">
        <v>1430</v>
      </c>
      <c r="D880" s="19" t="s">
        <v>1391</v>
      </c>
      <c r="E880" s="19" t="s">
        <v>301</v>
      </c>
      <c r="F880" s="19"/>
      <c r="G880" s="19"/>
      <c r="H880" s="19" t="s">
        <v>1378</v>
      </c>
      <c r="I880" s="19"/>
      <c r="J880" s="19"/>
      <c r="K880" s="19"/>
      <c r="L880" s="19" t="s">
        <v>118</v>
      </c>
      <c r="M880" s="19"/>
      <c r="N880" s="19"/>
      <c r="O880" s="19"/>
      <c r="P880" s="19"/>
      <c r="Q880" s="19" t="s">
        <v>395</v>
      </c>
      <c r="R880" s="19"/>
      <c r="S880" s="19"/>
      <c r="T880" s="19">
        <v>1</v>
      </c>
      <c r="U880" s="20">
        <f t="shared" si="115"/>
        <v>0.66</v>
      </c>
      <c r="V880" s="19" t="s">
        <v>1431</v>
      </c>
      <c r="W880" s="19" t="s">
        <v>750</v>
      </c>
      <c r="X880" s="19"/>
      <c r="Y880" s="21">
        <v>0.6</v>
      </c>
      <c r="Z880" s="92">
        <v>1.4</v>
      </c>
      <c r="AA880" s="92">
        <v>1.86</v>
      </c>
      <c r="AB880" s="70"/>
    </row>
    <row r="881" spans="1:28" x14ac:dyDescent="0.25">
      <c r="A881" s="33">
        <f t="shared" si="114"/>
        <v>878</v>
      </c>
      <c r="B881" s="19" t="s">
        <v>1425</v>
      </c>
      <c r="C881" s="19"/>
      <c r="D881" s="19" t="s">
        <v>1391</v>
      </c>
      <c r="E881" s="19" t="s">
        <v>301</v>
      </c>
      <c r="F881" s="19"/>
      <c r="G881" s="19"/>
      <c r="H881" s="19" t="s">
        <v>1378</v>
      </c>
      <c r="I881" s="19"/>
      <c r="J881" s="19"/>
      <c r="K881" s="19"/>
      <c r="L881" s="19" t="s">
        <v>1392</v>
      </c>
      <c r="M881" s="19"/>
      <c r="N881" s="19"/>
      <c r="O881" s="19"/>
      <c r="P881" s="19"/>
      <c r="Q881" s="19" t="s">
        <v>395</v>
      </c>
      <c r="R881" s="19"/>
      <c r="S881" s="19"/>
      <c r="T881" s="19">
        <v>1</v>
      </c>
      <c r="U881" s="20">
        <f t="shared" si="115"/>
        <v>0</v>
      </c>
      <c r="V881" s="19"/>
      <c r="W881" s="19" t="s">
        <v>750</v>
      </c>
      <c r="X881" s="19"/>
      <c r="Y881" s="21">
        <v>0</v>
      </c>
      <c r="Z881" s="92">
        <v>1.4</v>
      </c>
      <c r="AA881" s="92">
        <v>1.86</v>
      </c>
      <c r="AB881" s="70"/>
    </row>
    <row r="882" spans="1:28" x14ac:dyDescent="0.25">
      <c r="A882" s="33">
        <f t="shared" si="114"/>
        <v>879</v>
      </c>
      <c r="B882" s="19" t="s">
        <v>1425</v>
      </c>
      <c r="C882" s="19"/>
      <c r="D882" s="19" t="s">
        <v>1391</v>
      </c>
      <c r="E882" s="19" t="s">
        <v>301</v>
      </c>
      <c r="F882" s="19"/>
      <c r="G882" s="19"/>
      <c r="H882" s="19" t="s">
        <v>1378</v>
      </c>
      <c r="I882" s="19"/>
      <c r="J882" s="19"/>
      <c r="K882" s="19"/>
      <c r="L882" s="19" t="s">
        <v>1392</v>
      </c>
      <c r="M882" s="19"/>
      <c r="N882" s="19"/>
      <c r="O882" s="19"/>
      <c r="P882" s="19"/>
      <c r="Q882" s="19" t="s">
        <v>395</v>
      </c>
      <c r="R882" s="19"/>
      <c r="S882" s="19"/>
      <c r="T882" s="19">
        <v>1</v>
      </c>
      <c r="U882" s="20">
        <f t="shared" si="115"/>
        <v>0</v>
      </c>
      <c r="V882" s="19"/>
      <c r="W882" s="19" t="s">
        <v>750</v>
      </c>
      <c r="X882" s="19"/>
      <c r="Y882" s="21">
        <v>0</v>
      </c>
      <c r="Z882" s="92">
        <v>1.4</v>
      </c>
      <c r="AA882" s="92">
        <v>1.86</v>
      </c>
      <c r="AB882" s="70"/>
    </row>
    <row r="883" spans="1:28" x14ac:dyDescent="0.25">
      <c r="A883" s="33">
        <f t="shared" si="114"/>
        <v>880</v>
      </c>
      <c r="B883" s="19" t="s">
        <v>1425</v>
      </c>
      <c r="C883" s="19" t="s">
        <v>1432</v>
      </c>
      <c r="D883" s="19" t="s">
        <v>1391</v>
      </c>
      <c r="E883" s="19" t="s">
        <v>301</v>
      </c>
      <c r="F883" s="19"/>
      <c r="G883" s="19"/>
      <c r="H883" s="19" t="s">
        <v>1378</v>
      </c>
      <c r="I883" s="19"/>
      <c r="J883" s="19"/>
      <c r="K883" s="19"/>
      <c r="L883" s="19" t="s">
        <v>28</v>
      </c>
      <c r="M883" s="19"/>
      <c r="N883" s="19"/>
      <c r="O883" s="19"/>
      <c r="P883" s="19"/>
      <c r="Q883" s="19" t="s">
        <v>395</v>
      </c>
      <c r="R883" s="19"/>
      <c r="S883" s="19"/>
      <c r="T883" s="19">
        <v>1</v>
      </c>
      <c r="U883" s="20">
        <f t="shared" si="115"/>
        <v>0.66</v>
      </c>
      <c r="V883" s="19" t="s">
        <v>1433</v>
      </c>
      <c r="W883" s="19" t="s">
        <v>750</v>
      </c>
      <c r="X883" s="19"/>
      <c r="Y883" s="21">
        <v>0.6</v>
      </c>
      <c r="Z883" s="92">
        <v>1.4</v>
      </c>
      <c r="AA883" s="92">
        <v>1.86</v>
      </c>
      <c r="AB883" s="70"/>
    </row>
    <row r="884" spans="1:28" x14ac:dyDescent="0.25">
      <c r="A884" s="33">
        <f t="shared" si="114"/>
        <v>881</v>
      </c>
      <c r="B884" s="19" t="s">
        <v>1425</v>
      </c>
      <c r="C884" s="19" t="s">
        <v>1434</v>
      </c>
      <c r="D884" s="19" t="s">
        <v>1391</v>
      </c>
      <c r="E884" s="19" t="s">
        <v>301</v>
      </c>
      <c r="F884" s="19"/>
      <c r="G884" s="19"/>
      <c r="H884" s="19" t="s">
        <v>1378</v>
      </c>
      <c r="I884" s="19"/>
      <c r="J884" s="19"/>
      <c r="K884" s="19"/>
      <c r="L884" s="19" t="s">
        <v>22</v>
      </c>
      <c r="M884" s="19"/>
      <c r="N884" s="19"/>
      <c r="O884" s="19"/>
      <c r="P884" s="19"/>
      <c r="Q884" s="19" t="s">
        <v>395</v>
      </c>
      <c r="R884" s="19"/>
      <c r="S884" s="19"/>
      <c r="T884" s="19">
        <v>1</v>
      </c>
      <c r="U884" s="20">
        <f t="shared" si="115"/>
        <v>0.66</v>
      </c>
      <c r="V884" s="19" t="s">
        <v>1435</v>
      </c>
      <c r="W884" s="19" t="s">
        <v>750</v>
      </c>
      <c r="X884" s="19"/>
      <c r="Y884" s="21">
        <v>0.6</v>
      </c>
      <c r="Z884" s="92">
        <v>1.4</v>
      </c>
      <c r="AA884" s="92">
        <v>1.86</v>
      </c>
      <c r="AB884" s="70"/>
    </row>
    <row r="885" spans="1:28" x14ac:dyDescent="0.25">
      <c r="A885" s="33">
        <f t="shared" si="114"/>
        <v>882</v>
      </c>
      <c r="B885" s="19" t="s">
        <v>1425</v>
      </c>
      <c r="C885" s="19"/>
      <c r="D885" s="19" t="s">
        <v>1391</v>
      </c>
      <c r="E885" s="19" t="s">
        <v>240</v>
      </c>
      <c r="F885" s="19"/>
      <c r="G885" s="19"/>
      <c r="H885" s="19">
        <v>6</v>
      </c>
      <c r="I885" s="19"/>
      <c r="J885" s="19"/>
      <c r="K885" s="19"/>
      <c r="L885" s="19" t="s">
        <v>1392</v>
      </c>
      <c r="M885" s="19" t="s">
        <v>161</v>
      </c>
      <c r="N885" s="19"/>
      <c r="O885" s="19"/>
      <c r="P885" s="19"/>
      <c r="Q885" s="19" t="s">
        <v>395</v>
      </c>
      <c r="R885" s="19"/>
      <c r="S885" s="19"/>
      <c r="T885" s="19">
        <v>1</v>
      </c>
      <c r="U885" s="20">
        <f t="shared" si="115"/>
        <v>0</v>
      </c>
      <c r="V885" s="19"/>
      <c r="W885" s="19" t="s">
        <v>750</v>
      </c>
      <c r="X885" s="19"/>
      <c r="Y885" s="21">
        <v>0</v>
      </c>
      <c r="Z885" s="92">
        <v>1.4</v>
      </c>
      <c r="AA885" s="92">
        <v>1.86</v>
      </c>
      <c r="AB885" s="70"/>
    </row>
    <row r="886" spans="1:28" x14ac:dyDescent="0.25">
      <c r="A886" s="33">
        <f t="shared" si="114"/>
        <v>883</v>
      </c>
      <c r="B886" s="19" t="s">
        <v>1425</v>
      </c>
      <c r="C886" s="19" t="s">
        <v>1426</v>
      </c>
      <c r="D886" s="19" t="s">
        <v>1391</v>
      </c>
      <c r="E886" s="19" t="s">
        <v>240</v>
      </c>
      <c r="F886" s="19"/>
      <c r="G886" s="19"/>
      <c r="H886" s="19">
        <v>6</v>
      </c>
      <c r="I886" s="19"/>
      <c r="J886" s="19"/>
      <c r="K886" s="19"/>
      <c r="L886" s="19" t="s">
        <v>149</v>
      </c>
      <c r="M886" s="19" t="s">
        <v>161</v>
      </c>
      <c r="N886" s="19"/>
      <c r="O886" s="19"/>
      <c r="P886" s="19"/>
      <c r="Q886" s="19" t="s">
        <v>395</v>
      </c>
      <c r="R886" s="19"/>
      <c r="S886" s="19"/>
      <c r="T886" s="19">
        <v>1</v>
      </c>
      <c r="U886" s="20">
        <f t="shared" si="115"/>
        <v>0.71500000000000008</v>
      </c>
      <c r="V886" s="19" t="s">
        <v>1427</v>
      </c>
      <c r="W886" s="19" t="s">
        <v>750</v>
      </c>
      <c r="X886" s="19"/>
      <c r="Y886" s="21">
        <v>0.65</v>
      </c>
      <c r="Z886" s="92">
        <v>1.4</v>
      </c>
      <c r="AA886" s="92">
        <v>1.86</v>
      </c>
      <c r="AB886" s="70"/>
    </row>
    <row r="887" spans="1:28" x14ac:dyDescent="0.25">
      <c r="A887" s="33">
        <f t="shared" si="114"/>
        <v>884</v>
      </c>
      <c r="B887" s="19" t="s">
        <v>1425</v>
      </c>
      <c r="C887" s="19" t="s">
        <v>1428</v>
      </c>
      <c r="D887" s="19" t="s">
        <v>1391</v>
      </c>
      <c r="E887" s="19" t="s">
        <v>240</v>
      </c>
      <c r="F887" s="19"/>
      <c r="G887" s="19"/>
      <c r="H887" s="19">
        <v>6</v>
      </c>
      <c r="I887" s="19"/>
      <c r="J887" s="19"/>
      <c r="K887" s="19"/>
      <c r="L887" s="19" t="s">
        <v>133</v>
      </c>
      <c r="M887" s="19" t="s">
        <v>161</v>
      </c>
      <c r="N887" s="19"/>
      <c r="O887" s="19"/>
      <c r="P887" s="19"/>
      <c r="Q887" s="19" t="s">
        <v>395</v>
      </c>
      <c r="R887" s="19"/>
      <c r="S887" s="19"/>
      <c r="T887" s="19">
        <v>1</v>
      </c>
      <c r="U887" s="20">
        <f t="shared" si="115"/>
        <v>0.71500000000000008</v>
      </c>
      <c r="V887" s="19" t="s">
        <v>1429</v>
      </c>
      <c r="W887" s="19" t="s">
        <v>750</v>
      </c>
      <c r="X887" s="19"/>
      <c r="Y887" s="21">
        <v>0.65</v>
      </c>
      <c r="Z887" s="92">
        <v>1.4</v>
      </c>
      <c r="AA887" s="92">
        <v>1.86</v>
      </c>
      <c r="AB887" s="70"/>
    </row>
    <row r="888" spans="1:28" x14ac:dyDescent="0.25">
      <c r="A888" s="33">
        <f t="shared" si="114"/>
        <v>885</v>
      </c>
      <c r="B888" s="19" t="s">
        <v>1425</v>
      </c>
      <c r="C888" s="19" t="s">
        <v>1430</v>
      </c>
      <c r="D888" s="19" t="s">
        <v>1391</v>
      </c>
      <c r="E888" s="19" t="s">
        <v>240</v>
      </c>
      <c r="F888" s="19"/>
      <c r="G888" s="19"/>
      <c r="H888" s="19">
        <v>6</v>
      </c>
      <c r="I888" s="19"/>
      <c r="J888" s="19"/>
      <c r="K888" s="19"/>
      <c r="L888" s="19" t="s">
        <v>118</v>
      </c>
      <c r="M888" s="19" t="s">
        <v>161</v>
      </c>
      <c r="N888" s="19"/>
      <c r="O888" s="19"/>
      <c r="P888" s="19"/>
      <c r="Q888" s="19" t="s">
        <v>395</v>
      </c>
      <c r="R888" s="19"/>
      <c r="S888" s="19"/>
      <c r="T888" s="19">
        <v>1</v>
      </c>
      <c r="U888" s="20">
        <f t="shared" si="115"/>
        <v>0.66</v>
      </c>
      <c r="V888" s="19" t="s">
        <v>1431</v>
      </c>
      <c r="W888" s="19" t="s">
        <v>750</v>
      </c>
      <c r="X888" s="19"/>
      <c r="Y888" s="21">
        <v>0.6</v>
      </c>
      <c r="Z888" s="92">
        <v>1.4</v>
      </c>
      <c r="AA888" s="92">
        <v>1.86</v>
      </c>
      <c r="AB888" s="70"/>
    </row>
    <row r="889" spans="1:28" x14ac:dyDescent="0.25">
      <c r="A889" s="33">
        <f t="shared" si="114"/>
        <v>886</v>
      </c>
      <c r="B889" s="19" t="s">
        <v>1425</v>
      </c>
      <c r="C889" s="19"/>
      <c r="D889" s="19" t="s">
        <v>1391</v>
      </c>
      <c r="E889" s="19" t="s">
        <v>240</v>
      </c>
      <c r="F889" s="19"/>
      <c r="G889" s="19"/>
      <c r="H889" s="19">
        <v>6</v>
      </c>
      <c r="I889" s="19"/>
      <c r="J889" s="19"/>
      <c r="K889" s="19"/>
      <c r="L889" s="19" t="s">
        <v>1392</v>
      </c>
      <c r="M889" s="19" t="s">
        <v>161</v>
      </c>
      <c r="N889" s="19"/>
      <c r="O889" s="19"/>
      <c r="P889" s="19"/>
      <c r="Q889" s="19" t="s">
        <v>395</v>
      </c>
      <c r="R889" s="19"/>
      <c r="S889" s="19"/>
      <c r="T889" s="19">
        <v>1</v>
      </c>
      <c r="U889" s="20">
        <f t="shared" si="115"/>
        <v>0</v>
      </c>
      <c r="V889" s="19"/>
      <c r="W889" s="19" t="s">
        <v>750</v>
      </c>
      <c r="X889" s="19"/>
      <c r="Y889" s="21">
        <v>0</v>
      </c>
      <c r="Z889" s="92">
        <v>1.4</v>
      </c>
      <c r="AA889" s="92">
        <v>1.86</v>
      </c>
      <c r="AB889" s="70"/>
    </row>
    <row r="890" spans="1:28" x14ac:dyDescent="0.25">
      <c r="A890" s="33">
        <f t="shared" si="114"/>
        <v>887</v>
      </c>
      <c r="B890" s="19" t="s">
        <v>1425</v>
      </c>
      <c r="C890" s="19"/>
      <c r="D890" s="19" t="s">
        <v>1391</v>
      </c>
      <c r="E890" s="19" t="s">
        <v>240</v>
      </c>
      <c r="F890" s="19"/>
      <c r="G890" s="19"/>
      <c r="H890" s="19">
        <v>6</v>
      </c>
      <c r="I890" s="19"/>
      <c r="J890" s="19"/>
      <c r="K890" s="19"/>
      <c r="L890" s="19" t="s">
        <v>1392</v>
      </c>
      <c r="M890" s="19" t="s">
        <v>161</v>
      </c>
      <c r="N890" s="19"/>
      <c r="O890" s="19"/>
      <c r="P890" s="19"/>
      <c r="Q890" s="19" t="s">
        <v>395</v>
      </c>
      <c r="R890" s="19"/>
      <c r="S890" s="19"/>
      <c r="T890" s="19">
        <v>1</v>
      </c>
      <c r="U890" s="20">
        <f t="shared" si="115"/>
        <v>0</v>
      </c>
      <c r="V890" s="19"/>
      <c r="W890" s="19" t="s">
        <v>750</v>
      </c>
      <c r="X890" s="19"/>
      <c r="Y890" s="21">
        <v>0</v>
      </c>
      <c r="Z890" s="92">
        <v>1.4</v>
      </c>
      <c r="AA890" s="92">
        <v>1.86</v>
      </c>
      <c r="AB890" s="70"/>
    </row>
    <row r="891" spans="1:28" x14ac:dyDescent="0.25">
      <c r="A891" s="33">
        <f t="shared" si="114"/>
        <v>888</v>
      </c>
      <c r="B891" s="19" t="s">
        <v>1425</v>
      </c>
      <c r="C891" s="19" t="s">
        <v>1432</v>
      </c>
      <c r="D891" s="19" t="s">
        <v>1391</v>
      </c>
      <c r="E891" s="19" t="s">
        <v>240</v>
      </c>
      <c r="F891" s="19"/>
      <c r="G891" s="19"/>
      <c r="H891" s="19">
        <v>6</v>
      </c>
      <c r="I891" s="19"/>
      <c r="J891" s="19"/>
      <c r="K891" s="19"/>
      <c r="L891" s="19" t="s">
        <v>28</v>
      </c>
      <c r="M891" s="19" t="s">
        <v>161</v>
      </c>
      <c r="N891" s="19"/>
      <c r="O891" s="19"/>
      <c r="P891" s="19"/>
      <c r="Q891" s="19" t="s">
        <v>395</v>
      </c>
      <c r="R891" s="19"/>
      <c r="S891" s="19"/>
      <c r="T891" s="19">
        <v>1</v>
      </c>
      <c r="U891" s="20">
        <f t="shared" si="115"/>
        <v>0.9900000000000001</v>
      </c>
      <c r="V891" s="19" t="s">
        <v>1433</v>
      </c>
      <c r="W891" s="19" t="s">
        <v>750</v>
      </c>
      <c r="X891" s="19"/>
      <c r="Y891" s="21">
        <v>0.9</v>
      </c>
      <c r="Z891" s="92">
        <v>1.4</v>
      </c>
      <c r="AA891" s="92">
        <v>1.86</v>
      </c>
      <c r="AB891" s="70"/>
    </row>
    <row r="892" spans="1:28" x14ac:dyDescent="0.25">
      <c r="A892" s="33">
        <f t="shared" si="114"/>
        <v>889</v>
      </c>
      <c r="B892" s="19" t="s">
        <v>1425</v>
      </c>
      <c r="C892" s="19" t="s">
        <v>1434</v>
      </c>
      <c r="D892" s="19" t="s">
        <v>1391</v>
      </c>
      <c r="E892" s="19" t="s">
        <v>240</v>
      </c>
      <c r="F892" s="19"/>
      <c r="G892" s="19"/>
      <c r="H892" s="19">
        <v>6</v>
      </c>
      <c r="I892" s="19"/>
      <c r="J892" s="19"/>
      <c r="K892" s="19"/>
      <c r="L892" s="19" t="s">
        <v>22</v>
      </c>
      <c r="M892" s="19" t="s">
        <v>161</v>
      </c>
      <c r="N892" s="19"/>
      <c r="O892" s="19"/>
      <c r="P892" s="19"/>
      <c r="Q892" s="19" t="s">
        <v>395</v>
      </c>
      <c r="R892" s="19"/>
      <c r="S892" s="19"/>
      <c r="T892" s="19">
        <v>1</v>
      </c>
      <c r="U892" s="20">
        <f t="shared" si="115"/>
        <v>0.66</v>
      </c>
      <c r="V892" s="19" t="s">
        <v>1435</v>
      </c>
      <c r="W892" s="19" t="s">
        <v>750</v>
      </c>
      <c r="X892" s="19"/>
      <c r="Y892" s="21">
        <v>0.6</v>
      </c>
      <c r="Z892" s="92">
        <v>1.4</v>
      </c>
      <c r="AA892" s="92">
        <v>1.86</v>
      </c>
      <c r="AB892" s="70"/>
    </row>
    <row r="893" spans="1:28" x14ac:dyDescent="0.25">
      <c r="A893" s="33">
        <f t="shared" si="114"/>
        <v>890</v>
      </c>
      <c r="B893" s="19" t="s">
        <v>90</v>
      </c>
      <c r="C893" s="19" t="s">
        <v>1436</v>
      </c>
      <c r="D893" s="19" t="s">
        <v>1437</v>
      </c>
      <c r="E893" s="19" t="s">
        <v>240</v>
      </c>
      <c r="F893" s="19"/>
      <c r="G893" s="19"/>
      <c r="H893" s="19">
        <v>6</v>
      </c>
      <c r="I893" s="19"/>
      <c r="J893" s="19"/>
      <c r="K893" s="19"/>
      <c r="L893" s="19"/>
      <c r="M893" s="19" t="s">
        <v>161</v>
      </c>
      <c r="N893" s="19"/>
      <c r="O893" s="19"/>
      <c r="P893" s="19"/>
      <c r="Q893" s="19" t="s">
        <v>395</v>
      </c>
      <c r="R893" s="19"/>
      <c r="S893" s="19">
        <v>6</v>
      </c>
      <c r="T893" s="19">
        <v>3</v>
      </c>
      <c r="U893" s="20">
        <f t="shared" si="115"/>
        <v>0.38500000000000001</v>
      </c>
      <c r="V893" s="19" t="s">
        <v>1438</v>
      </c>
      <c r="W893" s="19" t="s">
        <v>750</v>
      </c>
      <c r="X893" s="19"/>
      <c r="Y893" s="21">
        <v>0.35</v>
      </c>
      <c r="Z893" s="92">
        <v>1.4</v>
      </c>
      <c r="AA893" s="92">
        <v>1.58</v>
      </c>
      <c r="AB893" s="70"/>
    </row>
    <row r="894" spans="1:28" x14ac:dyDescent="0.25">
      <c r="A894" s="33">
        <f t="shared" si="114"/>
        <v>891</v>
      </c>
      <c r="B894" s="19" t="s">
        <v>1439</v>
      </c>
      <c r="C894" s="19" t="s">
        <v>1440</v>
      </c>
      <c r="D894" s="19" t="s">
        <v>1441</v>
      </c>
      <c r="E894" s="19" t="s">
        <v>240</v>
      </c>
      <c r="F894" s="19"/>
      <c r="G894" s="19"/>
      <c r="H894" s="19">
        <v>6</v>
      </c>
      <c r="I894" s="19"/>
      <c r="J894" s="19"/>
      <c r="K894" s="19"/>
      <c r="L894" s="19"/>
      <c r="M894" s="19" t="s">
        <v>161</v>
      </c>
      <c r="N894" s="19"/>
      <c r="O894" s="19"/>
      <c r="P894" s="19"/>
      <c r="Q894" s="19" t="s">
        <v>395</v>
      </c>
      <c r="R894" s="19"/>
      <c r="S894" s="19">
        <v>6</v>
      </c>
      <c r="T894" s="19">
        <v>3</v>
      </c>
      <c r="U894" s="20">
        <f t="shared" si="115"/>
        <v>0.44000000000000006</v>
      </c>
      <c r="V894" s="19" t="s">
        <v>1442</v>
      </c>
      <c r="W894" s="19" t="s">
        <v>750</v>
      </c>
      <c r="X894" s="19"/>
      <c r="Y894" s="21">
        <v>0.4</v>
      </c>
      <c r="Z894" s="92">
        <v>1.4</v>
      </c>
      <c r="AA894" s="92">
        <v>1.58</v>
      </c>
      <c r="AB894" s="70"/>
    </row>
    <row r="895" spans="1:28" x14ac:dyDescent="0.25">
      <c r="A895" s="33">
        <f t="shared" si="114"/>
        <v>892</v>
      </c>
      <c r="B895" s="19" t="s">
        <v>90</v>
      </c>
      <c r="C895" s="19" t="s">
        <v>1436</v>
      </c>
      <c r="D895" s="19" t="s">
        <v>1437</v>
      </c>
      <c r="E895" s="19" t="s">
        <v>301</v>
      </c>
      <c r="F895" s="19"/>
      <c r="G895" s="19"/>
      <c r="H895" s="19" t="s">
        <v>707</v>
      </c>
      <c r="I895" s="19"/>
      <c r="J895" s="19"/>
      <c r="K895" s="19"/>
      <c r="L895" s="19"/>
      <c r="M895" s="19" t="s">
        <v>1443</v>
      </c>
      <c r="N895" s="19"/>
      <c r="O895" s="19"/>
      <c r="P895" s="19"/>
      <c r="Q895" s="19" t="s">
        <v>395</v>
      </c>
      <c r="R895" s="19"/>
      <c r="S895" s="19">
        <v>6</v>
      </c>
      <c r="T895" s="19"/>
      <c r="U895" s="20">
        <f t="shared" si="115"/>
        <v>0.38500000000000001</v>
      </c>
      <c r="V895" s="19" t="s">
        <v>1438</v>
      </c>
      <c r="W895" s="19" t="s">
        <v>750</v>
      </c>
      <c r="X895" s="19"/>
      <c r="Y895" s="21">
        <v>0.35</v>
      </c>
      <c r="Z895" s="92">
        <v>1.4</v>
      </c>
      <c r="AA895" s="92">
        <v>1.58</v>
      </c>
      <c r="AB895" s="70"/>
    </row>
    <row r="896" spans="1:28" x14ac:dyDescent="0.25">
      <c r="A896" s="33">
        <f t="shared" si="114"/>
        <v>893</v>
      </c>
      <c r="B896" s="19" t="s">
        <v>1439</v>
      </c>
      <c r="C896" s="19" t="s">
        <v>1440</v>
      </c>
      <c r="D896" s="19" t="s">
        <v>1441</v>
      </c>
      <c r="E896" s="19" t="s">
        <v>301</v>
      </c>
      <c r="F896" s="19"/>
      <c r="G896" s="19"/>
      <c r="H896" s="19" t="s">
        <v>707</v>
      </c>
      <c r="I896" s="19"/>
      <c r="J896" s="19"/>
      <c r="K896" s="19"/>
      <c r="L896" s="19"/>
      <c r="M896" s="19" t="s">
        <v>22</v>
      </c>
      <c r="N896" s="19"/>
      <c r="O896" s="19"/>
      <c r="P896" s="19"/>
      <c r="Q896" s="19" t="s">
        <v>395</v>
      </c>
      <c r="R896" s="19"/>
      <c r="S896" s="19">
        <v>6</v>
      </c>
      <c r="T896" s="19"/>
      <c r="U896" s="20">
        <f t="shared" si="115"/>
        <v>0.44000000000000006</v>
      </c>
      <c r="V896" s="19" t="s">
        <v>1442</v>
      </c>
      <c r="W896" s="19" t="s">
        <v>750</v>
      </c>
      <c r="X896" s="19"/>
      <c r="Y896" s="21">
        <v>0.4</v>
      </c>
      <c r="Z896" s="92">
        <v>1.4</v>
      </c>
      <c r="AA896" s="92">
        <v>1.58</v>
      </c>
      <c r="AB896" s="70"/>
    </row>
    <row r="897" spans="1:28" x14ac:dyDescent="0.25">
      <c r="A897" s="33">
        <f t="shared" si="114"/>
        <v>894</v>
      </c>
      <c r="B897" s="19" t="s">
        <v>90</v>
      </c>
      <c r="C897" s="19" t="s">
        <v>1436</v>
      </c>
      <c r="D897" s="19" t="s">
        <v>1437</v>
      </c>
      <c r="E897" s="19" t="s">
        <v>301</v>
      </c>
      <c r="F897" s="19"/>
      <c r="G897" s="19"/>
      <c r="H897" s="19" t="s">
        <v>1378</v>
      </c>
      <c r="I897" s="19"/>
      <c r="J897" s="19"/>
      <c r="K897" s="19"/>
      <c r="L897" s="19"/>
      <c r="M897" s="19" t="s">
        <v>1443</v>
      </c>
      <c r="N897" s="19"/>
      <c r="O897" s="19"/>
      <c r="P897" s="19"/>
      <c r="Q897" s="19" t="s">
        <v>395</v>
      </c>
      <c r="R897" s="19"/>
      <c r="S897" s="19">
        <v>6</v>
      </c>
      <c r="T897" s="19">
        <v>3</v>
      </c>
      <c r="U897" s="20">
        <f t="shared" si="115"/>
        <v>0.38500000000000001</v>
      </c>
      <c r="V897" s="19" t="s">
        <v>1438</v>
      </c>
      <c r="W897" s="19" t="s">
        <v>750</v>
      </c>
      <c r="X897" s="19"/>
      <c r="Y897" s="21">
        <v>0.35</v>
      </c>
      <c r="Z897" s="92">
        <v>1.4</v>
      </c>
      <c r="AA897" s="92">
        <v>1.58</v>
      </c>
      <c r="AB897" s="70"/>
    </row>
    <row r="898" spans="1:28" x14ac:dyDescent="0.25">
      <c r="A898" s="33">
        <f t="shared" si="114"/>
        <v>895</v>
      </c>
      <c r="B898" s="19" t="s">
        <v>1439</v>
      </c>
      <c r="C898" s="19" t="s">
        <v>1440</v>
      </c>
      <c r="D898" s="19" t="s">
        <v>1441</v>
      </c>
      <c r="E898" s="19" t="s">
        <v>301</v>
      </c>
      <c r="F898" s="19"/>
      <c r="G898" s="19"/>
      <c r="H898" s="19" t="s">
        <v>1378</v>
      </c>
      <c r="I898" s="19"/>
      <c r="J898" s="19"/>
      <c r="K898" s="19"/>
      <c r="L898" s="19"/>
      <c r="M898" s="19" t="s">
        <v>22</v>
      </c>
      <c r="N898" s="19"/>
      <c r="O898" s="19"/>
      <c r="P898" s="19"/>
      <c r="Q898" s="19" t="s">
        <v>395</v>
      </c>
      <c r="R898" s="19"/>
      <c r="S898" s="19">
        <v>6</v>
      </c>
      <c r="T898" s="19">
        <v>3</v>
      </c>
      <c r="U898" s="20">
        <f t="shared" si="115"/>
        <v>0.44000000000000006</v>
      </c>
      <c r="V898" s="19" t="s">
        <v>1444</v>
      </c>
      <c r="W898" s="19" t="s">
        <v>750</v>
      </c>
      <c r="X898" s="19"/>
      <c r="Y898" s="21">
        <v>0.4</v>
      </c>
      <c r="Z898" s="92">
        <v>1.4</v>
      </c>
      <c r="AA898" s="92">
        <v>1.58</v>
      </c>
      <c r="AB898" s="70"/>
    </row>
    <row r="899" spans="1:28" x14ac:dyDescent="0.25">
      <c r="A899" s="33">
        <f t="shared" si="114"/>
        <v>896</v>
      </c>
      <c r="B899" s="19" t="s">
        <v>1445</v>
      </c>
      <c r="C899" s="19" t="s">
        <v>1446</v>
      </c>
      <c r="D899" s="19" t="s">
        <v>1381</v>
      </c>
      <c r="E899" s="19" t="s">
        <v>1447</v>
      </c>
      <c r="F899" s="19"/>
      <c r="G899" s="19"/>
      <c r="H899" s="19"/>
      <c r="I899" s="19"/>
      <c r="J899" s="19"/>
      <c r="K899" s="19"/>
      <c r="L899" s="19" t="s">
        <v>41</v>
      </c>
      <c r="M899" s="19" t="s">
        <v>107</v>
      </c>
      <c r="N899" s="19"/>
      <c r="O899" s="19"/>
      <c r="P899" s="19"/>
      <c r="Q899" s="19" t="s">
        <v>338</v>
      </c>
      <c r="R899" s="19"/>
      <c r="S899" s="19">
        <v>300</v>
      </c>
      <c r="T899" s="19"/>
      <c r="U899" s="20">
        <f>Y899/50</f>
        <v>1.837</v>
      </c>
      <c r="V899" s="19" t="s">
        <v>1448</v>
      </c>
      <c r="W899" s="19" t="s">
        <v>750</v>
      </c>
      <c r="X899" s="19"/>
      <c r="Y899" s="21">
        <v>91.85</v>
      </c>
      <c r="Z899" s="92">
        <v>1.4</v>
      </c>
      <c r="AA899" s="92">
        <v>1.58</v>
      </c>
      <c r="AB899" s="70"/>
    </row>
    <row r="900" spans="1:28" x14ac:dyDescent="0.25">
      <c r="A900" s="33">
        <f t="shared" si="114"/>
        <v>897</v>
      </c>
      <c r="B900" s="19" t="s">
        <v>1449</v>
      </c>
      <c r="C900" s="19"/>
      <c r="D900" s="19" t="s">
        <v>1381</v>
      </c>
      <c r="E900" s="19" t="s">
        <v>1447</v>
      </c>
      <c r="F900" s="19"/>
      <c r="G900" s="19"/>
      <c r="H900" s="19"/>
      <c r="I900" s="19"/>
      <c r="J900" s="19"/>
      <c r="K900" s="19"/>
      <c r="L900" s="19" t="s">
        <v>41</v>
      </c>
      <c r="M900" s="19" t="s">
        <v>157</v>
      </c>
      <c r="N900" s="19"/>
      <c r="O900" s="19"/>
      <c r="P900" s="19"/>
      <c r="Q900" s="19" t="s">
        <v>338</v>
      </c>
      <c r="R900" s="19"/>
      <c r="S900" s="19">
        <v>300</v>
      </c>
      <c r="T900" s="19"/>
      <c r="U900" s="20">
        <f t="shared" ref="U900:U966" si="116">Y900*1.1</f>
        <v>0</v>
      </c>
      <c r="V900" s="19" t="s">
        <v>1450</v>
      </c>
      <c r="W900" s="19" t="s">
        <v>750</v>
      </c>
      <c r="X900" s="19"/>
      <c r="Y900" s="21"/>
      <c r="Z900" s="92">
        <v>1.4</v>
      </c>
      <c r="AA900" s="92"/>
      <c r="AB900" s="70"/>
    </row>
    <row r="901" spans="1:28" x14ac:dyDescent="0.25">
      <c r="A901" s="33">
        <f t="shared" si="114"/>
        <v>898</v>
      </c>
      <c r="B901" s="19" t="s">
        <v>1451</v>
      </c>
      <c r="C901" s="19"/>
      <c r="D901" s="19" t="s">
        <v>1391</v>
      </c>
      <c r="E901" s="19" t="s">
        <v>1452</v>
      </c>
      <c r="F901" s="19"/>
      <c r="G901" s="19"/>
      <c r="H901" s="19"/>
      <c r="I901" s="19"/>
      <c r="J901" s="19"/>
      <c r="K901" s="19"/>
      <c r="L901" s="19" t="s">
        <v>1392</v>
      </c>
      <c r="M901" s="19"/>
      <c r="N901" s="19"/>
      <c r="O901" s="19"/>
      <c r="P901" s="19"/>
      <c r="Q901" s="19" t="s">
        <v>395</v>
      </c>
      <c r="R901" s="19"/>
      <c r="S901" s="19">
        <v>1</v>
      </c>
      <c r="T901" s="19"/>
      <c r="U901" s="20">
        <f t="shared" si="116"/>
        <v>2.09</v>
      </c>
      <c r="V901" s="19" t="s">
        <v>1453</v>
      </c>
      <c r="W901" s="19" t="s">
        <v>750</v>
      </c>
      <c r="X901" s="19"/>
      <c r="Y901" s="21">
        <v>1.9</v>
      </c>
      <c r="Z901" s="92">
        <v>1.4</v>
      </c>
      <c r="AA901" s="92">
        <v>1.86</v>
      </c>
      <c r="AB901" s="70"/>
    </row>
    <row r="902" spans="1:28" x14ac:dyDescent="0.25">
      <c r="A902" s="33">
        <f t="shared" si="114"/>
        <v>899</v>
      </c>
      <c r="B902" s="19" t="s">
        <v>1451</v>
      </c>
      <c r="C902" s="19" t="s">
        <v>1454</v>
      </c>
      <c r="D902" s="19" t="s">
        <v>1391</v>
      </c>
      <c r="E902" s="19" t="s">
        <v>1452</v>
      </c>
      <c r="F902" s="19"/>
      <c r="G902" s="19"/>
      <c r="H902" s="19"/>
      <c r="I902" s="19"/>
      <c r="J902" s="19"/>
      <c r="K902" s="19"/>
      <c r="L902" s="19" t="s">
        <v>149</v>
      </c>
      <c r="M902" s="19"/>
      <c r="N902" s="19"/>
      <c r="O902" s="19"/>
      <c r="P902" s="19"/>
      <c r="Q902" s="19" t="s">
        <v>395</v>
      </c>
      <c r="R902" s="19"/>
      <c r="S902" s="19">
        <v>1</v>
      </c>
      <c r="T902" s="19"/>
      <c r="U902" s="20">
        <f t="shared" si="116"/>
        <v>2.09</v>
      </c>
      <c r="V902" s="19" t="s">
        <v>1453</v>
      </c>
      <c r="W902" s="19" t="s">
        <v>750</v>
      </c>
      <c r="X902" s="19"/>
      <c r="Y902" s="21">
        <v>1.9</v>
      </c>
      <c r="Z902" s="92">
        <v>1.4</v>
      </c>
      <c r="AA902" s="92">
        <v>1.86</v>
      </c>
      <c r="AB902" s="70"/>
    </row>
    <row r="903" spans="1:28" x14ac:dyDescent="0.25">
      <c r="A903" s="33">
        <f t="shared" si="114"/>
        <v>900</v>
      </c>
      <c r="B903" s="19" t="s">
        <v>1451</v>
      </c>
      <c r="C903" s="19" t="s">
        <v>1455</v>
      </c>
      <c r="D903" s="19" t="s">
        <v>1391</v>
      </c>
      <c r="E903" s="19" t="s">
        <v>1452</v>
      </c>
      <c r="F903" s="19"/>
      <c r="G903" s="19"/>
      <c r="H903" s="19"/>
      <c r="I903" s="19"/>
      <c r="J903" s="19"/>
      <c r="K903" s="19"/>
      <c r="L903" s="19" t="s">
        <v>133</v>
      </c>
      <c r="M903" s="19"/>
      <c r="N903" s="19"/>
      <c r="O903" s="19"/>
      <c r="P903" s="19"/>
      <c r="Q903" s="19" t="s">
        <v>395</v>
      </c>
      <c r="R903" s="19"/>
      <c r="S903" s="19">
        <v>1</v>
      </c>
      <c r="T903" s="19"/>
      <c r="U903" s="20">
        <f t="shared" si="116"/>
        <v>2.09</v>
      </c>
      <c r="V903" s="19" t="s">
        <v>1453</v>
      </c>
      <c r="W903" s="19" t="s">
        <v>750</v>
      </c>
      <c r="X903" s="19"/>
      <c r="Y903" s="21">
        <v>1.9</v>
      </c>
      <c r="Z903" s="92">
        <v>1.4</v>
      </c>
      <c r="AA903" s="92">
        <v>1.86</v>
      </c>
      <c r="AB903" s="70"/>
    </row>
    <row r="904" spans="1:28" x14ac:dyDescent="0.25">
      <c r="A904" s="33">
        <f t="shared" si="114"/>
        <v>901</v>
      </c>
      <c r="B904" s="19" t="s">
        <v>1451</v>
      </c>
      <c r="C904" s="19" t="s">
        <v>1456</v>
      </c>
      <c r="D904" s="19" t="s">
        <v>1391</v>
      </c>
      <c r="E904" s="19" t="s">
        <v>1452</v>
      </c>
      <c r="F904" s="19"/>
      <c r="G904" s="19"/>
      <c r="H904" s="19"/>
      <c r="I904" s="19"/>
      <c r="J904" s="19"/>
      <c r="K904" s="19"/>
      <c r="L904" s="19" t="s">
        <v>118</v>
      </c>
      <c r="M904" s="19"/>
      <c r="N904" s="19"/>
      <c r="O904" s="19"/>
      <c r="P904" s="19"/>
      <c r="Q904" s="19" t="s">
        <v>395</v>
      </c>
      <c r="R904" s="19"/>
      <c r="S904" s="19">
        <v>1</v>
      </c>
      <c r="T904" s="19"/>
      <c r="U904" s="20">
        <f t="shared" si="116"/>
        <v>2.09</v>
      </c>
      <c r="V904" s="19" t="s">
        <v>1453</v>
      </c>
      <c r="W904" s="19" t="s">
        <v>750</v>
      </c>
      <c r="X904" s="19"/>
      <c r="Y904" s="21">
        <v>1.9</v>
      </c>
      <c r="Z904" s="92">
        <v>1.4</v>
      </c>
      <c r="AA904" s="92">
        <v>1.86</v>
      </c>
      <c r="AB904" s="70"/>
    </row>
    <row r="905" spans="1:28" x14ac:dyDescent="0.25">
      <c r="A905" s="33">
        <f t="shared" si="114"/>
        <v>902</v>
      </c>
      <c r="B905" s="19" t="s">
        <v>1451</v>
      </c>
      <c r="C905" s="19"/>
      <c r="D905" s="19" t="s">
        <v>1391</v>
      </c>
      <c r="E905" s="19" t="s">
        <v>1452</v>
      </c>
      <c r="F905" s="19"/>
      <c r="G905" s="19"/>
      <c r="H905" s="19"/>
      <c r="I905" s="19"/>
      <c r="J905" s="19"/>
      <c r="K905" s="19"/>
      <c r="L905" s="19" t="s">
        <v>1392</v>
      </c>
      <c r="M905" s="19"/>
      <c r="N905" s="19"/>
      <c r="O905" s="19"/>
      <c r="P905" s="19"/>
      <c r="Q905" s="19" t="s">
        <v>395</v>
      </c>
      <c r="R905" s="19"/>
      <c r="S905" s="19">
        <v>1</v>
      </c>
      <c r="T905" s="19"/>
      <c r="U905" s="20">
        <f t="shared" si="116"/>
        <v>2.09</v>
      </c>
      <c r="V905" s="19" t="s">
        <v>1453</v>
      </c>
      <c r="W905" s="19" t="s">
        <v>750</v>
      </c>
      <c r="X905" s="19"/>
      <c r="Y905" s="21">
        <v>1.9</v>
      </c>
      <c r="Z905" s="92">
        <v>1.4</v>
      </c>
      <c r="AA905" s="92">
        <v>1.86</v>
      </c>
      <c r="AB905" s="70"/>
    </row>
    <row r="906" spans="1:28" x14ac:dyDescent="0.25">
      <c r="A906" s="33">
        <f t="shared" si="114"/>
        <v>903</v>
      </c>
      <c r="B906" s="19" t="s">
        <v>1451</v>
      </c>
      <c r="C906" s="19"/>
      <c r="D906" s="19" t="s">
        <v>1391</v>
      </c>
      <c r="E906" s="19" t="s">
        <v>1452</v>
      </c>
      <c r="F906" s="19"/>
      <c r="G906" s="19"/>
      <c r="H906" s="19"/>
      <c r="I906" s="19"/>
      <c r="J906" s="19"/>
      <c r="K906" s="19"/>
      <c r="L906" s="19" t="s">
        <v>1392</v>
      </c>
      <c r="M906" s="19"/>
      <c r="N906" s="19"/>
      <c r="O906" s="19"/>
      <c r="P906" s="19"/>
      <c r="Q906" s="19" t="s">
        <v>395</v>
      </c>
      <c r="R906" s="19"/>
      <c r="S906" s="19">
        <v>1</v>
      </c>
      <c r="T906" s="19"/>
      <c r="U906" s="20">
        <f t="shared" si="116"/>
        <v>2.09</v>
      </c>
      <c r="V906" s="19" t="s">
        <v>1453</v>
      </c>
      <c r="W906" s="19" t="s">
        <v>750</v>
      </c>
      <c r="X906" s="19"/>
      <c r="Y906" s="21">
        <v>1.9</v>
      </c>
      <c r="Z906" s="92">
        <v>1.4</v>
      </c>
      <c r="AA906" s="92">
        <v>1.86</v>
      </c>
      <c r="AB906" s="70"/>
    </row>
    <row r="907" spans="1:28" x14ac:dyDescent="0.25">
      <c r="A907" s="33">
        <f t="shared" si="114"/>
        <v>904</v>
      </c>
      <c r="B907" s="19" t="s">
        <v>1451</v>
      </c>
      <c r="C907" s="19"/>
      <c r="D907" s="19" t="s">
        <v>1391</v>
      </c>
      <c r="E907" s="19" t="s">
        <v>1452</v>
      </c>
      <c r="F907" s="19"/>
      <c r="G907" s="19"/>
      <c r="H907" s="19"/>
      <c r="I907" s="19"/>
      <c r="J907" s="19"/>
      <c r="K907" s="19"/>
      <c r="L907" s="19" t="s">
        <v>28</v>
      </c>
      <c r="M907" s="19"/>
      <c r="N907" s="19"/>
      <c r="O907" s="19"/>
      <c r="P907" s="19"/>
      <c r="Q907" s="19" t="s">
        <v>395</v>
      </c>
      <c r="R907" s="19"/>
      <c r="S907" s="19">
        <v>1</v>
      </c>
      <c r="T907" s="19"/>
      <c r="U907" s="20">
        <f t="shared" si="116"/>
        <v>2.09</v>
      </c>
      <c r="V907" s="19" t="s">
        <v>1453</v>
      </c>
      <c r="W907" s="19" t="s">
        <v>750</v>
      </c>
      <c r="X907" s="19"/>
      <c r="Y907" s="21">
        <v>1.9</v>
      </c>
      <c r="Z907" s="92">
        <v>1.4</v>
      </c>
      <c r="AA907" s="92">
        <v>1.86</v>
      </c>
      <c r="AB907" s="70"/>
    </row>
    <row r="908" spans="1:28" x14ac:dyDescent="0.25">
      <c r="A908" s="33">
        <f t="shared" si="114"/>
        <v>905</v>
      </c>
      <c r="B908" s="19" t="s">
        <v>1451</v>
      </c>
      <c r="C908" s="19" t="s">
        <v>1457</v>
      </c>
      <c r="D908" s="19" t="s">
        <v>1391</v>
      </c>
      <c r="E908" s="19" t="s">
        <v>1452</v>
      </c>
      <c r="F908" s="19"/>
      <c r="G908" s="19"/>
      <c r="H908" s="19"/>
      <c r="I908" s="19"/>
      <c r="J908" s="19"/>
      <c r="K908" s="19"/>
      <c r="L908" s="19" t="s">
        <v>22</v>
      </c>
      <c r="M908" s="19"/>
      <c r="N908" s="19"/>
      <c r="O908" s="19"/>
      <c r="P908" s="19"/>
      <c r="Q908" s="19" t="s">
        <v>395</v>
      </c>
      <c r="R908" s="19"/>
      <c r="S908" s="19">
        <v>1</v>
      </c>
      <c r="T908" s="19"/>
      <c r="U908" s="20">
        <f t="shared" si="116"/>
        <v>2.09</v>
      </c>
      <c r="V908" s="19" t="s">
        <v>1453</v>
      </c>
      <c r="W908" s="19" t="s">
        <v>750</v>
      </c>
      <c r="X908" s="19"/>
      <c r="Y908" s="21">
        <v>1.9</v>
      </c>
      <c r="Z908" s="92">
        <v>1.4</v>
      </c>
      <c r="AA908" s="92">
        <v>1.86</v>
      </c>
      <c r="AB908" s="70"/>
    </row>
    <row r="909" spans="1:28" x14ac:dyDescent="0.25">
      <c r="A909" s="33">
        <f t="shared" si="114"/>
        <v>906</v>
      </c>
      <c r="B909" s="214" t="s">
        <v>743</v>
      </c>
      <c r="C909" s="215"/>
      <c r="D909" s="215"/>
      <c r="E909" s="215"/>
      <c r="F909" s="215"/>
      <c r="G909" s="215"/>
      <c r="H909" s="215"/>
      <c r="I909" s="215"/>
      <c r="J909" s="215"/>
      <c r="K909" s="215"/>
      <c r="L909" s="215"/>
      <c r="M909" s="215"/>
      <c r="N909" s="215"/>
      <c r="O909" s="215"/>
      <c r="P909" s="215"/>
      <c r="Q909" s="215"/>
      <c r="R909" s="215"/>
      <c r="S909" s="215"/>
      <c r="T909" s="215"/>
      <c r="U909" s="215"/>
      <c r="V909" s="215"/>
      <c r="W909" s="216"/>
      <c r="Y909" s="74"/>
      <c r="Z909" s="76"/>
      <c r="AA909" s="76"/>
    </row>
    <row r="910" spans="1:28" x14ac:dyDescent="0.25">
      <c r="A910" s="33">
        <f t="shared" si="114"/>
        <v>907</v>
      </c>
      <c r="B910" s="19" t="s">
        <v>1458</v>
      </c>
      <c r="C910" s="19" t="s">
        <v>1459</v>
      </c>
      <c r="D910" s="19" t="s">
        <v>800</v>
      </c>
      <c r="E910" s="22" t="s">
        <v>1194</v>
      </c>
      <c r="F910" s="19" t="s">
        <v>161</v>
      </c>
      <c r="G910" s="19" t="s">
        <v>1460</v>
      </c>
      <c r="H910" s="19"/>
      <c r="I910" s="19"/>
      <c r="J910" s="19"/>
      <c r="K910" s="19"/>
      <c r="L910" s="19"/>
      <c r="M910" s="19"/>
      <c r="N910" s="19"/>
      <c r="O910" s="19"/>
      <c r="P910" s="19"/>
      <c r="Q910" s="19" t="s">
        <v>395</v>
      </c>
      <c r="R910" s="19"/>
      <c r="S910" s="19"/>
      <c r="T910" s="19">
        <v>1</v>
      </c>
      <c r="U910" s="20">
        <f t="shared" si="116"/>
        <v>0.66</v>
      </c>
      <c r="V910" s="19" t="s">
        <v>1461</v>
      </c>
      <c r="W910" s="19" t="s">
        <v>750</v>
      </c>
      <c r="X910" s="19"/>
      <c r="Y910" s="21">
        <v>0.6</v>
      </c>
      <c r="Z910" s="92">
        <v>2</v>
      </c>
      <c r="AA910" s="92">
        <v>1.5</v>
      </c>
    </row>
    <row r="911" spans="1:28" x14ac:dyDescent="0.25">
      <c r="A911" s="33">
        <f t="shared" si="114"/>
        <v>908</v>
      </c>
      <c r="B911" s="19" t="s">
        <v>1458</v>
      </c>
      <c r="C911" s="19" t="s">
        <v>1459</v>
      </c>
      <c r="D911" s="19" t="s">
        <v>800</v>
      </c>
      <c r="E911" s="22" t="s">
        <v>1194</v>
      </c>
      <c r="F911" s="19" t="s">
        <v>161</v>
      </c>
      <c r="G911" s="19" t="s">
        <v>1097</v>
      </c>
      <c r="H911" s="19"/>
      <c r="I911" s="19"/>
      <c r="J911" s="19"/>
      <c r="K911" s="19"/>
      <c r="L911" s="19"/>
      <c r="M911" s="19"/>
      <c r="N911" s="19"/>
      <c r="O911" s="19"/>
      <c r="P911" s="19"/>
      <c r="Q911" s="19" t="s">
        <v>395</v>
      </c>
      <c r="R911" s="19"/>
      <c r="S911" s="19"/>
      <c r="T911" s="19">
        <v>2</v>
      </c>
      <c r="U911" s="20">
        <f t="shared" si="116"/>
        <v>0.66</v>
      </c>
      <c r="V911" s="19" t="s">
        <v>1461</v>
      </c>
      <c r="W911" s="19" t="s">
        <v>750</v>
      </c>
      <c r="X911" s="19"/>
      <c r="Y911" s="21">
        <v>0.6</v>
      </c>
      <c r="Z911" s="92">
        <v>2</v>
      </c>
      <c r="AA911" s="92">
        <v>1.5</v>
      </c>
    </row>
    <row r="912" spans="1:28" x14ac:dyDescent="0.25">
      <c r="A912" s="33">
        <f t="shared" si="114"/>
        <v>909</v>
      </c>
      <c r="B912" s="19" t="s">
        <v>1462</v>
      </c>
      <c r="C912" s="19" t="s">
        <v>1463</v>
      </c>
      <c r="D912" s="19" t="s">
        <v>800</v>
      </c>
      <c r="E912" s="22" t="s">
        <v>1194</v>
      </c>
      <c r="F912" s="19" t="s">
        <v>161</v>
      </c>
      <c r="G912" s="19" t="s">
        <v>1460</v>
      </c>
      <c r="H912" s="19"/>
      <c r="I912" s="19"/>
      <c r="J912" s="19"/>
      <c r="K912" s="19"/>
      <c r="L912" s="19"/>
      <c r="M912" s="19"/>
      <c r="N912" s="19"/>
      <c r="O912" s="19"/>
      <c r="P912" s="19" t="s">
        <v>1464</v>
      </c>
      <c r="Q912" s="19" t="s">
        <v>395</v>
      </c>
      <c r="R912" s="19"/>
      <c r="S912" s="19"/>
      <c r="T912" s="19">
        <v>1</v>
      </c>
      <c r="U912" s="20">
        <f t="shared" si="116"/>
        <v>1.375</v>
      </c>
      <c r="V912" s="19" t="s">
        <v>1465</v>
      </c>
      <c r="W912" s="19" t="s">
        <v>750</v>
      </c>
      <c r="X912" s="19"/>
      <c r="Y912" s="21">
        <v>1.25</v>
      </c>
      <c r="Z912" s="92">
        <v>2</v>
      </c>
      <c r="AA912" s="92">
        <v>1.5</v>
      </c>
    </row>
    <row r="913" spans="1:27" x14ac:dyDescent="0.25">
      <c r="A913" s="33">
        <f t="shared" ref="A913:A915" si="117">ROW()-3</f>
        <v>910</v>
      </c>
      <c r="B913" s="19" t="s">
        <v>1462</v>
      </c>
      <c r="C913" s="19" t="s">
        <v>1466</v>
      </c>
      <c r="D913" s="19" t="s">
        <v>800</v>
      </c>
      <c r="E913" s="22" t="s">
        <v>1194</v>
      </c>
      <c r="F913" s="19" t="s">
        <v>161</v>
      </c>
      <c r="G913" s="19" t="s">
        <v>1460</v>
      </c>
      <c r="H913" s="19"/>
      <c r="I913" s="19"/>
      <c r="J913" s="19"/>
      <c r="K913" s="19"/>
      <c r="L913" s="19"/>
      <c r="M913" s="19"/>
      <c r="N913" s="19"/>
      <c r="O913" s="19"/>
      <c r="P913" s="19" t="s">
        <v>118</v>
      </c>
      <c r="Q913" s="19" t="s">
        <v>395</v>
      </c>
      <c r="R913" s="19"/>
      <c r="S913" s="19"/>
      <c r="T913" s="19">
        <v>1</v>
      </c>
      <c r="U913" s="20">
        <f t="shared" si="116"/>
        <v>1.375</v>
      </c>
      <c r="V913" s="19" t="s">
        <v>1467</v>
      </c>
      <c r="W913" s="19" t="s">
        <v>750</v>
      </c>
      <c r="X913" s="19"/>
      <c r="Y913" s="21">
        <v>1.25</v>
      </c>
      <c r="Z913" s="92">
        <v>2</v>
      </c>
      <c r="AA913" s="92">
        <v>1.5</v>
      </c>
    </row>
    <row r="914" spans="1:27" x14ac:dyDescent="0.25">
      <c r="A914" s="33">
        <f t="shared" si="117"/>
        <v>911</v>
      </c>
      <c r="B914" s="19" t="s">
        <v>1468</v>
      </c>
      <c r="C914" s="19"/>
      <c r="D914" s="19" t="s">
        <v>800</v>
      </c>
      <c r="E914" s="22" t="s">
        <v>394</v>
      </c>
      <c r="F914" s="19" t="s">
        <v>161</v>
      </c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 t="s">
        <v>395</v>
      </c>
      <c r="R914" s="19"/>
      <c r="S914" s="19"/>
      <c r="T914" s="19">
        <v>2</v>
      </c>
      <c r="U914" s="20">
        <f t="shared" si="116"/>
        <v>3.3000000000000003</v>
      </c>
      <c r="V914" s="19" t="s">
        <v>1469</v>
      </c>
      <c r="W914" s="19" t="s">
        <v>750</v>
      </c>
      <c r="X914" s="19"/>
      <c r="Y914" s="21">
        <v>3</v>
      </c>
      <c r="Z914" s="92">
        <v>2</v>
      </c>
      <c r="AA914" s="92">
        <v>1.5</v>
      </c>
    </row>
    <row r="915" spans="1:27" x14ac:dyDescent="0.25">
      <c r="A915" s="33">
        <f t="shared" si="117"/>
        <v>912</v>
      </c>
      <c r="B915" s="19" t="s">
        <v>1470</v>
      </c>
      <c r="C915" s="19" t="s">
        <v>1471</v>
      </c>
      <c r="D915" s="19" t="s">
        <v>743</v>
      </c>
      <c r="E915" s="22" t="s">
        <v>883</v>
      </c>
      <c r="F915" s="19" t="s">
        <v>874</v>
      </c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 t="s">
        <v>395</v>
      </c>
      <c r="R915" s="19">
        <v>1</v>
      </c>
      <c r="S915" s="19"/>
      <c r="T915" s="19" t="s">
        <v>895</v>
      </c>
      <c r="U915" s="20">
        <f t="shared" si="116"/>
        <v>0.22000000000000003</v>
      </c>
      <c r="V915" s="19" t="s">
        <v>1472</v>
      </c>
      <c r="W915" s="19" t="s">
        <v>750</v>
      </c>
      <c r="X915" s="19"/>
      <c r="Y915" s="21">
        <v>0.2</v>
      </c>
      <c r="Z915" s="92">
        <v>2</v>
      </c>
      <c r="AA915" s="92">
        <v>1.86</v>
      </c>
    </row>
    <row r="916" spans="1:27" x14ac:dyDescent="0.25">
      <c r="A916" s="106">
        <f t="shared" ref="A916:A949" si="118">ROW()-3</f>
        <v>913</v>
      </c>
      <c r="B916" s="29" t="s">
        <v>1473</v>
      </c>
      <c r="C916" s="29" t="s">
        <v>1474</v>
      </c>
      <c r="D916" s="29" t="s">
        <v>743</v>
      </c>
      <c r="E916" s="107" t="s">
        <v>1475</v>
      </c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 t="s">
        <v>395</v>
      </c>
      <c r="R916" s="29"/>
      <c r="S916" s="29">
        <v>1</v>
      </c>
      <c r="T916" s="29"/>
      <c r="U916" s="20">
        <f t="shared" si="116"/>
        <v>1.5400000000000002E-2</v>
      </c>
      <c r="V916" s="29" t="s">
        <v>1476</v>
      </c>
      <c r="W916" s="19" t="s">
        <v>750</v>
      </c>
      <c r="X916" s="29"/>
      <c r="Y916" s="67">
        <v>1.4E-2</v>
      </c>
      <c r="Z916" s="92">
        <v>2</v>
      </c>
      <c r="AA916" s="92">
        <v>1.86</v>
      </c>
    </row>
    <row r="917" spans="1:27" x14ac:dyDescent="0.25">
      <c r="A917" s="33">
        <f t="shared" si="118"/>
        <v>914</v>
      </c>
      <c r="B917" s="214" t="s">
        <v>1477</v>
      </c>
      <c r="C917" s="215"/>
      <c r="D917" s="215"/>
      <c r="E917" s="215"/>
      <c r="F917" s="215"/>
      <c r="G917" s="215"/>
      <c r="H917" s="215"/>
      <c r="I917" s="215"/>
      <c r="J917" s="215"/>
      <c r="K917" s="215"/>
      <c r="L917" s="215"/>
      <c r="M917" s="215"/>
      <c r="N917" s="215"/>
      <c r="O917" s="215"/>
      <c r="P917" s="215"/>
      <c r="Q917" s="215"/>
      <c r="R917" s="215"/>
      <c r="S917" s="215"/>
      <c r="T917" s="215"/>
      <c r="U917" s="215"/>
      <c r="V917" s="215"/>
      <c r="W917" s="216"/>
      <c r="Y917" s="74"/>
      <c r="Z917" s="76"/>
      <c r="AA917" s="76"/>
    </row>
    <row r="918" spans="1:27" x14ac:dyDescent="0.25">
      <c r="A918" s="33">
        <f t="shared" si="118"/>
        <v>915</v>
      </c>
      <c r="B918" s="19" t="s">
        <v>1478</v>
      </c>
      <c r="C918" s="19" t="s">
        <v>1479</v>
      </c>
      <c r="D918" s="19" t="s">
        <v>1480</v>
      </c>
      <c r="E918" s="22" t="s">
        <v>394</v>
      </c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 t="s">
        <v>395</v>
      </c>
      <c r="R918" s="19"/>
      <c r="S918" s="19">
        <v>0.1</v>
      </c>
      <c r="T918" s="19"/>
      <c r="U918" s="20">
        <f t="shared" si="116"/>
        <v>25.3</v>
      </c>
      <c r="V918" s="19" t="s">
        <v>1481</v>
      </c>
      <c r="W918" s="19"/>
      <c r="X918" s="19"/>
      <c r="Y918" s="21">
        <v>23</v>
      </c>
      <c r="Z918" s="92">
        <v>1</v>
      </c>
      <c r="AA918" s="92">
        <v>1.67</v>
      </c>
    </row>
    <row r="919" spans="1:27" x14ac:dyDescent="0.25">
      <c r="A919" s="33">
        <f t="shared" si="118"/>
        <v>916</v>
      </c>
      <c r="B919" s="19" t="s">
        <v>1482</v>
      </c>
      <c r="C919" s="19" t="s">
        <v>1483</v>
      </c>
      <c r="D919" s="19" t="s">
        <v>1484</v>
      </c>
      <c r="E919" s="22" t="s">
        <v>394</v>
      </c>
      <c r="F919" s="19" t="s">
        <v>203</v>
      </c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 t="s">
        <v>395</v>
      </c>
      <c r="R919" s="19"/>
      <c r="S919" s="19">
        <v>0.19</v>
      </c>
      <c r="T919" s="19"/>
      <c r="U919" s="20">
        <f t="shared" si="116"/>
        <v>3.19</v>
      </c>
      <c r="V919" s="19" t="s">
        <v>1485</v>
      </c>
      <c r="W919" s="19" t="s">
        <v>750</v>
      </c>
      <c r="X919" s="19"/>
      <c r="Y919" s="21">
        <v>2.9</v>
      </c>
      <c r="Z919" s="92">
        <v>3.53</v>
      </c>
      <c r="AA919" s="92">
        <v>1.86</v>
      </c>
    </row>
    <row r="920" spans="1:27" x14ac:dyDescent="0.25">
      <c r="A920" s="33">
        <f t="shared" si="118"/>
        <v>917</v>
      </c>
      <c r="B920" s="19" t="s">
        <v>1486</v>
      </c>
      <c r="C920" s="19" t="s">
        <v>1487</v>
      </c>
      <c r="D920" s="19" t="s">
        <v>1484</v>
      </c>
      <c r="E920" s="22" t="s">
        <v>394</v>
      </c>
      <c r="F920" s="19" t="s">
        <v>203</v>
      </c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 t="s">
        <v>395</v>
      </c>
      <c r="R920" s="19"/>
      <c r="S920" s="19">
        <v>0.19</v>
      </c>
      <c r="T920" s="19"/>
      <c r="U920" s="20">
        <f t="shared" si="116"/>
        <v>3.19</v>
      </c>
      <c r="V920" s="19" t="s">
        <v>1485</v>
      </c>
      <c r="W920" s="19" t="s">
        <v>750</v>
      </c>
      <c r="X920" s="19"/>
      <c r="Y920" s="21">
        <v>2.9</v>
      </c>
      <c r="Z920" s="92">
        <v>3.53</v>
      </c>
      <c r="AA920" s="92">
        <v>1.86</v>
      </c>
    </row>
    <row r="921" spans="1:27" x14ac:dyDescent="0.25">
      <c r="A921" s="33">
        <f t="shared" si="118"/>
        <v>918</v>
      </c>
      <c r="B921" s="217" t="s">
        <v>1488</v>
      </c>
      <c r="C921" s="217"/>
      <c r="D921" s="217"/>
      <c r="E921" s="217"/>
      <c r="F921" s="217"/>
      <c r="G921" s="217"/>
      <c r="H921" s="217"/>
      <c r="I921" s="217"/>
      <c r="J921" s="217"/>
      <c r="K921" s="217"/>
      <c r="L921" s="217"/>
      <c r="M921" s="217"/>
      <c r="N921" s="217"/>
      <c r="O921" s="217"/>
      <c r="P921" s="217"/>
      <c r="Q921" s="217"/>
      <c r="R921" s="217"/>
      <c r="S921" s="217"/>
      <c r="T921" s="217"/>
      <c r="U921" s="217"/>
      <c r="V921" s="217"/>
      <c r="W921" s="217"/>
      <c r="Y921" s="74"/>
      <c r="Z921" s="76"/>
      <c r="AA921" s="76"/>
    </row>
    <row r="922" spans="1:27" x14ac:dyDescent="0.25">
      <c r="A922" s="33">
        <f t="shared" si="118"/>
        <v>919</v>
      </c>
      <c r="B922" s="19" t="s">
        <v>1489</v>
      </c>
      <c r="C922" s="19" t="s">
        <v>1490</v>
      </c>
      <c r="D922" s="19" t="s">
        <v>1488</v>
      </c>
      <c r="E922" s="22"/>
      <c r="F922" s="19"/>
      <c r="G922" s="19"/>
      <c r="H922" s="19" t="s">
        <v>1196</v>
      </c>
      <c r="I922" s="19"/>
      <c r="J922" s="19"/>
      <c r="K922" s="19"/>
      <c r="L922" s="19"/>
      <c r="M922" s="19"/>
      <c r="N922" s="19"/>
      <c r="O922" s="19"/>
      <c r="P922" s="19"/>
      <c r="Q922" s="19" t="s">
        <v>395</v>
      </c>
      <c r="R922" s="19"/>
      <c r="S922" s="19">
        <v>9</v>
      </c>
      <c r="T922" s="19"/>
      <c r="U922" s="20">
        <f t="shared" si="116"/>
        <v>1.1000000000000001E-2</v>
      </c>
      <c r="V922" s="19" t="s">
        <v>1491</v>
      </c>
      <c r="W922" s="19"/>
      <c r="X922" s="19"/>
      <c r="Y922" s="21">
        <v>0.01</v>
      </c>
      <c r="Z922" s="92">
        <v>1.48</v>
      </c>
      <c r="AA922" s="92">
        <v>1.48</v>
      </c>
    </row>
    <row r="923" spans="1:27" x14ac:dyDescent="0.25">
      <c r="A923" s="33">
        <f t="shared" si="118"/>
        <v>920</v>
      </c>
      <c r="B923" s="19" t="s">
        <v>1492</v>
      </c>
      <c r="C923" s="19" t="s">
        <v>1493</v>
      </c>
      <c r="D923" s="19" t="s">
        <v>1488</v>
      </c>
      <c r="E923" s="22" t="s">
        <v>933</v>
      </c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 t="s">
        <v>395</v>
      </c>
      <c r="R923" s="19"/>
      <c r="S923" s="19">
        <v>4</v>
      </c>
      <c r="T923" s="19"/>
      <c r="U923" s="20">
        <f t="shared" si="116"/>
        <v>2.31E-3</v>
      </c>
      <c r="V923" s="19" t="s">
        <v>1492</v>
      </c>
      <c r="W923" s="19"/>
      <c r="X923" s="19"/>
      <c r="Y923" s="21">
        <v>2.0999999999999999E-3</v>
      </c>
      <c r="Z923" s="92">
        <v>1.48</v>
      </c>
      <c r="AA923" s="92">
        <v>1.48</v>
      </c>
    </row>
    <row r="924" spans="1:27" x14ac:dyDescent="0.25">
      <c r="A924" s="33">
        <f t="shared" si="118"/>
        <v>921</v>
      </c>
      <c r="B924" s="19" t="s">
        <v>1492</v>
      </c>
      <c r="C924" s="19" t="s">
        <v>1493</v>
      </c>
      <c r="D924" s="19" t="s">
        <v>1488</v>
      </c>
      <c r="E924" s="22" t="s">
        <v>933</v>
      </c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 t="s">
        <v>395</v>
      </c>
      <c r="R924" s="19"/>
      <c r="S924" s="19">
        <v>8</v>
      </c>
      <c r="T924" s="19"/>
      <c r="U924" s="20">
        <f t="shared" si="116"/>
        <v>2.31E-3</v>
      </c>
      <c r="V924" s="19" t="s">
        <v>1492</v>
      </c>
      <c r="W924" s="19"/>
      <c r="X924" s="19"/>
      <c r="Y924" s="21">
        <v>2.0999999999999999E-3</v>
      </c>
      <c r="Z924" s="92">
        <v>1.48</v>
      </c>
      <c r="AA924" s="92">
        <v>1.48</v>
      </c>
    </row>
    <row r="925" spans="1:27" x14ac:dyDescent="0.25">
      <c r="A925" s="33">
        <f t="shared" si="118"/>
        <v>922</v>
      </c>
      <c r="B925" s="19" t="s">
        <v>1492</v>
      </c>
      <c r="C925" s="19" t="s">
        <v>1493</v>
      </c>
      <c r="D925" s="19" t="s">
        <v>1488</v>
      </c>
      <c r="E925" s="22" t="s">
        <v>933</v>
      </c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 t="s">
        <v>395</v>
      </c>
      <c r="R925" s="19"/>
      <c r="S925" s="19"/>
      <c r="T925" s="19" t="s">
        <v>1494</v>
      </c>
      <c r="U925" s="20">
        <f t="shared" si="116"/>
        <v>2.31E-3</v>
      </c>
      <c r="V925" s="19" t="s">
        <v>1492</v>
      </c>
      <c r="W925" s="19"/>
      <c r="X925" s="19"/>
      <c r="Y925" s="21">
        <v>2.0999999999999999E-3</v>
      </c>
      <c r="Z925" s="92">
        <v>1.48</v>
      </c>
      <c r="AA925" s="92">
        <v>1.48</v>
      </c>
    </row>
    <row r="926" spans="1:27" x14ac:dyDescent="0.25">
      <c r="A926" s="33">
        <f t="shared" si="118"/>
        <v>923</v>
      </c>
      <c r="B926" s="19" t="s">
        <v>1495</v>
      </c>
      <c r="C926" s="19"/>
      <c r="D926" s="19" t="s">
        <v>1488</v>
      </c>
      <c r="E926" s="22" t="s">
        <v>1194</v>
      </c>
      <c r="F926" s="19" t="s">
        <v>1496</v>
      </c>
      <c r="G926" s="19" t="s">
        <v>546</v>
      </c>
      <c r="H926" s="19"/>
      <c r="I926" s="19"/>
      <c r="J926" s="19"/>
      <c r="K926" s="19"/>
      <c r="L926" s="19"/>
      <c r="M926" s="19"/>
      <c r="N926" s="19"/>
      <c r="O926" s="19"/>
      <c r="P926" s="19"/>
      <c r="Q926" s="19" t="s">
        <v>395</v>
      </c>
      <c r="R926" s="19"/>
      <c r="S926" s="19"/>
      <c r="T926" s="19">
        <v>2</v>
      </c>
      <c r="U926" s="20">
        <f t="shared" si="116"/>
        <v>1.1000000000000001E-2</v>
      </c>
      <c r="V926" s="19" t="s">
        <v>1497</v>
      </c>
      <c r="W926" s="19"/>
      <c r="X926" s="19"/>
      <c r="Y926" s="21">
        <v>0.01</v>
      </c>
      <c r="Z926" s="92">
        <v>1.48</v>
      </c>
      <c r="AA926" s="92">
        <v>1.48</v>
      </c>
    </row>
    <row r="927" spans="1:27" x14ac:dyDescent="0.25">
      <c r="A927" s="33">
        <f t="shared" si="118"/>
        <v>924</v>
      </c>
      <c r="B927" s="19" t="s">
        <v>1495</v>
      </c>
      <c r="C927" s="19"/>
      <c r="D927" s="19" t="s">
        <v>1488</v>
      </c>
      <c r="E927" s="22" t="s">
        <v>394</v>
      </c>
      <c r="F927" s="19" t="s">
        <v>22</v>
      </c>
      <c r="G927" s="19" t="s">
        <v>546</v>
      </c>
      <c r="H927" s="19"/>
      <c r="I927" s="19"/>
      <c r="J927" s="19"/>
      <c r="K927" s="19"/>
      <c r="L927" s="19"/>
      <c r="M927" s="19"/>
      <c r="N927" s="19"/>
      <c r="O927" s="19"/>
      <c r="P927" s="19"/>
      <c r="Q927" s="19" t="s">
        <v>395</v>
      </c>
      <c r="R927" s="19"/>
      <c r="S927" s="19"/>
      <c r="T927" s="19">
        <v>4</v>
      </c>
      <c r="U927" s="20">
        <f t="shared" si="116"/>
        <v>1.1000000000000001E-2</v>
      </c>
      <c r="V927" s="19" t="s">
        <v>1497</v>
      </c>
      <c r="W927" s="19"/>
      <c r="X927" s="19"/>
      <c r="Y927" s="21">
        <v>0.01</v>
      </c>
      <c r="Z927" s="92">
        <v>1.48</v>
      </c>
      <c r="AA927" s="92">
        <v>1.48</v>
      </c>
    </row>
    <row r="928" spans="1:27" x14ac:dyDescent="0.25">
      <c r="A928" s="33">
        <f t="shared" si="118"/>
        <v>925</v>
      </c>
      <c r="B928" s="19" t="s">
        <v>1492</v>
      </c>
      <c r="C928" s="19" t="s">
        <v>1493</v>
      </c>
      <c r="D928" s="19" t="s">
        <v>1488</v>
      </c>
      <c r="E928" s="22" t="s">
        <v>394</v>
      </c>
      <c r="F928" s="19" t="s">
        <v>203</v>
      </c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 t="s">
        <v>395</v>
      </c>
      <c r="R928" s="19"/>
      <c r="S928" s="19"/>
      <c r="T928" s="19">
        <v>3</v>
      </c>
      <c r="U928" s="20">
        <f t="shared" si="116"/>
        <v>2.31E-3</v>
      </c>
      <c r="V928" s="19" t="s">
        <v>1492</v>
      </c>
      <c r="W928" s="19"/>
      <c r="X928" s="19"/>
      <c r="Y928" s="21">
        <v>2.0999999999999999E-3</v>
      </c>
      <c r="Z928" s="92">
        <v>1.48</v>
      </c>
      <c r="AA928" s="92">
        <v>1.48</v>
      </c>
    </row>
    <row r="929" spans="1:27" x14ac:dyDescent="0.25">
      <c r="A929" s="33">
        <f t="shared" si="118"/>
        <v>926</v>
      </c>
      <c r="B929" s="19" t="s">
        <v>1492</v>
      </c>
      <c r="C929" s="19" t="s">
        <v>1493</v>
      </c>
      <c r="D929" s="19" t="s">
        <v>1488</v>
      </c>
      <c r="E929" s="22" t="s">
        <v>394</v>
      </c>
      <c r="F929" s="19" t="s">
        <v>1498</v>
      </c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 t="s">
        <v>395</v>
      </c>
      <c r="R929" s="19"/>
      <c r="S929" s="19"/>
      <c r="T929" s="19">
        <v>7</v>
      </c>
      <c r="U929" s="20">
        <f t="shared" si="116"/>
        <v>2.31E-3</v>
      </c>
      <c r="V929" s="19" t="s">
        <v>1492</v>
      </c>
      <c r="W929" s="19"/>
      <c r="X929" s="19"/>
      <c r="Y929" s="21">
        <v>2.0999999999999999E-3</v>
      </c>
      <c r="Z929" s="92">
        <v>1.48</v>
      </c>
      <c r="AA929" s="92">
        <v>1.48</v>
      </c>
    </row>
    <row r="930" spans="1:27" x14ac:dyDescent="0.25">
      <c r="A930" s="33">
        <f t="shared" si="118"/>
        <v>927</v>
      </c>
      <c r="B930" s="19" t="s">
        <v>1499</v>
      </c>
      <c r="C930" s="19" t="s">
        <v>1500</v>
      </c>
      <c r="D930" s="19" t="s">
        <v>1488</v>
      </c>
      <c r="E930" s="22" t="s">
        <v>394</v>
      </c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 t="s">
        <v>395</v>
      </c>
      <c r="R930" s="19"/>
      <c r="S930" s="19">
        <v>6</v>
      </c>
      <c r="T930" s="19"/>
      <c r="U930" s="20">
        <f t="shared" si="116"/>
        <v>5.5440000000000003E-3</v>
      </c>
      <c r="V930" s="19" t="s">
        <v>1501</v>
      </c>
      <c r="W930" s="19"/>
      <c r="X930" s="19"/>
      <c r="Y930" s="21">
        <v>5.0400000000000002E-3</v>
      </c>
      <c r="Z930" s="92">
        <v>1.48</v>
      </c>
      <c r="AA930" s="92">
        <v>1.48</v>
      </c>
    </row>
    <row r="931" spans="1:27" x14ac:dyDescent="0.25">
      <c r="A931" s="33">
        <f t="shared" si="118"/>
        <v>928</v>
      </c>
      <c r="B931" s="19" t="s">
        <v>1492</v>
      </c>
      <c r="C931" s="19" t="s">
        <v>1493</v>
      </c>
      <c r="D931" s="19" t="s">
        <v>1488</v>
      </c>
      <c r="E931" s="22" t="s">
        <v>394</v>
      </c>
      <c r="F931" s="19" t="s">
        <v>98</v>
      </c>
      <c r="G931" s="19"/>
      <c r="H931" s="19" t="s">
        <v>989</v>
      </c>
      <c r="I931" s="19"/>
      <c r="J931" s="19"/>
      <c r="K931" s="19"/>
      <c r="L931" s="19"/>
      <c r="M931" s="19"/>
      <c r="N931" s="19"/>
      <c r="O931" s="19"/>
      <c r="P931" s="19"/>
      <c r="Q931" s="19" t="s">
        <v>395</v>
      </c>
      <c r="R931" s="19"/>
      <c r="S931" s="19">
        <v>8</v>
      </c>
      <c r="T931" s="19"/>
      <c r="U931" s="20">
        <f t="shared" si="116"/>
        <v>2.31E-3</v>
      </c>
      <c r="V931" s="19" t="s">
        <v>1492</v>
      </c>
      <c r="W931" s="19"/>
      <c r="X931" s="19"/>
      <c r="Y931" s="21">
        <v>2.0999999999999999E-3</v>
      </c>
      <c r="Z931" s="92">
        <v>1.48</v>
      </c>
      <c r="AA931" s="92">
        <v>1.48</v>
      </c>
    </row>
    <row r="932" spans="1:27" x14ac:dyDescent="0.25">
      <c r="A932" s="33">
        <f t="shared" si="118"/>
        <v>929</v>
      </c>
      <c r="B932" s="19" t="s">
        <v>1492</v>
      </c>
      <c r="C932" s="19" t="s">
        <v>1493</v>
      </c>
      <c r="D932" s="19" t="s">
        <v>1488</v>
      </c>
      <c r="E932" s="22" t="s">
        <v>394</v>
      </c>
      <c r="F932" s="19" t="s">
        <v>98</v>
      </c>
      <c r="G932" s="19"/>
      <c r="H932" s="19" t="s">
        <v>990</v>
      </c>
      <c r="I932" s="19"/>
      <c r="J932" s="19"/>
      <c r="K932" s="19"/>
      <c r="L932" s="19"/>
      <c r="M932" s="19"/>
      <c r="N932" s="19"/>
      <c r="O932" s="19"/>
      <c r="P932" s="19"/>
      <c r="Q932" s="19" t="s">
        <v>395</v>
      </c>
      <c r="R932" s="19"/>
      <c r="S932" s="19">
        <v>12</v>
      </c>
      <c r="T932" s="19"/>
      <c r="U932" s="20">
        <f t="shared" si="116"/>
        <v>2.31E-3</v>
      </c>
      <c r="V932" s="19" t="s">
        <v>1492</v>
      </c>
      <c r="W932" s="19"/>
      <c r="X932" s="19"/>
      <c r="Y932" s="21">
        <v>2.0999999999999999E-3</v>
      </c>
      <c r="Z932" s="92">
        <v>1.48</v>
      </c>
      <c r="AA932" s="92">
        <v>1.48</v>
      </c>
    </row>
    <row r="933" spans="1:27" x14ac:dyDescent="0.25">
      <c r="A933" s="33">
        <f t="shared" si="118"/>
        <v>930</v>
      </c>
      <c r="B933" s="19" t="s">
        <v>1502</v>
      </c>
      <c r="C933" s="19" t="s">
        <v>1503</v>
      </c>
      <c r="D933" s="19" t="s">
        <v>1488</v>
      </c>
      <c r="E933" s="22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 t="s">
        <v>395</v>
      </c>
      <c r="R933" s="19"/>
      <c r="S933" s="19"/>
      <c r="T933" s="19">
        <v>4</v>
      </c>
      <c r="U933" s="20">
        <f t="shared" si="116"/>
        <v>2.2000000000000001E-3</v>
      </c>
      <c r="V933" s="19" t="s">
        <v>1504</v>
      </c>
      <c r="W933" s="19"/>
      <c r="X933" s="19"/>
      <c r="Y933" s="21">
        <v>2E-3</v>
      </c>
      <c r="Z933" s="92">
        <v>1.48</v>
      </c>
      <c r="AA933" s="92">
        <v>1.48</v>
      </c>
    </row>
    <row r="934" spans="1:27" x14ac:dyDescent="0.25">
      <c r="A934" s="33">
        <f t="shared" si="118"/>
        <v>931</v>
      </c>
      <c r="B934" s="19" t="s">
        <v>1505</v>
      </c>
      <c r="C934" s="19" t="s">
        <v>1506</v>
      </c>
      <c r="D934" s="19" t="s">
        <v>1488</v>
      </c>
      <c r="E934" s="22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 t="s">
        <v>395</v>
      </c>
      <c r="R934" s="19"/>
      <c r="S934" s="19"/>
      <c r="T934" s="19">
        <v>4</v>
      </c>
      <c r="U934" s="20">
        <f t="shared" si="116"/>
        <v>1.1000000000000001E-2</v>
      </c>
      <c r="V934" s="19" t="s">
        <v>1507</v>
      </c>
      <c r="W934" s="19"/>
      <c r="X934" s="19"/>
      <c r="Y934" s="21">
        <v>0.01</v>
      </c>
      <c r="Z934" s="92">
        <v>1.48</v>
      </c>
      <c r="AA934" s="92">
        <v>1.48</v>
      </c>
    </row>
    <row r="935" spans="1:27" x14ac:dyDescent="0.25">
      <c r="A935" s="33">
        <f t="shared" si="118"/>
        <v>932</v>
      </c>
      <c r="B935" s="19" t="s">
        <v>1508</v>
      </c>
      <c r="C935" s="19" t="s">
        <v>1509</v>
      </c>
      <c r="D935" s="19" t="s">
        <v>1488</v>
      </c>
      <c r="E935" s="22" t="s">
        <v>883</v>
      </c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 t="s">
        <v>395</v>
      </c>
      <c r="R935" s="19"/>
      <c r="S935" s="19"/>
      <c r="T935" s="19">
        <v>1</v>
      </c>
      <c r="U935" s="20">
        <f t="shared" si="116"/>
        <v>1.1000000000000001E-2</v>
      </c>
      <c r="V935" s="19" t="s">
        <v>1510</v>
      </c>
      <c r="W935" s="19"/>
      <c r="X935" s="19"/>
      <c r="Y935" s="21">
        <v>0.01</v>
      </c>
      <c r="Z935" s="92">
        <v>1.48</v>
      </c>
      <c r="AA935" s="92">
        <v>1.48</v>
      </c>
    </row>
    <row r="936" spans="1:27" x14ac:dyDescent="0.25">
      <c r="A936" s="33">
        <f t="shared" si="118"/>
        <v>933</v>
      </c>
      <c r="B936" s="19" t="s">
        <v>1508</v>
      </c>
      <c r="C936" s="19" t="s">
        <v>1509</v>
      </c>
      <c r="D936" s="19" t="s">
        <v>1488</v>
      </c>
      <c r="E936" s="22" t="s">
        <v>1511</v>
      </c>
      <c r="F936" s="19" t="s">
        <v>98</v>
      </c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 t="s">
        <v>395</v>
      </c>
      <c r="R936" s="19"/>
      <c r="S936" s="19"/>
      <c r="T936" s="19">
        <v>2</v>
      </c>
      <c r="U936" s="20">
        <f t="shared" ref="U936" si="119">Y936*1.1</f>
        <v>1.1000000000000001E-2</v>
      </c>
      <c r="V936" s="19" t="s">
        <v>1510</v>
      </c>
      <c r="W936" s="19"/>
      <c r="X936" s="19"/>
      <c r="Y936" s="21">
        <v>0.01</v>
      </c>
      <c r="Z936" s="92">
        <v>1.48</v>
      </c>
      <c r="AA936" s="92">
        <v>1.48</v>
      </c>
    </row>
    <row r="937" spans="1:27" x14ac:dyDescent="0.25">
      <c r="A937" s="33">
        <f t="shared" si="118"/>
        <v>934</v>
      </c>
      <c r="B937" s="217" t="s">
        <v>1512</v>
      </c>
      <c r="C937" s="217"/>
      <c r="D937" s="217"/>
      <c r="E937" s="217"/>
      <c r="F937" s="217"/>
      <c r="G937" s="217"/>
      <c r="H937" s="217"/>
      <c r="I937" s="217"/>
      <c r="J937" s="217"/>
      <c r="K937" s="217"/>
      <c r="L937" s="217"/>
      <c r="M937" s="217"/>
      <c r="N937" s="217"/>
      <c r="O937" s="217"/>
      <c r="P937" s="217"/>
      <c r="Q937" s="217"/>
      <c r="R937" s="217"/>
      <c r="S937" s="217"/>
      <c r="T937" s="217"/>
      <c r="U937" s="217"/>
      <c r="V937" s="217"/>
      <c r="W937" s="217"/>
      <c r="X937" s="19"/>
      <c r="Y937" s="74"/>
      <c r="Z937" s="76"/>
      <c r="AA937" s="76"/>
    </row>
    <row r="938" spans="1:27" x14ac:dyDescent="0.25">
      <c r="A938" s="33">
        <f t="shared" si="118"/>
        <v>935</v>
      </c>
      <c r="B938" s="19" t="s">
        <v>1513</v>
      </c>
      <c r="C938" s="19" t="s">
        <v>1514</v>
      </c>
      <c r="D938" s="19" t="s">
        <v>1515</v>
      </c>
      <c r="E938" s="22" t="s">
        <v>933</v>
      </c>
      <c r="F938" s="19" t="s">
        <v>1516</v>
      </c>
      <c r="G938" s="19"/>
      <c r="H938" s="19"/>
      <c r="I938" s="19"/>
      <c r="J938" s="19"/>
      <c r="K938" s="19"/>
      <c r="L938" s="19"/>
      <c r="M938" s="19"/>
      <c r="N938" s="19"/>
      <c r="O938" s="19"/>
      <c r="P938" s="36" t="s">
        <v>118</v>
      </c>
      <c r="Q938" s="19" t="s">
        <v>395</v>
      </c>
      <c r="R938" s="19"/>
      <c r="S938" s="91">
        <v>0.02</v>
      </c>
      <c r="T938" s="19"/>
      <c r="U938" s="20">
        <f t="shared" si="116"/>
        <v>8.8330000000000002</v>
      </c>
      <c r="V938" s="19" t="s">
        <v>1517</v>
      </c>
      <c r="W938" s="19"/>
      <c r="X938" s="19"/>
      <c r="Y938" s="21">
        <v>8.0299999999999994</v>
      </c>
      <c r="Z938" s="92">
        <v>1.1000000000000001</v>
      </c>
      <c r="AA938" s="92">
        <v>1</v>
      </c>
    </row>
    <row r="939" spans="1:27" x14ac:dyDescent="0.25">
      <c r="A939" s="33">
        <f t="shared" si="118"/>
        <v>936</v>
      </c>
      <c r="B939" s="19" t="s">
        <v>1518</v>
      </c>
      <c r="C939" s="34" t="s">
        <v>1519</v>
      </c>
      <c r="D939" s="19" t="s">
        <v>1515</v>
      </c>
      <c r="E939" s="22" t="s">
        <v>933</v>
      </c>
      <c r="F939" s="19" t="s">
        <v>161</v>
      </c>
      <c r="G939" s="6" t="s">
        <v>1082</v>
      </c>
      <c r="H939" s="6"/>
      <c r="I939" s="6"/>
      <c r="J939" s="6"/>
      <c r="K939" s="6"/>
      <c r="L939" s="6"/>
      <c r="M939" s="6"/>
      <c r="N939" s="6"/>
      <c r="O939" s="6"/>
      <c r="P939" s="6" t="s">
        <v>28</v>
      </c>
      <c r="Q939" s="19" t="s">
        <v>395</v>
      </c>
      <c r="R939" s="6"/>
      <c r="S939" s="91"/>
      <c r="T939" s="6">
        <v>0.01</v>
      </c>
      <c r="U939" s="20">
        <f t="shared" ref="U939" si="120">Y939*1.1</f>
        <v>5.5330000000000004</v>
      </c>
      <c r="V939" s="29" t="s">
        <v>1520</v>
      </c>
      <c r="W939" s="6"/>
      <c r="X939" s="19"/>
      <c r="Y939" s="21">
        <v>5.03</v>
      </c>
      <c r="Z939" s="92">
        <v>1.1000000000000001</v>
      </c>
      <c r="AA939" s="92">
        <v>1</v>
      </c>
    </row>
    <row r="940" spans="1:27" x14ac:dyDescent="0.25">
      <c r="A940" s="33">
        <f t="shared" si="118"/>
        <v>937</v>
      </c>
      <c r="B940" s="19" t="s">
        <v>1518</v>
      </c>
      <c r="C940" s="34" t="s">
        <v>1521</v>
      </c>
      <c r="D940" s="19" t="s">
        <v>1515</v>
      </c>
      <c r="E940" s="22" t="s">
        <v>933</v>
      </c>
      <c r="F940" s="19" t="s">
        <v>1516</v>
      </c>
      <c r="G940" s="6"/>
      <c r="H940" s="6"/>
      <c r="I940" s="6"/>
      <c r="J940" s="6"/>
      <c r="K940" s="6"/>
      <c r="L940" s="6"/>
      <c r="M940" s="6"/>
      <c r="N940" s="6"/>
      <c r="O940" s="6"/>
      <c r="P940" s="6" t="s">
        <v>28</v>
      </c>
      <c r="Q940" s="19" t="s">
        <v>395</v>
      </c>
      <c r="R940" s="6"/>
      <c r="S940" s="91">
        <v>0.02</v>
      </c>
      <c r="T940" s="6"/>
      <c r="U940" s="20">
        <f t="shared" si="116"/>
        <v>5.5330000000000004</v>
      </c>
      <c r="V940" s="19" t="s">
        <v>1522</v>
      </c>
      <c r="W940" s="6"/>
      <c r="X940" s="19"/>
      <c r="Y940" s="21">
        <v>5.03</v>
      </c>
      <c r="Z940" s="92">
        <v>1.1000000000000001</v>
      </c>
      <c r="AA940" s="92">
        <v>1</v>
      </c>
    </row>
    <row r="941" spans="1:27" x14ac:dyDescent="0.25">
      <c r="A941" s="33">
        <f t="shared" si="118"/>
        <v>938</v>
      </c>
      <c r="B941" s="19" t="s">
        <v>1523</v>
      </c>
      <c r="C941" s="19" t="s">
        <v>1524</v>
      </c>
      <c r="D941" s="19" t="s">
        <v>1515</v>
      </c>
      <c r="E941" s="22" t="s">
        <v>933</v>
      </c>
      <c r="F941" s="19" t="s">
        <v>1516</v>
      </c>
      <c r="G941" s="6"/>
      <c r="H941" s="6"/>
      <c r="I941" s="6"/>
      <c r="J941" s="6"/>
      <c r="K941" s="6"/>
      <c r="L941" s="6"/>
      <c r="M941" s="6"/>
      <c r="N941" s="6"/>
      <c r="O941" s="6"/>
      <c r="P941" s="6" t="s">
        <v>22</v>
      </c>
      <c r="Q941" s="19" t="s">
        <v>395</v>
      </c>
      <c r="R941" s="6"/>
      <c r="S941" s="91">
        <v>0.02</v>
      </c>
      <c r="T941" s="6"/>
      <c r="U941" s="20">
        <f t="shared" si="116"/>
        <v>6.3250000000000002</v>
      </c>
      <c r="V941" s="19" t="s">
        <v>1525</v>
      </c>
      <c r="W941" s="6"/>
      <c r="X941" s="19"/>
      <c r="Y941" s="72">
        <v>5.75</v>
      </c>
      <c r="Z941" s="92">
        <v>1.1000000000000001</v>
      </c>
      <c r="AA941" s="92">
        <v>1</v>
      </c>
    </row>
    <row r="942" spans="1:27" x14ac:dyDescent="0.25">
      <c r="A942" s="33">
        <f t="shared" si="118"/>
        <v>939</v>
      </c>
      <c r="B942" s="19" t="s">
        <v>1513</v>
      </c>
      <c r="C942" s="19" t="s">
        <v>1514</v>
      </c>
      <c r="D942" s="19" t="s">
        <v>1515</v>
      </c>
      <c r="E942" s="22" t="s">
        <v>933</v>
      </c>
      <c r="F942" s="19" t="s">
        <v>98</v>
      </c>
      <c r="G942" s="19"/>
      <c r="H942" s="19"/>
      <c r="I942" s="19"/>
      <c r="J942" s="19"/>
      <c r="K942" s="19"/>
      <c r="L942" s="19"/>
      <c r="M942" s="19"/>
      <c r="N942" s="19"/>
      <c r="O942" s="19"/>
      <c r="P942" s="36" t="s">
        <v>118</v>
      </c>
      <c r="Q942" s="19" t="s">
        <v>395</v>
      </c>
      <c r="R942" s="19"/>
      <c r="S942" s="91">
        <v>0.02</v>
      </c>
      <c r="T942" s="6"/>
      <c r="U942" s="20">
        <f t="shared" si="116"/>
        <v>8.8330000000000002</v>
      </c>
      <c r="V942" s="19" t="s">
        <v>1517</v>
      </c>
      <c r="W942" s="19"/>
      <c r="X942" s="19"/>
      <c r="Y942" s="72">
        <v>8.0299999999999994</v>
      </c>
      <c r="Z942" s="92">
        <v>1.1000000000000001</v>
      </c>
      <c r="AA942" s="92">
        <v>1</v>
      </c>
    </row>
    <row r="943" spans="1:27" x14ac:dyDescent="0.25">
      <c r="A943" s="33">
        <f t="shared" si="118"/>
        <v>940</v>
      </c>
      <c r="B943" s="19" t="s">
        <v>1518</v>
      </c>
      <c r="C943" s="34" t="s">
        <v>1521</v>
      </c>
      <c r="D943" s="19" t="s">
        <v>1515</v>
      </c>
      <c r="E943" s="22" t="s">
        <v>933</v>
      </c>
      <c r="F943" s="19" t="s">
        <v>98</v>
      </c>
      <c r="G943" s="6"/>
      <c r="H943" s="6"/>
      <c r="I943" s="6"/>
      <c r="J943" s="6"/>
      <c r="K943" s="6"/>
      <c r="L943" s="6"/>
      <c r="M943" s="6"/>
      <c r="N943" s="6"/>
      <c r="O943" s="6"/>
      <c r="P943" s="6" t="s">
        <v>28</v>
      </c>
      <c r="Q943" s="19" t="s">
        <v>395</v>
      </c>
      <c r="R943" s="6"/>
      <c r="S943" s="91">
        <v>0.02</v>
      </c>
      <c r="T943" s="6"/>
      <c r="U943" s="20">
        <f t="shared" si="116"/>
        <v>5.5330000000000004</v>
      </c>
      <c r="V943" s="19" t="s">
        <v>1522</v>
      </c>
      <c r="W943" s="6"/>
      <c r="X943" s="19"/>
      <c r="Y943" s="72">
        <v>5.03</v>
      </c>
      <c r="Z943" s="92">
        <v>1.1000000000000001</v>
      </c>
      <c r="AA943" s="92">
        <v>1</v>
      </c>
    </row>
    <row r="944" spans="1:27" x14ac:dyDescent="0.25">
      <c r="A944" s="33">
        <f t="shared" si="118"/>
        <v>941</v>
      </c>
      <c r="B944" s="19" t="s">
        <v>1523</v>
      </c>
      <c r="C944" s="19" t="s">
        <v>1524</v>
      </c>
      <c r="D944" s="19" t="s">
        <v>1515</v>
      </c>
      <c r="E944" s="22" t="s">
        <v>933</v>
      </c>
      <c r="F944" s="19" t="s">
        <v>98</v>
      </c>
      <c r="G944" s="6"/>
      <c r="H944" s="6"/>
      <c r="I944" s="6"/>
      <c r="J944" s="6"/>
      <c r="K944" s="6"/>
      <c r="L944" s="6"/>
      <c r="M944" s="6"/>
      <c r="N944" s="6"/>
      <c r="O944" s="6"/>
      <c r="P944" s="6" t="s">
        <v>22</v>
      </c>
      <c r="Q944" s="19" t="s">
        <v>395</v>
      </c>
      <c r="R944" s="6"/>
      <c r="S944" s="91">
        <v>0.02</v>
      </c>
      <c r="T944" s="6"/>
      <c r="U944" s="20">
        <f t="shared" si="116"/>
        <v>6.3250000000000002</v>
      </c>
      <c r="V944" s="19" t="s">
        <v>1525</v>
      </c>
      <c r="W944" s="6"/>
      <c r="X944" s="19"/>
      <c r="Y944" s="72">
        <v>5.75</v>
      </c>
      <c r="Z944" s="92">
        <v>1.1000000000000001</v>
      </c>
      <c r="AA944" s="92">
        <v>1</v>
      </c>
    </row>
    <row r="945" spans="1:27" x14ac:dyDescent="0.25">
      <c r="A945" s="33">
        <f t="shared" si="118"/>
        <v>942</v>
      </c>
      <c r="B945" s="19" t="s">
        <v>1513</v>
      </c>
      <c r="C945" s="19" t="s">
        <v>1514</v>
      </c>
      <c r="D945" s="19" t="s">
        <v>1515</v>
      </c>
      <c r="E945" s="22" t="s">
        <v>933</v>
      </c>
      <c r="F945" s="19" t="s">
        <v>122</v>
      </c>
      <c r="G945" s="19"/>
      <c r="H945" s="19"/>
      <c r="I945" s="19"/>
      <c r="J945" s="19"/>
      <c r="K945" s="19"/>
      <c r="L945" s="19"/>
      <c r="M945" s="19"/>
      <c r="N945" s="19"/>
      <c r="O945" s="19"/>
      <c r="P945" s="36" t="s">
        <v>118</v>
      </c>
      <c r="Q945" s="19" t="s">
        <v>395</v>
      </c>
      <c r="R945" s="19"/>
      <c r="S945" s="91">
        <v>0.02</v>
      </c>
      <c r="T945" s="6"/>
      <c r="U945" s="20">
        <f t="shared" si="116"/>
        <v>8.8330000000000002</v>
      </c>
      <c r="V945" s="19" t="s">
        <v>1517</v>
      </c>
      <c r="W945" s="19"/>
      <c r="X945" s="19"/>
      <c r="Y945" s="72">
        <v>8.0299999999999994</v>
      </c>
      <c r="Z945" s="92">
        <v>1.1000000000000001</v>
      </c>
      <c r="AA945" s="92">
        <v>1</v>
      </c>
    </row>
    <row r="946" spans="1:27" x14ac:dyDescent="0.25">
      <c r="A946" s="33">
        <f t="shared" si="118"/>
        <v>943</v>
      </c>
      <c r="B946" s="19" t="s">
        <v>1518</v>
      </c>
      <c r="C946" s="34" t="s">
        <v>1521</v>
      </c>
      <c r="D946" s="19" t="s">
        <v>1515</v>
      </c>
      <c r="E946" s="22" t="s">
        <v>933</v>
      </c>
      <c r="F946" s="19" t="s">
        <v>122</v>
      </c>
      <c r="G946" s="6"/>
      <c r="H946" s="6"/>
      <c r="I946" s="6"/>
      <c r="J946" s="6"/>
      <c r="K946" s="6"/>
      <c r="L946" s="6"/>
      <c r="M946" s="6"/>
      <c r="N946" s="6"/>
      <c r="O946" s="6"/>
      <c r="P946" s="6" t="s">
        <v>28</v>
      </c>
      <c r="Q946" s="19" t="s">
        <v>395</v>
      </c>
      <c r="R946" s="6"/>
      <c r="S946" s="91">
        <v>0.02</v>
      </c>
      <c r="T946" s="6"/>
      <c r="U946" s="20">
        <f t="shared" si="116"/>
        <v>5.5330000000000004</v>
      </c>
      <c r="V946" s="19" t="s">
        <v>1522</v>
      </c>
      <c r="W946" s="6"/>
      <c r="X946" s="19"/>
      <c r="Y946" s="72">
        <v>5.03</v>
      </c>
      <c r="Z946" s="92">
        <v>1.1000000000000001</v>
      </c>
      <c r="AA946" s="92">
        <v>1</v>
      </c>
    </row>
    <row r="947" spans="1:27" x14ac:dyDescent="0.25">
      <c r="A947" s="33">
        <f t="shared" si="118"/>
        <v>944</v>
      </c>
      <c r="B947" s="19" t="s">
        <v>1523</v>
      </c>
      <c r="C947" s="19" t="s">
        <v>1524</v>
      </c>
      <c r="D947" s="19" t="s">
        <v>1515</v>
      </c>
      <c r="E947" s="22" t="s">
        <v>933</v>
      </c>
      <c r="F947" s="19" t="s">
        <v>122</v>
      </c>
      <c r="G947" s="6"/>
      <c r="H947" s="6"/>
      <c r="I947" s="6"/>
      <c r="J947" s="6"/>
      <c r="K947" s="6"/>
      <c r="L947" s="6"/>
      <c r="M947" s="6"/>
      <c r="N947" s="6"/>
      <c r="O947" s="6"/>
      <c r="P947" s="6" t="s">
        <v>22</v>
      </c>
      <c r="Q947" s="19" t="s">
        <v>395</v>
      </c>
      <c r="R947" s="6"/>
      <c r="S947" s="91">
        <v>0.02</v>
      </c>
      <c r="T947" s="6"/>
      <c r="U947" s="20">
        <f t="shared" si="116"/>
        <v>6.3250000000000002</v>
      </c>
      <c r="V947" s="19" t="s">
        <v>1525</v>
      </c>
      <c r="W947" s="6"/>
      <c r="X947" s="19"/>
      <c r="Y947" s="72">
        <v>5.75</v>
      </c>
      <c r="Z947" s="92">
        <v>1.1000000000000001</v>
      </c>
      <c r="AA947" s="92">
        <v>1</v>
      </c>
    </row>
    <row r="948" spans="1:27" x14ac:dyDescent="0.25">
      <c r="A948" s="33">
        <f t="shared" si="118"/>
        <v>945</v>
      </c>
      <c r="B948" s="19" t="s">
        <v>1513</v>
      </c>
      <c r="C948" s="19" t="s">
        <v>1514</v>
      </c>
      <c r="D948" s="19" t="s">
        <v>1515</v>
      </c>
      <c r="E948" s="22" t="s">
        <v>314</v>
      </c>
      <c r="F948" s="19" t="s">
        <v>943</v>
      </c>
      <c r="G948" s="19"/>
      <c r="H948" s="19"/>
      <c r="I948" s="19"/>
      <c r="J948" s="19"/>
      <c r="K948" s="19"/>
      <c r="L948" s="19"/>
      <c r="M948" s="19"/>
      <c r="N948" s="19"/>
      <c r="O948" s="19"/>
      <c r="P948" s="36" t="s">
        <v>118</v>
      </c>
      <c r="Q948" s="19" t="s">
        <v>395</v>
      </c>
      <c r="R948" s="19"/>
      <c r="S948" s="91">
        <v>0.02</v>
      </c>
      <c r="T948" s="6"/>
      <c r="U948" s="20">
        <f t="shared" si="116"/>
        <v>8.8330000000000002</v>
      </c>
      <c r="V948" s="19" t="s">
        <v>1517</v>
      </c>
      <c r="W948" s="19"/>
      <c r="X948" s="19"/>
      <c r="Y948" s="72">
        <v>8.0299999999999994</v>
      </c>
      <c r="Z948" s="92">
        <v>1.1000000000000001</v>
      </c>
      <c r="AA948" s="92">
        <v>1</v>
      </c>
    </row>
    <row r="949" spans="1:27" x14ac:dyDescent="0.25">
      <c r="A949" s="33">
        <f t="shared" si="118"/>
        <v>946</v>
      </c>
      <c r="B949" s="19" t="s">
        <v>1518</v>
      </c>
      <c r="C949" s="34" t="s">
        <v>1521</v>
      </c>
      <c r="D949" s="19" t="s">
        <v>1515</v>
      </c>
      <c r="E949" s="22" t="s">
        <v>314</v>
      </c>
      <c r="F949" s="19" t="s">
        <v>943</v>
      </c>
      <c r="G949" s="6"/>
      <c r="H949" s="6"/>
      <c r="I949" s="6"/>
      <c r="J949" s="6"/>
      <c r="K949" s="6"/>
      <c r="L949" s="6"/>
      <c r="M949" s="6"/>
      <c r="N949" s="6"/>
      <c r="O949" s="6"/>
      <c r="P949" s="6" t="s">
        <v>28</v>
      </c>
      <c r="Q949" s="19" t="s">
        <v>395</v>
      </c>
      <c r="R949" s="6"/>
      <c r="S949" s="91">
        <v>0.02</v>
      </c>
      <c r="T949" s="6"/>
      <c r="U949" s="20">
        <f t="shared" si="116"/>
        <v>5.5330000000000004</v>
      </c>
      <c r="V949" s="19" t="s">
        <v>1522</v>
      </c>
      <c r="W949" s="6"/>
      <c r="X949" s="19"/>
      <c r="Y949" s="72">
        <v>5.03</v>
      </c>
      <c r="Z949" s="92">
        <v>1.1000000000000001</v>
      </c>
      <c r="AA949" s="92">
        <v>1</v>
      </c>
    </row>
    <row r="950" spans="1:27" x14ac:dyDescent="0.25">
      <c r="A950" s="33">
        <f t="shared" ref="A950:A981" si="121">ROW()-3</f>
        <v>947</v>
      </c>
      <c r="B950" s="19" t="s">
        <v>1523</v>
      </c>
      <c r="C950" s="19" t="s">
        <v>1524</v>
      </c>
      <c r="D950" s="19" t="s">
        <v>1515</v>
      </c>
      <c r="E950" s="22" t="s">
        <v>314</v>
      </c>
      <c r="F950" s="19" t="s">
        <v>943</v>
      </c>
      <c r="G950" s="6"/>
      <c r="H950" s="6"/>
      <c r="I950" s="6"/>
      <c r="J950" s="6"/>
      <c r="K950" s="6"/>
      <c r="L950" s="6"/>
      <c r="M950" s="6"/>
      <c r="N950" s="6"/>
      <c r="O950" s="6"/>
      <c r="P950" s="6" t="s">
        <v>22</v>
      </c>
      <c r="Q950" s="19" t="s">
        <v>395</v>
      </c>
      <c r="R950" s="6"/>
      <c r="S950" s="91">
        <v>0.02</v>
      </c>
      <c r="T950" s="6"/>
      <c r="U950" s="20">
        <f t="shared" si="116"/>
        <v>6.3250000000000002</v>
      </c>
      <c r="V950" s="19" t="s">
        <v>1525</v>
      </c>
      <c r="W950" s="6"/>
      <c r="X950" s="19"/>
      <c r="Y950" s="72">
        <v>5.75</v>
      </c>
      <c r="Z950" s="92">
        <v>1.1000000000000001</v>
      </c>
      <c r="AA950" s="92">
        <v>1</v>
      </c>
    </row>
    <row r="951" spans="1:27" x14ac:dyDescent="0.25">
      <c r="A951" s="33">
        <f t="shared" si="121"/>
        <v>948</v>
      </c>
      <c r="B951" s="19" t="s">
        <v>1513</v>
      </c>
      <c r="C951" s="19" t="s">
        <v>1514</v>
      </c>
      <c r="D951" s="19" t="s">
        <v>1515</v>
      </c>
      <c r="E951" s="22" t="s">
        <v>394</v>
      </c>
      <c r="F951" s="19" t="s">
        <v>203</v>
      </c>
      <c r="G951" s="19"/>
      <c r="H951" s="19"/>
      <c r="I951" s="19"/>
      <c r="J951" s="19"/>
      <c r="K951" s="19"/>
      <c r="L951" s="19"/>
      <c r="M951" s="19"/>
      <c r="N951" s="19"/>
      <c r="O951" s="19"/>
      <c r="P951" s="36" t="s">
        <v>118</v>
      </c>
      <c r="Q951" s="19" t="s">
        <v>395</v>
      </c>
      <c r="R951" s="19"/>
      <c r="S951" s="91">
        <v>0.02</v>
      </c>
      <c r="T951" s="6"/>
      <c r="U951" s="20">
        <f t="shared" si="116"/>
        <v>8.8330000000000002</v>
      </c>
      <c r="V951" s="19" t="s">
        <v>1517</v>
      </c>
      <c r="W951" s="19"/>
      <c r="X951" s="19"/>
      <c r="Y951" s="72">
        <v>8.0299999999999994</v>
      </c>
      <c r="Z951" s="92">
        <v>1.1000000000000001</v>
      </c>
      <c r="AA951" s="92">
        <v>1</v>
      </c>
    </row>
    <row r="952" spans="1:27" x14ac:dyDescent="0.25">
      <c r="A952" s="33">
        <f t="shared" si="121"/>
        <v>949</v>
      </c>
      <c r="B952" s="19" t="s">
        <v>1518</v>
      </c>
      <c r="C952" s="34" t="s">
        <v>1521</v>
      </c>
      <c r="D952" s="19" t="s">
        <v>1515</v>
      </c>
      <c r="E952" s="22" t="s">
        <v>394</v>
      </c>
      <c r="F952" s="19" t="s">
        <v>203</v>
      </c>
      <c r="G952" s="6"/>
      <c r="H952" s="6"/>
      <c r="I952" s="6"/>
      <c r="J952" s="6"/>
      <c r="K952" s="6"/>
      <c r="L952" s="6"/>
      <c r="M952" s="6"/>
      <c r="N952" s="6"/>
      <c r="O952" s="6"/>
      <c r="P952" s="6" t="s">
        <v>28</v>
      </c>
      <c r="Q952" s="19" t="s">
        <v>395</v>
      </c>
      <c r="R952" s="6"/>
      <c r="S952" s="91">
        <v>0.02</v>
      </c>
      <c r="T952" s="6"/>
      <c r="U952" s="20">
        <f t="shared" si="116"/>
        <v>5.5330000000000004</v>
      </c>
      <c r="V952" s="19" t="s">
        <v>1522</v>
      </c>
      <c r="W952" s="6"/>
      <c r="X952" s="19"/>
      <c r="Y952" s="72">
        <v>5.03</v>
      </c>
      <c r="Z952" s="92">
        <v>1.1000000000000001</v>
      </c>
      <c r="AA952" s="92">
        <v>1</v>
      </c>
    </row>
    <row r="953" spans="1:27" x14ac:dyDescent="0.25">
      <c r="A953" s="33">
        <f t="shared" si="121"/>
        <v>950</v>
      </c>
      <c r="B953" s="19" t="s">
        <v>1523</v>
      </c>
      <c r="C953" s="19" t="s">
        <v>1524</v>
      </c>
      <c r="D953" s="19" t="s">
        <v>1515</v>
      </c>
      <c r="E953" s="22" t="s">
        <v>394</v>
      </c>
      <c r="F953" s="19" t="s">
        <v>203</v>
      </c>
      <c r="G953" s="6"/>
      <c r="H953" s="6"/>
      <c r="I953" s="6"/>
      <c r="J953" s="6"/>
      <c r="K953" s="6"/>
      <c r="L953" s="6"/>
      <c r="M953" s="6"/>
      <c r="N953" s="6"/>
      <c r="O953" s="6"/>
      <c r="P953" s="6" t="s">
        <v>22</v>
      </c>
      <c r="Q953" s="19" t="s">
        <v>395</v>
      </c>
      <c r="R953" s="6"/>
      <c r="S953" s="91">
        <v>0.02</v>
      </c>
      <c r="T953" s="6"/>
      <c r="U953" s="20">
        <f t="shared" si="116"/>
        <v>6.3250000000000002</v>
      </c>
      <c r="V953" s="19" t="s">
        <v>1525</v>
      </c>
      <c r="W953" s="6"/>
      <c r="X953" s="19"/>
      <c r="Y953" s="72">
        <v>5.75</v>
      </c>
      <c r="Z953" s="92">
        <v>1.1000000000000001</v>
      </c>
      <c r="AA953" s="92">
        <v>1</v>
      </c>
    </row>
    <row r="954" spans="1:27" x14ac:dyDescent="0.25">
      <c r="A954" s="33">
        <f t="shared" si="121"/>
        <v>951</v>
      </c>
      <c r="B954" s="19" t="s">
        <v>1513</v>
      </c>
      <c r="C954" s="19" t="s">
        <v>1514</v>
      </c>
      <c r="D954" s="19" t="s">
        <v>1515</v>
      </c>
      <c r="E954" s="22" t="s">
        <v>394</v>
      </c>
      <c r="F954" s="19" t="s">
        <v>110</v>
      </c>
      <c r="G954" s="19"/>
      <c r="H954" s="19"/>
      <c r="I954" s="19"/>
      <c r="J954" s="19"/>
      <c r="K954" s="19"/>
      <c r="L954" s="19"/>
      <c r="M954" s="19"/>
      <c r="N954" s="19"/>
      <c r="O954" s="19"/>
      <c r="P954" s="36" t="s">
        <v>118</v>
      </c>
      <c r="Q954" s="19" t="s">
        <v>395</v>
      </c>
      <c r="R954" s="19"/>
      <c r="S954" s="91">
        <v>0.02</v>
      </c>
      <c r="T954" s="6"/>
      <c r="U954" s="20">
        <f t="shared" si="116"/>
        <v>8.8330000000000002</v>
      </c>
      <c r="V954" s="19" t="s">
        <v>1517</v>
      </c>
      <c r="W954" s="19"/>
      <c r="X954" s="19"/>
      <c r="Y954" s="72">
        <v>8.0299999999999994</v>
      </c>
      <c r="Z954" s="92">
        <v>1.1000000000000001</v>
      </c>
      <c r="AA954" s="92">
        <v>1</v>
      </c>
    </row>
    <row r="955" spans="1:27" x14ac:dyDescent="0.25">
      <c r="A955" s="33">
        <f t="shared" si="121"/>
        <v>952</v>
      </c>
      <c r="B955" s="19" t="s">
        <v>1518</v>
      </c>
      <c r="C955" s="34" t="s">
        <v>1521</v>
      </c>
      <c r="D955" s="19" t="s">
        <v>1515</v>
      </c>
      <c r="E955" s="22" t="s">
        <v>394</v>
      </c>
      <c r="F955" s="19" t="s">
        <v>110</v>
      </c>
      <c r="G955" s="6"/>
      <c r="H955" s="6"/>
      <c r="I955" s="6"/>
      <c r="J955" s="6"/>
      <c r="K955" s="6"/>
      <c r="L955" s="6"/>
      <c r="M955" s="6"/>
      <c r="N955" s="6"/>
      <c r="O955" s="6"/>
      <c r="P955" s="6" t="s">
        <v>28</v>
      </c>
      <c r="Q955" s="19" t="s">
        <v>395</v>
      </c>
      <c r="R955" s="6"/>
      <c r="S955" s="91">
        <v>0.02</v>
      </c>
      <c r="T955" s="6"/>
      <c r="U955" s="20">
        <f t="shared" si="116"/>
        <v>5.5330000000000004</v>
      </c>
      <c r="V955" s="19" t="s">
        <v>1522</v>
      </c>
      <c r="W955" s="6"/>
      <c r="X955" s="19"/>
      <c r="Y955" s="72">
        <v>5.03</v>
      </c>
      <c r="Z955" s="92">
        <v>1.1000000000000001</v>
      </c>
      <c r="AA955" s="92">
        <v>1</v>
      </c>
    </row>
    <row r="956" spans="1:27" x14ac:dyDescent="0.25">
      <c r="A956" s="33">
        <f t="shared" si="121"/>
        <v>953</v>
      </c>
      <c r="B956" s="19" t="s">
        <v>1523</v>
      </c>
      <c r="C956" s="19" t="s">
        <v>1524</v>
      </c>
      <c r="D956" s="19" t="s">
        <v>1515</v>
      </c>
      <c r="E956" s="22" t="s">
        <v>394</v>
      </c>
      <c r="F956" s="19" t="s">
        <v>110</v>
      </c>
      <c r="G956" s="6"/>
      <c r="H956" s="6"/>
      <c r="I956" s="6"/>
      <c r="J956" s="6"/>
      <c r="K956" s="6"/>
      <c r="L956" s="6"/>
      <c r="M956" s="6"/>
      <c r="N956" s="6"/>
      <c r="O956" s="6"/>
      <c r="P956" s="6" t="s">
        <v>22</v>
      </c>
      <c r="Q956" s="19" t="s">
        <v>395</v>
      </c>
      <c r="R956" s="6"/>
      <c r="S956" s="91">
        <v>0.02</v>
      </c>
      <c r="T956" s="6"/>
      <c r="U956" s="20">
        <f t="shared" si="116"/>
        <v>6.3250000000000002</v>
      </c>
      <c r="V956" s="19" t="s">
        <v>1525</v>
      </c>
      <c r="W956" s="6"/>
      <c r="X956" s="19"/>
      <c r="Y956" s="72">
        <v>5.75</v>
      </c>
      <c r="Z956" s="92">
        <v>1.1000000000000001</v>
      </c>
      <c r="AA956" s="92">
        <v>1</v>
      </c>
    </row>
    <row r="957" spans="1:27" x14ac:dyDescent="0.25">
      <c r="A957" s="33">
        <f t="shared" si="121"/>
        <v>954</v>
      </c>
      <c r="B957" s="19" t="s">
        <v>1513</v>
      </c>
      <c r="C957" s="19" t="s">
        <v>1514</v>
      </c>
      <c r="D957" s="19" t="s">
        <v>1515</v>
      </c>
      <c r="E957" s="22" t="s">
        <v>394</v>
      </c>
      <c r="F957" s="19" t="s">
        <v>550</v>
      </c>
      <c r="G957" s="19"/>
      <c r="H957" s="19"/>
      <c r="I957" s="19"/>
      <c r="J957" s="19"/>
      <c r="K957" s="19"/>
      <c r="L957" s="19"/>
      <c r="M957" s="19"/>
      <c r="N957" s="19"/>
      <c r="O957" s="19"/>
      <c r="P957" s="36" t="s">
        <v>118</v>
      </c>
      <c r="Q957" s="19" t="s">
        <v>395</v>
      </c>
      <c r="R957" s="19"/>
      <c r="S957" s="91">
        <v>0.02</v>
      </c>
      <c r="T957" s="6"/>
      <c r="U957" s="20">
        <f t="shared" si="116"/>
        <v>8.8330000000000002</v>
      </c>
      <c r="V957" s="19" t="s">
        <v>1517</v>
      </c>
      <c r="W957" s="19"/>
      <c r="X957" s="19"/>
      <c r="Y957" s="72">
        <v>8.0299999999999994</v>
      </c>
      <c r="Z957" s="92">
        <v>1.1000000000000001</v>
      </c>
      <c r="AA957" s="92">
        <v>1</v>
      </c>
    </row>
    <row r="958" spans="1:27" x14ac:dyDescent="0.25">
      <c r="A958" s="33">
        <f t="shared" si="121"/>
        <v>955</v>
      </c>
      <c r="B958" s="19" t="s">
        <v>1518</v>
      </c>
      <c r="C958" s="34" t="s">
        <v>1521</v>
      </c>
      <c r="D958" s="19" t="s">
        <v>1515</v>
      </c>
      <c r="E958" s="22" t="s">
        <v>394</v>
      </c>
      <c r="F958" s="19" t="s">
        <v>550</v>
      </c>
      <c r="G958" s="6"/>
      <c r="H958" s="6"/>
      <c r="I958" s="6"/>
      <c r="J958" s="6"/>
      <c r="K958" s="6"/>
      <c r="L958" s="6"/>
      <c r="M958" s="6"/>
      <c r="N958" s="6"/>
      <c r="O958" s="6"/>
      <c r="P958" s="6" t="s">
        <v>28</v>
      </c>
      <c r="Q958" s="19" t="s">
        <v>395</v>
      </c>
      <c r="R958" s="6"/>
      <c r="S958" s="91">
        <v>0.02</v>
      </c>
      <c r="T958" s="6"/>
      <c r="U958" s="20">
        <f t="shared" si="116"/>
        <v>5.5330000000000004</v>
      </c>
      <c r="V958" s="19" t="s">
        <v>1522</v>
      </c>
      <c r="W958" s="6"/>
      <c r="X958" s="19"/>
      <c r="Y958" s="72">
        <v>5.03</v>
      </c>
      <c r="Z958" s="92">
        <v>1.1000000000000001</v>
      </c>
      <c r="AA958" s="92">
        <v>1</v>
      </c>
    </row>
    <row r="959" spans="1:27" x14ac:dyDescent="0.25">
      <c r="A959" s="33">
        <f t="shared" si="121"/>
        <v>956</v>
      </c>
      <c r="B959" s="19" t="s">
        <v>1523</v>
      </c>
      <c r="C959" s="19" t="s">
        <v>1524</v>
      </c>
      <c r="D959" s="19" t="s">
        <v>1515</v>
      </c>
      <c r="E959" s="22" t="s">
        <v>394</v>
      </c>
      <c r="F959" s="19" t="s">
        <v>550</v>
      </c>
      <c r="G959" s="6"/>
      <c r="H959" s="6"/>
      <c r="I959" s="6"/>
      <c r="J959" s="6"/>
      <c r="K959" s="6"/>
      <c r="L959" s="6"/>
      <c r="M959" s="6"/>
      <c r="N959" s="6"/>
      <c r="O959" s="6"/>
      <c r="P959" s="6" t="s">
        <v>22</v>
      </c>
      <c r="Q959" s="19" t="s">
        <v>395</v>
      </c>
      <c r="R959" s="6"/>
      <c r="S959" s="91">
        <v>0.02</v>
      </c>
      <c r="T959" s="6"/>
      <c r="U959" s="20">
        <f t="shared" si="116"/>
        <v>6.3250000000000002</v>
      </c>
      <c r="V959" s="19" t="s">
        <v>1525</v>
      </c>
      <c r="W959" s="6"/>
      <c r="X959" s="19"/>
      <c r="Y959" s="72">
        <v>5.75</v>
      </c>
      <c r="Z959" s="92">
        <v>1.1000000000000001</v>
      </c>
      <c r="AA959" s="92">
        <v>1</v>
      </c>
    </row>
    <row r="960" spans="1:27" x14ac:dyDescent="0.25">
      <c r="A960" s="33">
        <f t="shared" si="121"/>
        <v>957</v>
      </c>
      <c r="B960" s="19" t="s">
        <v>1513</v>
      </c>
      <c r="C960" s="19" t="s">
        <v>1514</v>
      </c>
      <c r="D960" s="19" t="s">
        <v>1515</v>
      </c>
      <c r="E960" s="22" t="s">
        <v>394</v>
      </c>
      <c r="F960" s="19" t="s">
        <v>98</v>
      </c>
      <c r="G960" s="19"/>
      <c r="H960" s="19"/>
      <c r="I960" s="19"/>
      <c r="J960" s="19"/>
      <c r="K960" s="19"/>
      <c r="L960" s="19"/>
      <c r="M960" s="19"/>
      <c r="N960" s="19"/>
      <c r="O960" s="19"/>
      <c r="P960" s="36" t="s">
        <v>118</v>
      </c>
      <c r="Q960" s="19" t="s">
        <v>395</v>
      </c>
      <c r="R960" s="19"/>
      <c r="S960" s="91">
        <v>0.02</v>
      </c>
      <c r="T960" s="6"/>
      <c r="U960" s="20">
        <f t="shared" si="116"/>
        <v>8.8330000000000002</v>
      </c>
      <c r="V960" s="19" t="s">
        <v>1517</v>
      </c>
      <c r="W960" s="19"/>
      <c r="X960" s="19"/>
      <c r="Y960" s="72">
        <v>8.0299999999999994</v>
      </c>
      <c r="Z960" s="92">
        <v>1.1000000000000001</v>
      </c>
      <c r="AA960" s="92">
        <v>1</v>
      </c>
    </row>
    <row r="961" spans="1:27" x14ac:dyDescent="0.25">
      <c r="A961" s="33">
        <f t="shared" si="121"/>
        <v>958</v>
      </c>
      <c r="B961" s="19" t="s">
        <v>1518</v>
      </c>
      <c r="C961" s="34" t="s">
        <v>1521</v>
      </c>
      <c r="D961" s="19" t="s">
        <v>1515</v>
      </c>
      <c r="E961" s="22" t="s">
        <v>394</v>
      </c>
      <c r="F961" s="19" t="s">
        <v>98</v>
      </c>
      <c r="G961" s="6"/>
      <c r="H961" s="6"/>
      <c r="I961" s="6"/>
      <c r="J961" s="6"/>
      <c r="K961" s="6"/>
      <c r="L961" s="6"/>
      <c r="M961" s="6"/>
      <c r="N961" s="6"/>
      <c r="O961" s="6"/>
      <c r="P961" s="6" t="s">
        <v>28</v>
      </c>
      <c r="Q961" s="19" t="s">
        <v>395</v>
      </c>
      <c r="R961" s="6"/>
      <c r="S961" s="91">
        <v>0.02</v>
      </c>
      <c r="T961" s="6"/>
      <c r="U961" s="20">
        <f t="shared" si="116"/>
        <v>5.5330000000000004</v>
      </c>
      <c r="V961" s="19" t="s">
        <v>1522</v>
      </c>
      <c r="W961" s="6"/>
      <c r="X961" s="19"/>
      <c r="Y961" s="72">
        <v>5.03</v>
      </c>
      <c r="Z961" s="92">
        <v>1.1000000000000001</v>
      </c>
      <c r="AA961" s="92">
        <v>1</v>
      </c>
    </row>
    <row r="962" spans="1:27" x14ac:dyDescent="0.25">
      <c r="A962" s="33">
        <f t="shared" si="121"/>
        <v>959</v>
      </c>
      <c r="B962" s="19" t="s">
        <v>1523</v>
      </c>
      <c r="C962" s="19" t="s">
        <v>1524</v>
      </c>
      <c r="D962" s="19" t="s">
        <v>1515</v>
      </c>
      <c r="E962" s="22" t="s">
        <v>394</v>
      </c>
      <c r="F962" s="19" t="s">
        <v>98</v>
      </c>
      <c r="G962" s="6"/>
      <c r="H962" s="6"/>
      <c r="I962" s="6"/>
      <c r="J962" s="6"/>
      <c r="K962" s="6"/>
      <c r="L962" s="6"/>
      <c r="M962" s="6"/>
      <c r="N962" s="6"/>
      <c r="O962" s="6"/>
      <c r="P962" s="6" t="s">
        <v>22</v>
      </c>
      <c r="Q962" s="19" t="s">
        <v>395</v>
      </c>
      <c r="R962" s="6"/>
      <c r="S962" s="91">
        <v>0.02</v>
      </c>
      <c r="T962" s="6"/>
      <c r="U962" s="20">
        <f t="shared" si="116"/>
        <v>6.3250000000000002</v>
      </c>
      <c r="V962" s="19" t="s">
        <v>1525</v>
      </c>
      <c r="W962" s="6"/>
      <c r="X962" s="19"/>
      <c r="Y962" s="72">
        <v>5.75</v>
      </c>
      <c r="Z962" s="92">
        <v>1.1000000000000001</v>
      </c>
      <c r="AA962" s="92">
        <v>1</v>
      </c>
    </row>
    <row r="963" spans="1:27" x14ac:dyDescent="0.25">
      <c r="A963" s="33">
        <f t="shared" si="121"/>
        <v>960</v>
      </c>
      <c r="B963" s="19" t="s">
        <v>1513</v>
      </c>
      <c r="C963" s="19" t="s">
        <v>1514</v>
      </c>
      <c r="D963" s="19" t="s">
        <v>1515</v>
      </c>
      <c r="E963" s="22" t="s">
        <v>394</v>
      </c>
      <c r="F963" s="19" t="s">
        <v>22</v>
      </c>
      <c r="G963" s="19"/>
      <c r="H963" s="19"/>
      <c r="I963" s="19"/>
      <c r="J963" s="19"/>
      <c r="K963" s="19"/>
      <c r="L963" s="19"/>
      <c r="M963" s="19"/>
      <c r="N963" s="19"/>
      <c r="O963" s="19"/>
      <c r="P963" s="36" t="s">
        <v>118</v>
      </c>
      <c r="Q963" s="19" t="s">
        <v>395</v>
      </c>
      <c r="R963" s="19"/>
      <c r="S963" s="91">
        <v>0.02</v>
      </c>
      <c r="T963" s="6"/>
      <c r="U963" s="20">
        <f t="shared" si="116"/>
        <v>8.8330000000000002</v>
      </c>
      <c r="V963" s="19" t="s">
        <v>1517</v>
      </c>
      <c r="W963" s="19"/>
      <c r="X963" s="19"/>
      <c r="Y963" s="72">
        <v>8.0299999999999994</v>
      </c>
      <c r="Z963" s="92">
        <v>1.1000000000000001</v>
      </c>
      <c r="AA963" s="92">
        <v>1</v>
      </c>
    </row>
    <row r="964" spans="1:27" x14ac:dyDescent="0.25">
      <c r="A964" s="33">
        <f t="shared" si="121"/>
        <v>961</v>
      </c>
      <c r="B964" s="19" t="s">
        <v>1518</v>
      </c>
      <c r="C964" s="34" t="s">
        <v>1521</v>
      </c>
      <c r="D964" s="19" t="s">
        <v>1515</v>
      </c>
      <c r="E964" s="22" t="s">
        <v>394</v>
      </c>
      <c r="F964" s="19" t="s">
        <v>22</v>
      </c>
      <c r="G964" s="6"/>
      <c r="H964" s="6"/>
      <c r="I964" s="6"/>
      <c r="J964" s="6"/>
      <c r="K964" s="6"/>
      <c r="L964" s="6"/>
      <c r="M964" s="6"/>
      <c r="N964" s="6"/>
      <c r="O964" s="6"/>
      <c r="P964" s="6" t="s">
        <v>28</v>
      </c>
      <c r="Q964" s="19" t="s">
        <v>395</v>
      </c>
      <c r="R964" s="6"/>
      <c r="S964" s="91">
        <v>0.02</v>
      </c>
      <c r="T964" s="6"/>
      <c r="U964" s="20">
        <f t="shared" si="116"/>
        <v>5.5330000000000004</v>
      </c>
      <c r="V964" s="19" t="s">
        <v>1522</v>
      </c>
      <c r="W964" s="6"/>
      <c r="X964" s="19"/>
      <c r="Y964" s="72">
        <v>5.03</v>
      </c>
      <c r="Z964" s="92">
        <v>1.1000000000000001</v>
      </c>
      <c r="AA964" s="92">
        <v>1</v>
      </c>
    </row>
    <row r="965" spans="1:27" x14ac:dyDescent="0.25">
      <c r="A965" s="33">
        <f t="shared" si="121"/>
        <v>962</v>
      </c>
      <c r="B965" s="19" t="s">
        <v>1523</v>
      </c>
      <c r="C965" s="19" t="s">
        <v>1524</v>
      </c>
      <c r="D965" s="19" t="s">
        <v>1515</v>
      </c>
      <c r="E965" s="22" t="s">
        <v>394</v>
      </c>
      <c r="F965" s="19" t="s">
        <v>22</v>
      </c>
      <c r="G965" s="6"/>
      <c r="H965" s="6"/>
      <c r="I965" s="6"/>
      <c r="J965" s="6"/>
      <c r="K965" s="6"/>
      <c r="L965" s="6"/>
      <c r="M965" s="6"/>
      <c r="N965" s="6"/>
      <c r="O965" s="6"/>
      <c r="P965" s="6" t="s">
        <v>22</v>
      </c>
      <c r="Q965" s="19" t="s">
        <v>395</v>
      </c>
      <c r="R965" s="6"/>
      <c r="S965" s="91">
        <v>0.02</v>
      </c>
      <c r="T965" s="6"/>
      <c r="U965" s="20">
        <f t="shared" si="116"/>
        <v>6.3250000000000002</v>
      </c>
      <c r="V965" s="19" t="s">
        <v>1525</v>
      </c>
      <c r="W965" s="6"/>
      <c r="X965" s="19"/>
      <c r="Y965" s="72">
        <v>5.75</v>
      </c>
      <c r="Z965" s="92">
        <v>1.1000000000000001</v>
      </c>
      <c r="AA965" s="92">
        <v>1</v>
      </c>
    </row>
    <row r="966" spans="1:27" x14ac:dyDescent="0.25">
      <c r="A966" s="33">
        <f t="shared" si="121"/>
        <v>963</v>
      </c>
      <c r="B966" s="19" t="s">
        <v>1513</v>
      </c>
      <c r="C966" s="19" t="s">
        <v>1514</v>
      </c>
      <c r="D966" s="19" t="s">
        <v>1515</v>
      </c>
      <c r="E966" s="22" t="s">
        <v>394</v>
      </c>
      <c r="F966" s="19" t="s">
        <v>161</v>
      </c>
      <c r="G966" s="19"/>
      <c r="H966" s="19"/>
      <c r="I966" s="19"/>
      <c r="J966" s="19"/>
      <c r="K966" s="19"/>
      <c r="L966" s="19"/>
      <c r="M966" s="19"/>
      <c r="N966" s="19"/>
      <c r="O966" s="19"/>
      <c r="P966" s="36" t="s">
        <v>118</v>
      </c>
      <c r="Q966" s="19" t="s">
        <v>395</v>
      </c>
      <c r="R966" s="19"/>
      <c r="S966" s="91">
        <v>0.02</v>
      </c>
      <c r="T966" s="6"/>
      <c r="U966" s="20">
        <f t="shared" si="116"/>
        <v>8.8330000000000002</v>
      </c>
      <c r="V966" s="19" t="s">
        <v>1517</v>
      </c>
      <c r="W966" s="19"/>
      <c r="X966" s="19"/>
      <c r="Y966" s="72">
        <v>8.0299999999999994</v>
      </c>
      <c r="Z966" s="92">
        <v>1.1000000000000001</v>
      </c>
      <c r="AA966" s="92">
        <v>1</v>
      </c>
    </row>
    <row r="967" spans="1:27" x14ac:dyDescent="0.25">
      <c r="A967" s="33">
        <f t="shared" si="121"/>
        <v>964</v>
      </c>
      <c r="B967" s="19" t="s">
        <v>1518</v>
      </c>
      <c r="C967" s="34" t="s">
        <v>1521</v>
      </c>
      <c r="D967" s="19" t="s">
        <v>1515</v>
      </c>
      <c r="E967" s="22" t="s">
        <v>394</v>
      </c>
      <c r="F967" s="19" t="s">
        <v>161</v>
      </c>
      <c r="G967" s="6"/>
      <c r="H967" s="6"/>
      <c r="I967" s="6"/>
      <c r="J967" s="6"/>
      <c r="K967" s="6"/>
      <c r="L967" s="6"/>
      <c r="M967" s="6"/>
      <c r="N967" s="6"/>
      <c r="O967" s="6"/>
      <c r="P967" s="6" t="s">
        <v>28</v>
      </c>
      <c r="Q967" s="19" t="s">
        <v>395</v>
      </c>
      <c r="R967" s="6"/>
      <c r="S967" s="91">
        <v>0.02</v>
      </c>
      <c r="T967" s="6"/>
      <c r="U967" s="20">
        <f t="shared" ref="U967:U968" si="122">Y967*1.1</f>
        <v>5.5330000000000004</v>
      </c>
      <c r="V967" s="19" t="s">
        <v>1522</v>
      </c>
      <c r="W967" s="6"/>
      <c r="X967" s="19"/>
      <c r="Y967" s="72">
        <v>5.03</v>
      </c>
      <c r="Z967" s="92">
        <v>1.1000000000000001</v>
      </c>
      <c r="AA967" s="92">
        <v>1</v>
      </c>
    </row>
    <row r="968" spans="1:27" x14ac:dyDescent="0.25">
      <c r="A968" s="33">
        <f t="shared" si="121"/>
        <v>965</v>
      </c>
      <c r="B968" s="19" t="s">
        <v>1523</v>
      </c>
      <c r="C968" s="19" t="s">
        <v>1524</v>
      </c>
      <c r="D968" s="19" t="s">
        <v>1515</v>
      </c>
      <c r="E968" s="22" t="s">
        <v>394</v>
      </c>
      <c r="F968" s="19" t="s">
        <v>161</v>
      </c>
      <c r="G968" s="6"/>
      <c r="H968" s="6"/>
      <c r="I968" s="6"/>
      <c r="J968" s="6"/>
      <c r="K968" s="6"/>
      <c r="L968" s="6"/>
      <c r="M968" s="6"/>
      <c r="N968" s="6"/>
      <c r="O968" s="6"/>
      <c r="P968" s="6" t="s">
        <v>22</v>
      </c>
      <c r="Q968" s="19" t="s">
        <v>395</v>
      </c>
      <c r="R968" s="6"/>
      <c r="S968" s="91">
        <v>0.02</v>
      </c>
      <c r="T968" s="6"/>
      <c r="U968" s="20">
        <f t="shared" si="122"/>
        <v>6.3250000000000002</v>
      </c>
      <c r="V968" s="19" t="s">
        <v>1525</v>
      </c>
      <c r="W968" s="6"/>
      <c r="X968" s="19"/>
      <c r="Y968" s="72">
        <v>5.75</v>
      </c>
      <c r="Z968" s="92">
        <v>1.1000000000000001</v>
      </c>
      <c r="AA968" s="92">
        <v>1</v>
      </c>
    </row>
    <row r="969" spans="1:27" x14ac:dyDescent="0.25">
      <c r="A969" s="33">
        <f t="shared" si="121"/>
        <v>966</v>
      </c>
      <c r="B969" s="217" t="s">
        <v>1526</v>
      </c>
      <c r="C969" s="217"/>
      <c r="D969" s="217"/>
      <c r="E969" s="217"/>
      <c r="F969" s="217"/>
      <c r="G969" s="217"/>
      <c r="H969" s="217"/>
      <c r="I969" s="217"/>
      <c r="J969" s="217"/>
      <c r="K969" s="217"/>
      <c r="L969" s="217"/>
      <c r="M969" s="217"/>
      <c r="N969" s="217"/>
      <c r="O969" s="217"/>
      <c r="P969" s="217"/>
      <c r="Q969" s="217"/>
      <c r="R969" s="217"/>
      <c r="S969" s="217"/>
      <c r="T969" s="217"/>
      <c r="U969" s="217"/>
      <c r="V969" s="217"/>
      <c r="W969" s="217"/>
      <c r="X969" s="19"/>
      <c r="Y969" s="74"/>
      <c r="Z969" s="76"/>
      <c r="AA969" s="76"/>
    </row>
    <row r="970" spans="1:27" x14ac:dyDescent="0.25">
      <c r="A970" s="33">
        <f t="shared" si="121"/>
        <v>967</v>
      </c>
      <c r="B970" s="19" t="s">
        <v>1527</v>
      </c>
      <c r="C970" s="34" t="s">
        <v>1528</v>
      </c>
      <c r="D970" s="19" t="s">
        <v>1526</v>
      </c>
      <c r="E970" s="6"/>
      <c r="F970" s="6"/>
      <c r="G970" s="6"/>
      <c r="H970" s="73" t="s">
        <v>100</v>
      </c>
      <c r="I970" s="6"/>
      <c r="J970" s="6"/>
      <c r="K970" s="6"/>
      <c r="L970" s="6"/>
      <c r="M970" s="6"/>
      <c r="N970" s="6"/>
      <c r="O970" s="6"/>
      <c r="P970" s="6"/>
      <c r="Q970" s="19" t="s">
        <v>395</v>
      </c>
      <c r="R970" s="6"/>
      <c r="S970" s="6"/>
      <c r="T970" s="6">
        <v>1</v>
      </c>
      <c r="U970" s="20">
        <f t="shared" ref="U970:U988" si="123">Y970*1.1</f>
        <v>0.38500000000000001</v>
      </c>
      <c r="V970" s="6"/>
      <c r="W970" s="6"/>
      <c r="X970" s="19"/>
      <c r="Y970" s="21">
        <v>0.35</v>
      </c>
      <c r="Z970" s="92">
        <v>1</v>
      </c>
      <c r="AA970" s="92">
        <v>1</v>
      </c>
    </row>
    <row r="971" spans="1:27" x14ac:dyDescent="0.25">
      <c r="A971" s="33">
        <f t="shared" si="121"/>
        <v>968</v>
      </c>
      <c r="B971" s="19" t="s">
        <v>1527</v>
      </c>
      <c r="C971" s="34" t="s">
        <v>1528</v>
      </c>
      <c r="D971" s="19" t="s">
        <v>1526</v>
      </c>
      <c r="E971" s="6"/>
      <c r="F971" s="6"/>
      <c r="G971" s="6"/>
      <c r="H971" s="34">
        <v>12</v>
      </c>
      <c r="I971" s="6"/>
      <c r="J971" s="6"/>
      <c r="K971" s="6"/>
      <c r="L971" s="6"/>
      <c r="M971" s="6"/>
      <c r="N971" s="6"/>
      <c r="O971" s="6"/>
      <c r="P971" s="6"/>
      <c r="Q971" s="19" t="s">
        <v>395</v>
      </c>
      <c r="R971" s="6"/>
      <c r="S971" s="6"/>
      <c r="T971" s="6">
        <v>1</v>
      </c>
      <c r="U971" s="20">
        <f t="shared" si="123"/>
        <v>0.45100000000000001</v>
      </c>
      <c r="V971" s="6"/>
      <c r="W971" s="6"/>
      <c r="X971" s="19"/>
      <c r="Y971" s="21">
        <v>0.41</v>
      </c>
      <c r="Z971" s="92">
        <v>1</v>
      </c>
      <c r="AA971" s="92">
        <v>1</v>
      </c>
    </row>
    <row r="972" spans="1:27" x14ac:dyDescent="0.25">
      <c r="A972" s="33">
        <f t="shared" si="121"/>
        <v>969</v>
      </c>
      <c r="B972" s="19" t="s">
        <v>1527</v>
      </c>
      <c r="C972" s="34" t="s">
        <v>1528</v>
      </c>
      <c r="D972" s="19" t="s">
        <v>1526</v>
      </c>
      <c r="E972" s="6"/>
      <c r="F972" s="6"/>
      <c r="G972" s="6"/>
      <c r="H972" s="34">
        <v>18</v>
      </c>
      <c r="I972" s="6"/>
      <c r="J972" s="6"/>
      <c r="K972" s="6"/>
      <c r="L972" s="6"/>
      <c r="M972" s="6"/>
      <c r="N972" s="6"/>
      <c r="O972" s="6"/>
      <c r="P972" s="6"/>
      <c r="Q972" s="19" t="s">
        <v>395</v>
      </c>
      <c r="R972" s="6"/>
      <c r="S972" s="6"/>
      <c r="T972" s="103">
        <f>(H972*0.3048/12+0.3)*20/1000</f>
        <v>1.5144000000000001E-2</v>
      </c>
      <c r="U972" s="20">
        <f t="shared" si="123"/>
        <v>0.51700000000000002</v>
      </c>
      <c r="V972" s="6"/>
      <c r="W972" s="6"/>
      <c r="X972" s="19"/>
      <c r="Y972" s="21">
        <v>0.47</v>
      </c>
      <c r="Z972" s="92">
        <v>1</v>
      </c>
      <c r="AA972" s="92">
        <v>1</v>
      </c>
    </row>
    <row r="973" spans="1:27" x14ac:dyDescent="0.25">
      <c r="A973" s="33">
        <f t="shared" si="121"/>
        <v>970</v>
      </c>
      <c r="B973" s="19" t="s">
        <v>1527</v>
      </c>
      <c r="C973" s="34" t="s">
        <v>1528</v>
      </c>
      <c r="D973" s="19" t="s">
        <v>1526</v>
      </c>
      <c r="E973" s="6"/>
      <c r="F973" s="6"/>
      <c r="G973" s="6"/>
      <c r="H973" s="34">
        <v>24</v>
      </c>
      <c r="I973" s="6"/>
      <c r="J973" s="6"/>
      <c r="K973" s="6"/>
      <c r="L973" s="6"/>
      <c r="M973" s="6"/>
      <c r="N973" s="6"/>
      <c r="O973" s="6"/>
      <c r="P973" s="6"/>
      <c r="Q973" s="19" t="s">
        <v>395</v>
      </c>
      <c r="R973" s="6"/>
      <c r="S973" s="6"/>
      <c r="T973" s="103">
        <f t="shared" ref="T973:T979" si="124">(H973*0.3048/12+0.3)*20/1000</f>
        <v>1.8192E-2</v>
      </c>
      <c r="U973" s="20">
        <f t="shared" si="123"/>
        <v>0.58300000000000007</v>
      </c>
      <c r="V973" s="6"/>
      <c r="W973" s="6"/>
      <c r="X973" s="19"/>
      <c r="Y973" s="21">
        <v>0.53</v>
      </c>
      <c r="Z973" s="92">
        <v>1</v>
      </c>
      <c r="AA973" s="92">
        <v>1</v>
      </c>
    </row>
    <row r="974" spans="1:27" x14ac:dyDescent="0.25">
      <c r="A974" s="33">
        <f t="shared" si="121"/>
        <v>971</v>
      </c>
      <c r="B974" s="19" t="s">
        <v>1527</v>
      </c>
      <c r="C974" s="34" t="s">
        <v>1528</v>
      </c>
      <c r="D974" s="19" t="s">
        <v>1526</v>
      </c>
      <c r="E974" s="6"/>
      <c r="F974" s="6"/>
      <c r="G974" s="6"/>
      <c r="H974" s="34">
        <v>30</v>
      </c>
      <c r="I974" s="6"/>
      <c r="J974" s="6"/>
      <c r="K974" s="6"/>
      <c r="L974" s="6"/>
      <c r="M974" s="6"/>
      <c r="N974" s="6"/>
      <c r="O974" s="6"/>
      <c r="P974" s="6"/>
      <c r="Q974" s="19" t="s">
        <v>395</v>
      </c>
      <c r="R974" s="6"/>
      <c r="S974" s="6"/>
      <c r="T974" s="103">
        <f t="shared" si="124"/>
        <v>2.1240000000000002E-2</v>
      </c>
      <c r="U974" s="20">
        <f t="shared" si="123"/>
        <v>0.64900000000000002</v>
      </c>
      <c r="V974" s="6"/>
      <c r="W974" s="6"/>
      <c r="X974" s="19"/>
      <c r="Y974" s="21">
        <v>0.59</v>
      </c>
      <c r="Z974" s="92">
        <v>1</v>
      </c>
      <c r="AA974" s="92">
        <v>1</v>
      </c>
    </row>
    <row r="975" spans="1:27" x14ac:dyDescent="0.25">
      <c r="A975" s="33">
        <f t="shared" si="121"/>
        <v>972</v>
      </c>
      <c r="B975" s="19" t="s">
        <v>1527</v>
      </c>
      <c r="C975" s="34" t="s">
        <v>1528</v>
      </c>
      <c r="D975" s="19" t="s">
        <v>1526</v>
      </c>
      <c r="E975" s="6"/>
      <c r="F975" s="6"/>
      <c r="G975" s="6"/>
      <c r="H975" s="34">
        <v>36</v>
      </c>
      <c r="I975" s="6"/>
      <c r="J975" s="6"/>
      <c r="K975" s="6"/>
      <c r="L975" s="6"/>
      <c r="M975" s="6"/>
      <c r="N975" s="6"/>
      <c r="O975" s="6"/>
      <c r="P975" s="6"/>
      <c r="Q975" s="19" t="s">
        <v>395</v>
      </c>
      <c r="R975" s="6"/>
      <c r="S975" s="6"/>
      <c r="T975" s="103">
        <f t="shared" si="124"/>
        <v>2.4288000000000004E-2</v>
      </c>
      <c r="U975" s="20">
        <f t="shared" si="123"/>
        <v>0.71500000000000008</v>
      </c>
      <c r="V975" s="6"/>
      <c r="W975" s="6"/>
      <c r="X975" s="19"/>
      <c r="Y975" s="21">
        <v>0.65</v>
      </c>
      <c r="Z975" s="92">
        <v>1</v>
      </c>
      <c r="AA975" s="92">
        <v>1</v>
      </c>
    </row>
    <row r="976" spans="1:27" x14ac:dyDescent="0.25">
      <c r="A976" s="33">
        <f t="shared" si="121"/>
        <v>973</v>
      </c>
      <c r="B976" s="19" t="s">
        <v>1527</v>
      </c>
      <c r="C976" s="34" t="s">
        <v>1528</v>
      </c>
      <c r="D976" s="19" t="s">
        <v>1526</v>
      </c>
      <c r="E976" s="6"/>
      <c r="F976" s="6"/>
      <c r="G976" s="6"/>
      <c r="H976" s="34">
        <v>42</v>
      </c>
      <c r="I976" s="6"/>
      <c r="J976" s="6"/>
      <c r="K976" s="6"/>
      <c r="L976" s="6"/>
      <c r="M976" s="6"/>
      <c r="N976" s="6"/>
      <c r="O976" s="6"/>
      <c r="P976" s="6"/>
      <c r="Q976" s="19" t="s">
        <v>395</v>
      </c>
      <c r="R976" s="6"/>
      <c r="S976" s="6"/>
      <c r="T976" s="103">
        <f t="shared" si="124"/>
        <v>2.7335999999999999E-2</v>
      </c>
      <c r="U976" s="20">
        <f t="shared" si="123"/>
        <v>0.78100000000000003</v>
      </c>
      <c r="V976" s="6"/>
      <c r="W976" s="6"/>
      <c r="X976" s="19"/>
      <c r="Y976" s="21">
        <v>0.71</v>
      </c>
      <c r="Z976" s="92">
        <v>1</v>
      </c>
      <c r="AA976" s="92">
        <v>1</v>
      </c>
    </row>
    <row r="977" spans="1:27" x14ac:dyDescent="0.25">
      <c r="A977" s="33">
        <f t="shared" si="121"/>
        <v>974</v>
      </c>
      <c r="B977" s="19" t="s">
        <v>1527</v>
      </c>
      <c r="C977" s="34" t="s">
        <v>1528</v>
      </c>
      <c r="D977" s="19" t="s">
        <v>1526</v>
      </c>
      <c r="E977" s="6"/>
      <c r="F977" s="6"/>
      <c r="G977" s="6"/>
      <c r="H977" s="34">
        <v>48</v>
      </c>
      <c r="I977" s="6"/>
      <c r="J977" s="6"/>
      <c r="K977" s="6"/>
      <c r="L977" s="6"/>
      <c r="M977" s="6"/>
      <c r="N977" s="6"/>
      <c r="O977" s="6"/>
      <c r="P977" s="6"/>
      <c r="Q977" s="19" t="s">
        <v>395</v>
      </c>
      <c r="R977" s="6"/>
      <c r="S977" s="6"/>
      <c r="T977" s="103">
        <f t="shared" si="124"/>
        <v>3.0384000000000001E-2</v>
      </c>
      <c r="U977" s="20">
        <f t="shared" si="123"/>
        <v>0.84700000000000009</v>
      </c>
      <c r="V977" s="6"/>
      <c r="W977" s="6"/>
      <c r="X977" s="19"/>
      <c r="Y977" s="21">
        <v>0.77</v>
      </c>
      <c r="Z977" s="92">
        <v>1</v>
      </c>
      <c r="AA977" s="92">
        <v>1</v>
      </c>
    </row>
    <row r="978" spans="1:27" x14ac:dyDescent="0.25">
      <c r="A978" s="33">
        <f t="shared" si="121"/>
        <v>975</v>
      </c>
      <c r="B978" s="19" t="s">
        <v>1527</v>
      </c>
      <c r="C978" s="34" t="s">
        <v>1528</v>
      </c>
      <c r="D978" s="19" t="s">
        <v>1526</v>
      </c>
      <c r="E978" s="6"/>
      <c r="F978" s="6"/>
      <c r="G978" s="6"/>
      <c r="H978" s="34">
        <v>54</v>
      </c>
      <c r="I978" s="6"/>
      <c r="J978" s="6"/>
      <c r="K978" s="6"/>
      <c r="L978" s="6"/>
      <c r="M978" s="6"/>
      <c r="N978" s="6"/>
      <c r="O978" s="6"/>
      <c r="P978" s="6"/>
      <c r="Q978" s="19" t="s">
        <v>395</v>
      </c>
      <c r="R978" s="6"/>
      <c r="S978" s="6"/>
      <c r="T978" s="103">
        <f t="shared" si="124"/>
        <v>3.3432000000000003E-2</v>
      </c>
      <c r="U978" s="20">
        <f t="shared" si="123"/>
        <v>0.90200000000000002</v>
      </c>
      <c r="V978" s="6"/>
      <c r="W978" s="6"/>
      <c r="X978" s="19"/>
      <c r="Y978" s="21">
        <v>0.82</v>
      </c>
      <c r="Z978" s="92">
        <v>1</v>
      </c>
      <c r="AA978" s="92">
        <v>1</v>
      </c>
    </row>
    <row r="979" spans="1:27" x14ac:dyDescent="0.25">
      <c r="A979" s="33">
        <f t="shared" si="121"/>
        <v>976</v>
      </c>
      <c r="B979" s="19" t="s">
        <v>1527</v>
      </c>
      <c r="C979" s="34" t="s">
        <v>1528</v>
      </c>
      <c r="D979" s="19" t="s">
        <v>1526</v>
      </c>
      <c r="E979" s="6"/>
      <c r="F979" s="6"/>
      <c r="G979" s="6"/>
      <c r="H979" s="34">
        <v>60</v>
      </c>
      <c r="I979" s="6"/>
      <c r="J979" s="6"/>
      <c r="K979" s="6"/>
      <c r="L979" s="6"/>
      <c r="M979" s="6"/>
      <c r="N979" s="6"/>
      <c r="O979" s="6"/>
      <c r="P979" s="6"/>
      <c r="Q979" s="19" t="s">
        <v>395</v>
      </c>
      <c r="R979" s="6"/>
      <c r="S979" s="6"/>
      <c r="T979" s="103">
        <f t="shared" si="124"/>
        <v>3.6480000000000005E-2</v>
      </c>
      <c r="U979" s="20">
        <f t="shared" si="123"/>
        <v>1.0449999999999999</v>
      </c>
      <c r="V979" s="6"/>
      <c r="W979" s="6"/>
      <c r="X979" s="19"/>
      <c r="Y979" s="21">
        <v>0.95</v>
      </c>
      <c r="Z979" s="92">
        <v>1</v>
      </c>
      <c r="AA979" s="92">
        <v>1</v>
      </c>
    </row>
    <row r="980" spans="1:27" x14ac:dyDescent="0.25">
      <c r="A980" s="33">
        <f t="shared" si="121"/>
        <v>977</v>
      </c>
      <c r="B980" s="19" t="s">
        <v>1529</v>
      </c>
      <c r="C980" s="34"/>
      <c r="D980" s="19" t="s">
        <v>1526</v>
      </c>
      <c r="E980" s="6"/>
      <c r="F980" s="6"/>
      <c r="G980" s="6" t="s">
        <v>546</v>
      </c>
      <c r="H980" s="6"/>
      <c r="I980" s="6"/>
      <c r="J980" s="6"/>
      <c r="K980" s="6"/>
      <c r="L980" s="6"/>
      <c r="M980" s="6"/>
      <c r="N980" s="6"/>
      <c r="O980" s="6"/>
      <c r="P980" s="6"/>
      <c r="Q980" s="19" t="s">
        <v>395</v>
      </c>
      <c r="R980" s="6"/>
      <c r="S980" s="6"/>
      <c r="T980" s="35">
        <v>0.05</v>
      </c>
      <c r="U980" s="20">
        <f t="shared" si="123"/>
        <v>0</v>
      </c>
      <c r="V980" s="6"/>
      <c r="W980" s="6"/>
      <c r="X980" s="19"/>
      <c r="Y980" s="21">
        <f t="shared" ref="Y980:Y996" si="125">4.9494*X980</f>
        <v>0</v>
      </c>
      <c r="Z980" s="92">
        <v>1</v>
      </c>
      <c r="AA980" s="92">
        <v>1</v>
      </c>
    </row>
    <row r="981" spans="1:27" x14ac:dyDescent="0.25">
      <c r="A981" s="33">
        <f t="shared" si="121"/>
        <v>978</v>
      </c>
      <c r="B981" s="19" t="s">
        <v>1530</v>
      </c>
      <c r="C981" s="34"/>
      <c r="D981" s="19" t="s">
        <v>1526</v>
      </c>
      <c r="E981" s="6"/>
      <c r="F981" s="6"/>
      <c r="G981" s="6" t="s">
        <v>546</v>
      </c>
      <c r="H981" s="6"/>
      <c r="I981" s="6"/>
      <c r="J981" s="6"/>
      <c r="K981" s="6"/>
      <c r="L981" s="6"/>
      <c r="M981" s="6"/>
      <c r="N981" s="6"/>
      <c r="O981" s="6"/>
      <c r="P981" s="6"/>
      <c r="Q981" s="19" t="s">
        <v>395</v>
      </c>
      <c r="R981" s="6"/>
      <c r="S981" s="6"/>
      <c r="T981" s="6">
        <v>0.4</v>
      </c>
      <c r="U981" s="20">
        <f t="shared" si="123"/>
        <v>0</v>
      </c>
      <c r="V981" s="6"/>
      <c r="W981" s="6"/>
      <c r="X981" s="19"/>
      <c r="Y981" s="21">
        <f t="shared" si="125"/>
        <v>0</v>
      </c>
      <c r="Z981" s="92">
        <v>1</v>
      </c>
      <c r="AA981" s="92">
        <v>1</v>
      </c>
    </row>
    <row r="982" spans="1:27" x14ac:dyDescent="0.25">
      <c r="A982" s="33">
        <f t="shared" ref="A982:A1015" si="126">ROW()-3</f>
        <v>979</v>
      </c>
      <c r="B982" s="19" t="s">
        <v>1531</v>
      </c>
      <c r="C982" s="34"/>
      <c r="D982" s="19" t="s">
        <v>1526</v>
      </c>
      <c r="E982" s="6"/>
      <c r="F982" s="6"/>
      <c r="G982" s="6" t="s">
        <v>546</v>
      </c>
      <c r="H982" s="6"/>
      <c r="I982" s="6"/>
      <c r="J982" s="6"/>
      <c r="K982" s="6"/>
      <c r="L982" s="6"/>
      <c r="M982" s="6"/>
      <c r="N982" s="6"/>
      <c r="O982" s="6"/>
      <c r="P982" s="6"/>
      <c r="Q982" s="19" t="s">
        <v>395</v>
      </c>
      <c r="R982" s="6"/>
      <c r="S982" s="6"/>
      <c r="T982" s="6"/>
      <c r="U982" s="20">
        <f t="shared" si="123"/>
        <v>0</v>
      </c>
      <c r="V982" s="6"/>
      <c r="W982" s="6"/>
      <c r="X982" s="19"/>
      <c r="Y982" s="21">
        <f t="shared" si="125"/>
        <v>0</v>
      </c>
      <c r="Z982" s="92">
        <v>1</v>
      </c>
      <c r="AA982" s="92">
        <v>1</v>
      </c>
    </row>
    <row r="983" spans="1:27" x14ac:dyDescent="0.25">
      <c r="A983" s="33">
        <f t="shared" si="126"/>
        <v>980</v>
      </c>
      <c r="B983" s="19" t="s">
        <v>1532</v>
      </c>
      <c r="C983" s="34"/>
      <c r="D983" s="19" t="s">
        <v>1526</v>
      </c>
      <c r="E983" s="6"/>
      <c r="F983" s="6"/>
      <c r="G983" s="6" t="s">
        <v>546</v>
      </c>
      <c r="H983" s="6"/>
      <c r="I983" s="6"/>
      <c r="J983" s="6"/>
      <c r="K983" s="6"/>
      <c r="L983" s="6"/>
      <c r="M983" s="6"/>
      <c r="N983" s="6"/>
      <c r="O983" s="6"/>
      <c r="P983" s="6"/>
      <c r="Q983" s="19" t="s">
        <v>395</v>
      </c>
      <c r="R983" s="6"/>
      <c r="S983" s="6"/>
      <c r="T983" s="6">
        <v>0.5</v>
      </c>
      <c r="U983" s="20">
        <f t="shared" si="123"/>
        <v>0</v>
      </c>
      <c r="V983" s="6"/>
      <c r="W983" s="6"/>
      <c r="X983" s="19"/>
      <c r="Y983" s="21">
        <f t="shared" si="125"/>
        <v>0</v>
      </c>
      <c r="Z983" s="92">
        <v>1</v>
      </c>
      <c r="AA983" s="92">
        <v>1</v>
      </c>
    </row>
    <row r="984" spans="1:27" x14ac:dyDescent="0.25">
      <c r="A984" s="33">
        <f t="shared" si="126"/>
        <v>981</v>
      </c>
      <c r="B984" s="19" t="s">
        <v>1533</v>
      </c>
      <c r="C984" s="34"/>
      <c r="D984" s="19" t="s">
        <v>1526</v>
      </c>
      <c r="E984" s="6"/>
      <c r="F984" s="6"/>
      <c r="G984" s="6" t="s">
        <v>546</v>
      </c>
      <c r="H984" s="6"/>
      <c r="I984" s="6"/>
      <c r="J984" s="6"/>
      <c r="K984" s="6"/>
      <c r="L984" s="6"/>
      <c r="M984" s="6"/>
      <c r="N984" s="6"/>
      <c r="O984" s="6"/>
      <c r="P984" s="6"/>
      <c r="Q984" s="19" t="s">
        <v>338</v>
      </c>
      <c r="R984" s="6"/>
      <c r="S984" s="6"/>
      <c r="T984" s="6">
        <v>500</v>
      </c>
      <c r="U984" s="20">
        <f t="shared" si="123"/>
        <v>0</v>
      </c>
      <c r="V984" s="6"/>
      <c r="W984" s="6"/>
      <c r="X984" s="19"/>
      <c r="Y984" s="21">
        <f t="shared" si="125"/>
        <v>0</v>
      </c>
      <c r="Z984" s="92">
        <v>1</v>
      </c>
      <c r="AA984" s="92">
        <v>1</v>
      </c>
    </row>
    <row r="985" spans="1:27" x14ac:dyDescent="0.25">
      <c r="A985" s="33">
        <f t="shared" si="126"/>
        <v>982</v>
      </c>
      <c r="B985" s="19" t="s">
        <v>1534</v>
      </c>
      <c r="C985" s="34"/>
      <c r="D985" s="19" t="s">
        <v>1526</v>
      </c>
      <c r="E985" s="34" t="s">
        <v>1194</v>
      </c>
      <c r="F985" s="102" t="s">
        <v>1535</v>
      </c>
      <c r="G985" s="6" t="s">
        <v>546</v>
      </c>
      <c r="H985" s="6"/>
      <c r="I985" s="6"/>
      <c r="J985" s="6"/>
      <c r="K985" s="6"/>
      <c r="L985" s="6"/>
      <c r="M985" s="6"/>
      <c r="N985" s="6"/>
      <c r="O985" s="6"/>
      <c r="P985" s="6"/>
      <c r="Q985" s="19" t="s">
        <v>395</v>
      </c>
      <c r="R985" s="6"/>
      <c r="S985" s="6"/>
      <c r="T985" s="6">
        <v>1</v>
      </c>
      <c r="U985" s="20">
        <f t="shared" si="123"/>
        <v>0.55000000000000004</v>
      </c>
      <c r="V985" s="6"/>
      <c r="W985" s="6"/>
      <c r="X985" s="19"/>
      <c r="Y985" s="21">
        <v>0.5</v>
      </c>
      <c r="Z985" s="92">
        <v>1</v>
      </c>
      <c r="AA985" s="92">
        <v>1</v>
      </c>
    </row>
    <row r="986" spans="1:27" x14ac:dyDescent="0.25">
      <c r="A986" s="33">
        <f t="shared" si="126"/>
        <v>983</v>
      </c>
      <c r="B986" s="19" t="s">
        <v>1534</v>
      </c>
      <c r="C986" s="34"/>
      <c r="D986" s="19" t="s">
        <v>1526</v>
      </c>
      <c r="E986" s="22" t="s">
        <v>394</v>
      </c>
      <c r="F986" s="102" t="s">
        <v>1535</v>
      </c>
      <c r="G986" s="6" t="s">
        <v>546</v>
      </c>
      <c r="H986" s="6"/>
      <c r="I986" s="6"/>
      <c r="J986" s="6"/>
      <c r="K986" s="6"/>
      <c r="L986" s="6"/>
      <c r="M986" s="6"/>
      <c r="N986" s="6"/>
      <c r="O986" s="6"/>
      <c r="P986" s="6"/>
      <c r="Q986" s="19" t="s">
        <v>395</v>
      </c>
      <c r="R986" s="6"/>
      <c r="S986" s="6"/>
      <c r="T986" s="6">
        <v>2</v>
      </c>
      <c r="U986" s="20">
        <f t="shared" si="123"/>
        <v>0.55000000000000004</v>
      </c>
      <c r="V986" s="6"/>
      <c r="W986" s="6"/>
      <c r="X986" s="19"/>
      <c r="Y986" s="21">
        <v>0.5</v>
      </c>
      <c r="Z986" s="92">
        <v>1</v>
      </c>
      <c r="AA986" s="92">
        <v>1</v>
      </c>
    </row>
    <row r="987" spans="1:27" x14ac:dyDescent="0.25">
      <c r="A987" s="33">
        <f t="shared" si="126"/>
        <v>984</v>
      </c>
      <c r="B987" s="19" t="s">
        <v>1536</v>
      </c>
      <c r="C987" s="34" t="s">
        <v>1537</v>
      </c>
      <c r="D987" s="19" t="s">
        <v>1526</v>
      </c>
      <c r="E987" s="22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19" t="s">
        <v>395</v>
      </c>
      <c r="R987" s="6"/>
      <c r="S987" s="6"/>
      <c r="T987" s="6">
        <v>4</v>
      </c>
      <c r="U987" s="20">
        <f t="shared" si="123"/>
        <v>5.5000000000000007E-2</v>
      </c>
      <c r="V987" s="6" t="s">
        <v>1538</v>
      </c>
      <c r="W987" s="6"/>
      <c r="X987" s="19"/>
      <c r="Y987" s="21">
        <v>0.05</v>
      </c>
      <c r="Z987" s="92">
        <v>1</v>
      </c>
      <c r="AA987" s="92">
        <v>1</v>
      </c>
    </row>
    <row r="988" spans="1:27" x14ac:dyDescent="0.25">
      <c r="A988" s="33">
        <f t="shared" si="126"/>
        <v>985</v>
      </c>
      <c r="B988" s="19" t="s">
        <v>1539</v>
      </c>
      <c r="C988" s="34" t="s">
        <v>1540</v>
      </c>
      <c r="D988" s="19" t="s">
        <v>1526</v>
      </c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19" t="s">
        <v>395</v>
      </c>
      <c r="R988" s="6"/>
      <c r="S988" s="6"/>
      <c r="T988" s="6">
        <v>2</v>
      </c>
      <c r="U988" s="20">
        <f t="shared" si="123"/>
        <v>5.5000000000000007E-2</v>
      </c>
      <c r="V988" s="6" t="s">
        <v>1541</v>
      </c>
      <c r="W988" s="6"/>
      <c r="X988" s="19"/>
      <c r="Y988" s="21">
        <v>0.05</v>
      </c>
      <c r="Z988" s="92">
        <v>1</v>
      </c>
      <c r="AA988" s="92">
        <v>1</v>
      </c>
    </row>
    <row r="989" spans="1:27" x14ac:dyDescent="0.25">
      <c r="A989" s="33">
        <f t="shared" si="126"/>
        <v>986</v>
      </c>
      <c r="B989" s="217" t="s">
        <v>1542</v>
      </c>
      <c r="C989" s="217"/>
      <c r="D989" s="217"/>
      <c r="E989" s="217"/>
      <c r="F989" s="217"/>
      <c r="G989" s="217"/>
      <c r="H989" s="217"/>
      <c r="I989" s="217"/>
      <c r="J989" s="217"/>
      <c r="K989" s="217"/>
      <c r="L989" s="217"/>
      <c r="M989" s="217"/>
      <c r="N989" s="217"/>
      <c r="O989" s="217"/>
      <c r="P989" s="217"/>
      <c r="Q989" s="217"/>
      <c r="R989" s="217"/>
      <c r="S989" s="217"/>
      <c r="T989" s="217"/>
      <c r="U989" s="217"/>
      <c r="V989" s="217"/>
      <c r="W989" s="217"/>
      <c r="X989" s="19"/>
      <c r="Y989" s="74"/>
      <c r="Z989" s="76"/>
      <c r="AA989" s="76"/>
    </row>
    <row r="990" spans="1:27" x14ac:dyDescent="0.25">
      <c r="A990" s="33">
        <f t="shared" si="126"/>
        <v>987</v>
      </c>
      <c r="B990" s="34" t="s">
        <v>1543</v>
      </c>
      <c r="C990" s="34"/>
      <c r="D990" s="19" t="s">
        <v>1544</v>
      </c>
      <c r="E990" s="6"/>
      <c r="F990" s="6"/>
      <c r="G990" s="6" t="s">
        <v>546</v>
      </c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20">
        <f t="shared" ref="U990:U996" si="127">Y990*1.1</f>
        <v>0</v>
      </c>
      <c r="V990" s="6" t="s">
        <v>1545</v>
      </c>
      <c r="W990" s="6"/>
      <c r="X990" s="19"/>
      <c r="Y990" s="21">
        <f t="shared" si="125"/>
        <v>0</v>
      </c>
      <c r="Z990" s="92"/>
      <c r="AA990" s="92"/>
    </row>
    <row r="991" spans="1:27" x14ac:dyDescent="0.25">
      <c r="A991" s="33">
        <f t="shared" si="126"/>
        <v>988</v>
      </c>
      <c r="B991" s="34" t="s">
        <v>1546</v>
      </c>
      <c r="C991" s="34"/>
      <c r="D991" s="19" t="s">
        <v>1544</v>
      </c>
      <c r="E991" s="6"/>
      <c r="F991" s="6"/>
      <c r="G991" s="6" t="s">
        <v>546</v>
      </c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20">
        <f t="shared" si="127"/>
        <v>0</v>
      </c>
      <c r="V991" s="6" t="s">
        <v>1547</v>
      </c>
      <c r="W991" s="6"/>
      <c r="X991" s="19"/>
      <c r="Y991" s="21">
        <f t="shared" si="125"/>
        <v>0</v>
      </c>
      <c r="Z991" s="92"/>
      <c r="AA991" s="92"/>
    </row>
    <row r="992" spans="1:27" x14ac:dyDescent="0.25">
      <c r="A992" s="33">
        <f t="shared" si="126"/>
        <v>989</v>
      </c>
      <c r="B992" s="34" t="s">
        <v>1548</v>
      </c>
      <c r="C992" s="34"/>
      <c r="D992" s="19" t="s">
        <v>1544</v>
      </c>
      <c r="E992" s="6"/>
      <c r="F992" s="6"/>
      <c r="G992" s="6" t="s">
        <v>546</v>
      </c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20">
        <f t="shared" si="127"/>
        <v>0</v>
      </c>
      <c r="V992" s="6" t="s">
        <v>1549</v>
      </c>
      <c r="W992" s="6"/>
      <c r="X992" s="19"/>
      <c r="Y992" s="21">
        <f t="shared" si="125"/>
        <v>0</v>
      </c>
      <c r="Z992" s="92"/>
      <c r="AA992" s="92"/>
    </row>
    <row r="993" spans="1:27" x14ac:dyDescent="0.25">
      <c r="A993" s="33">
        <f t="shared" si="126"/>
        <v>990</v>
      </c>
      <c r="B993" s="34" t="s">
        <v>1550</v>
      </c>
      <c r="C993" s="34"/>
      <c r="D993" s="19" t="s">
        <v>1544</v>
      </c>
      <c r="E993" s="6"/>
      <c r="F993" s="6"/>
      <c r="G993" s="6" t="s">
        <v>546</v>
      </c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20">
        <f t="shared" si="127"/>
        <v>0</v>
      </c>
      <c r="V993" s="6" t="s">
        <v>1551</v>
      </c>
      <c r="W993" s="6"/>
      <c r="X993" s="19"/>
      <c r="Y993" s="21">
        <f t="shared" si="125"/>
        <v>0</v>
      </c>
      <c r="Z993" s="92"/>
      <c r="AA993" s="92"/>
    </row>
    <row r="994" spans="1:27" x14ac:dyDescent="0.25">
      <c r="A994" s="33">
        <f t="shared" si="126"/>
        <v>991</v>
      </c>
      <c r="B994" s="34" t="s">
        <v>1552</v>
      </c>
      <c r="C994" s="34"/>
      <c r="D994" s="19" t="s">
        <v>1544</v>
      </c>
      <c r="E994" s="6"/>
      <c r="F994" s="6"/>
      <c r="G994" s="6" t="s">
        <v>546</v>
      </c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20">
        <f t="shared" si="127"/>
        <v>0</v>
      </c>
      <c r="V994" s="6" t="s">
        <v>1551</v>
      </c>
      <c r="W994" s="6"/>
      <c r="X994" s="19"/>
      <c r="Y994" s="21">
        <f t="shared" si="125"/>
        <v>0</v>
      </c>
      <c r="Z994" s="92"/>
      <c r="AA994" s="92"/>
    </row>
    <row r="995" spans="1:27" x14ac:dyDescent="0.25">
      <c r="A995" s="33">
        <f t="shared" si="126"/>
        <v>992</v>
      </c>
      <c r="B995" s="34" t="s">
        <v>1553</v>
      </c>
      <c r="C995" s="34"/>
      <c r="D995" s="19" t="s">
        <v>1544</v>
      </c>
      <c r="E995" s="6"/>
      <c r="F995" s="6"/>
      <c r="G995" s="6" t="s">
        <v>546</v>
      </c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20">
        <f t="shared" si="127"/>
        <v>0</v>
      </c>
      <c r="V995" s="6" t="s">
        <v>1554</v>
      </c>
      <c r="W995" s="6"/>
      <c r="X995" s="19"/>
      <c r="Y995" s="21">
        <f t="shared" si="125"/>
        <v>0</v>
      </c>
      <c r="Z995" s="92"/>
      <c r="AA995" s="92"/>
    </row>
    <row r="996" spans="1:27" x14ac:dyDescent="0.25">
      <c r="A996" s="33">
        <f t="shared" si="126"/>
        <v>993</v>
      </c>
      <c r="B996" s="34" t="s">
        <v>1555</v>
      </c>
      <c r="C996" s="34"/>
      <c r="D996" s="19" t="s">
        <v>1544</v>
      </c>
      <c r="E996" s="6"/>
      <c r="F996" s="6"/>
      <c r="G996" s="6" t="s">
        <v>546</v>
      </c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20">
        <f t="shared" si="127"/>
        <v>0</v>
      </c>
      <c r="V996" s="6" t="s">
        <v>1556</v>
      </c>
      <c r="W996" s="6"/>
      <c r="X996" s="19"/>
      <c r="Y996" s="21">
        <f t="shared" si="125"/>
        <v>0</v>
      </c>
      <c r="Z996" s="92"/>
      <c r="AA996" s="92"/>
    </row>
    <row r="997" spans="1:27" x14ac:dyDescent="0.25">
      <c r="A997" s="33">
        <f t="shared" si="126"/>
        <v>994</v>
      </c>
      <c r="B997" s="212" t="s">
        <v>1557</v>
      </c>
      <c r="C997" s="212"/>
      <c r="D997" s="212"/>
      <c r="E997" s="212"/>
      <c r="F997" s="212"/>
      <c r="G997" s="212"/>
      <c r="H997" s="212"/>
      <c r="I997" s="212"/>
      <c r="J997" s="212"/>
      <c r="K997" s="212"/>
      <c r="L997" s="212"/>
      <c r="M997" s="212"/>
      <c r="N997" s="212"/>
      <c r="O997" s="212"/>
      <c r="P997" s="212"/>
      <c r="Q997" s="212"/>
      <c r="R997" s="212"/>
      <c r="S997" s="212"/>
      <c r="T997" s="212"/>
      <c r="U997" s="212"/>
      <c r="V997" s="212"/>
      <c r="W997" s="212"/>
      <c r="X997" s="19"/>
      <c r="Y997" s="74"/>
      <c r="Z997" s="76"/>
      <c r="AA997" s="76"/>
    </row>
    <row r="998" spans="1:27" x14ac:dyDescent="0.25">
      <c r="A998" s="33">
        <f t="shared" si="126"/>
        <v>995</v>
      </c>
      <c r="B998" s="19" t="s">
        <v>1558</v>
      </c>
      <c r="C998" s="19" t="s">
        <v>546</v>
      </c>
      <c r="D998" s="19" t="s">
        <v>1559</v>
      </c>
      <c r="E998" s="22" t="s">
        <v>1194</v>
      </c>
      <c r="F998" s="19"/>
      <c r="G998" s="19" t="s">
        <v>546</v>
      </c>
      <c r="H998" s="19"/>
      <c r="I998" s="19"/>
      <c r="J998" s="19"/>
      <c r="K998" s="19"/>
      <c r="L998" s="19"/>
      <c r="M998" s="19"/>
      <c r="N998" s="19"/>
      <c r="O998" s="19"/>
      <c r="P998" s="19"/>
      <c r="Q998" s="19" t="s">
        <v>395</v>
      </c>
      <c r="R998" s="19"/>
      <c r="S998" s="19"/>
      <c r="T998" s="19">
        <v>1</v>
      </c>
      <c r="U998" s="20">
        <f t="shared" ref="U998:U1015" si="128">Y998</f>
        <v>0</v>
      </c>
      <c r="V998" s="19" t="s">
        <v>1560</v>
      </c>
      <c r="W998" s="19"/>
      <c r="X998" s="19"/>
      <c r="Y998" s="21">
        <f t="shared" ref="Y998:Y1015" si="129">4.9494*X998</f>
        <v>0</v>
      </c>
      <c r="Z998" s="92">
        <v>1</v>
      </c>
      <c r="AA998" s="92">
        <v>1</v>
      </c>
    </row>
    <row r="999" spans="1:27" x14ac:dyDescent="0.25">
      <c r="A999" s="33">
        <f t="shared" si="126"/>
        <v>996</v>
      </c>
      <c r="B999" s="19" t="s">
        <v>1558</v>
      </c>
      <c r="C999" s="19" t="s">
        <v>546</v>
      </c>
      <c r="D999" s="19" t="s">
        <v>1559</v>
      </c>
      <c r="E999" s="22" t="s">
        <v>1194</v>
      </c>
      <c r="F999" s="19"/>
      <c r="G999" s="19" t="s">
        <v>546</v>
      </c>
      <c r="H999" s="19"/>
      <c r="I999" s="19"/>
      <c r="J999" s="19"/>
      <c r="K999" s="19"/>
      <c r="L999" s="19"/>
      <c r="M999" s="19"/>
      <c r="N999" s="19"/>
      <c r="O999" s="19"/>
      <c r="P999" s="19"/>
      <c r="Q999" s="19" t="s">
        <v>395</v>
      </c>
      <c r="R999" s="19"/>
      <c r="S999" s="19"/>
      <c r="T999" s="19">
        <v>1</v>
      </c>
      <c r="U999" s="20">
        <f t="shared" si="128"/>
        <v>0</v>
      </c>
      <c r="V999" s="19" t="s">
        <v>1561</v>
      </c>
      <c r="W999" s="19"/>
      <c r="X999" s="19"/>
      <c r="Y999" s="21">
        <f t="shared" si="129"/>
        <v>0</v>
      </c>
      <c r="Z999" s="92">
        <v>1</v>
      </c>
      <c r="AA999" s="92">
        <v>1</v>
      </c>
    </row>
    <row r="1000" spans="1:27" x14ac:dyDescent="0.25">
      <c r="A1000" s="33">
        <f t="shared" si="126"/>
        <v>997</v>
      </c>
      <c r="B1000" s="19" t="s">
        <v>1558</v>
      </c>
      <c r="C1000" s="19" t="s">
        <v>546</v>
      </c>
      <c r="D1000" s="19" t="s">
        <v>1559</v>
      </c>
      <c r="E1000" s="22" t="s">
        <v>1194</v>
      </c>
      <c r="F1000" s="19"/>
      <c r="G1000" s="19" t="s">
        <v>546</v>
      </c>
      <c r="H1000" s="19"/>
      <c r="I1000" s="19"/>
      <c r="J1000" s="19"/>
      <c r="K1000" s="19"/>
      <c r="L1000" s="19"/>
      <c r="M1000" s="19"/>
      <c r="N1000" s="19"/>
      <c r="O1000" s="19"/>
      <c r="P1000" s="19"/>
      <c r="Q1000" s="19" t="s">
        <v>395</v>
      </c>
      <c r="R1000" s="19"/>
      <c r="S1000" s="19"/>
      <c r="T1000" s="19">
        <v>1</v>
      </c>
      <c r="U1000" s="20">
        <f t="shared" si="128"/>
        <v>0</v>
      </c>
      <c r="V1000" s="19" t="s">
        <v>1562</v>
      </c>
      <c r="W1000" s="19"/>
      <c r="X1000" s="19"/>
      <c r="Y1000" s="21">
        <f t="shared" si="129"/>
        <v>0</v>
      </c>
      <c r="Z1000" s="92">
        <v>1</v>
      </c>
      <c r="AA1000" s="92">
        <v>1</v>
      </c>
    </row>
    <row r="1001" spans="1:27" x14ac:dyDescent="0.25">
      <c r="A1001" s="33">
        <f t="shared" si="126"/>
        <v>998</v>
      </c>
      <c r="B1001" s="19" t="s">
        <v>1558</v>
      </c>
      <c r="C1001" s="19" t="s">
        <v>546</v>
      </c>
      <c r="D1001" s="19" t="s">
        <v>1559</v>
      </c>
      <c r="E1001" s="22" t="s">
        <v>1194</v>
      </c>
      <c r="F1001" s="19"/>
      <c r="G1001" s="19" t="s">
        <v>546</v>
      </c>
      <c r="H1001" s="19"/>
      <c r="I1001" s="19"/>
      <c r="J1001" s="19"/>
      <c r="K1001" s="19"/>
      <c r="L1001" s="19"/>
      <c r="M1001" s="19"/>
      <c r="N1001" s="19"/>
      <c r="O1001" s="19"/>
      <c r="P1001" s="19"/>
      <c r="Q1001" s="19" t="s">
        <v>395</v>
      </c>
      <c r="R1001" s="19"/>
      <c r="S1001" s="19"/>
      <c r="T1001" s="19">
        <v>1</v>
      </c>
      <c r="U1001" s="20">
        <f t="shared" si="128"/>
        <v>0</v>
      </c>
      <c r="V1001" s="19" t="s">
        <v>1563</v>
      </c>
      <c r="W1001" s="19"/>
      <c r="X1001" s="19"/>
      <c r="Y1001" s="21">
        <f t="shared" si="129"/>
        <v>0</v>
      </c>
      <c r="Z1001" s="92">
        <v>1</v>
      </c>
      <c r="AA1001" s="92">
        <v>1</v>
      </c>
    </row>
    <row r="1002" spans="1:27" x14ac:dyDescent="0.25">
      <c r="A1002" s="33">
        <f t="shared" si="126"/>
        <v>999</v>
      </c>
      <c r="B1002" s="19" t="s">
        <v>1558</v>
      </c>
      <c r="C1002" s="19" t="s">
        <v>546</v>
      </c>
      <c r="D1002" s="19" t="s">
        <v>1559</v>
      </c>
      <c r="E1002" s="22" t="s">
        <v>1194</v>
      </c>
      <c r="F1002" s="19"/>
      <c r="G1002" s="19" t="s">
        <v>546</v>
      </c>
      <c r="H1002" s="19"/>
      <c r="I1002" s="19"/>
      <c r="J1002" s="19"/>
      <c r="K1002" s="19"/>
      <c r="L1002" s="19"/>
      <c r="M1002" s="19"/>
      <c r="N1002" s="19"/>
      <c r="O1002" s="19"/>
      <c r="P1002" s="19"/>
      <c r="Q1002" s="19" t="s">
        <v>395</v>
      </c>
      <c r="R1002" s="19"/>
      <c r="S1002" s="19"/>
      <c r="T1002" s="19">
        <v>1</v>
      </c>
      <c r="U1002" s="20">
        <f t="shared" si="128"/>
        <v>0</v>
      </c>
      <c r="V1002" s="19" t="s">
        <v>1564</v>
      </c>
      <c r="W1002" s="19"/>
      <c r="X1002" s="19"/>
      <c r="Y1002" s="21">
        <f t="shared" si="129"/>
        <v>0</v>
      </c>
      <c r="Z1002" s="92">
        <v>1</v>
      </c>
      <c r="AA1002" s="92">
        <v>1</v>
      </c>
    </row>
    <row r="1003" spans="1:27" x14ac:dyDescent="0.25">
      <c r="A1003" s="33">
        <f t="shared" si="126"/>
        <v>1000</v>
      </c>
      <c r="B1003" s="19" t="s">
        <v>1558</v>
      </c>
      <c r="C1003" s="19" t="s">
        <v>546</v>
      </c>
      <c r="D1003" s="19" t="s">
        <v>1559</v>
      </c>
      <c r="E1003" s="22" t="s">
        <v>1194</v>
      </c>
      <c r="F1003" s="19"/>
      <c r="G1003" s="19" t="s">
        <v>546</v>
      </c>
      <c r="H1003" s="19"/>
      <c r="I1003" s="19"/>
      <c r="J1003" s="19"/>
      <c r="K1003" s="19"/>
      <c r="L1003" s="19"/>
      <c r="M1003" s="19"/>
      <c r="N1003" s="19"/>
      <c r="O1003" s="19"/>
      <c r="P1003" s="19"/>
      <c r="Q1003" s="19" t="s">
        <v>395</v>
      </c>
      <c r="R1003" s="19"/>
      <c r="S1003" s="19"/>
      <c r="T1003" s="19">
        <v>1</v>
      </c>
      <c r="U1003" s="20">
        <f t="shared" si="128"/>
        <v>0</v>
      </c>
      <c r="V1003" s="19" t="s">
        <v>1565</v>
      </c>
      <c r="W1003" s="19"/>
      <c r="X1003" s="19"/>
      <c r="Y1003" s="21">
        <f t="shared" si="129"/>
        <v>0</v>
      </c>
      <c r="Z1003" s="92">
        <v>1</v>
      </c>
      <c r="AA1003" s="92">
        <v>1</v>
      </c>
    </row>
    <row r="1004" spans="1:27" x14ac:dyDescent="0.25">
      <c r="A1004" s="33">
        <f t="shared" si="126"/>
        <v>1001</v>
      </c>
      <c r="B1004" s="19" t="s">
        <v>1558</v>
      </c>
      <c r="C1004" s="19" t="s">
        <v>546</v>
      </c>
      <c r="D1004" s="19" t="s">
        <v>1559</v>
      </c>
      <c r="E1004" s="22" t="s">
        <v>1194</v>
      </c>
      <c r="F1004" s="19"/>
      <c r="G1004" s="19" t="s">
        <v>546</v>
      </c>
      <c r="H1004" s="19"/>
      <c r="I1004" s="19"/>
      <c r="J1004" s="19"/>
      <c r="K1004" s="19"/>
      <c r="L1004" s="19"/>
      <c r="M1004" s="19"/>
      <c r="N1004" s="19"/>
      <c r="O1004" s="19"/>
      <c r="P1004" s="19"/>
      <c r="Q1004" s="19" t="s">
        <v>395</v>
      </c>
      <c r="R1004" s="19"/>
      <c r="S1004" s="19"/>
      <c r="T1004" s="19">
        <v>1</v>
      </c>
      <c r="U1004" s="20">
        <f t="shared" si="128"/>
        <v>0</v>
      </c>
      <c r="V1004" s="19" t="s">
        <v>1566</v>
      </c>
      <c r="W1004" s="19"/>
      <c r="X1004" s="19"/>
      <c r="Y1004" s="21">
        <f t="shared" si="129"/>
        <v>0</v>
      </c>
      <c r="Z1004" s="92">
        <v>1</v>
      </c>
      <c r="AA1004" s="92">
        <v>1</v>
      </c>
    </row>
    <row r="1005" spans="1:27" x14ac:dyDescent="0.25">
      <c r="A1005" s="33">
        <f t="shared" si="126"/>
        <v>1002</v>
      </c>
      <c r="B1005" s="19" t="s">
        <v>1558</v>
      </c>
      <c r="C1005" s="19" t="s">
        <v>546</v>
      </c>
      <c r="D1005" s="19" t="s">
        <v>1559</v>
      </c>
      <c r="E1005" s="22" t="s">
        <v>1194</v>
      </c>
      <c r="F1005" s="19"/>
      <c r="G1005" s="19" t="s">
        <v>546</v>
      </c>
      <c r="H1005" s="19"/>
      <c r="I1005" s="19"/>
      <c r="J1005" s="19"/>
      <c r="K1005" s="19"/>
      <c r="L1005" s="19"/>
      <c r="M1005" s="19"/>
      <c r="N1005" s="19"/>
      <c r="O1005" s="19"/>
      <c r="P1005" s="19"/>
      <c r="Q1005" s="19" t="s">
        <v>395</v>
      </c>
      <c r="R1005" s="19"/>
      <c r="S1005" s="19"/>
      <c r="T1005" s="19">
        <v>1</v>
      </c>
      <c r="U1005" s="20">
        <f t="shared" si="128"/>
        <v>0</v>
      </c>
      <c r="V1005" s="19" t="s">
        <v>1567</v>
      </c>
      <c r="W1005" s="19"/>
      <c r="X1005" s="19"/>
      <c r="Y1005" s="21">
        <f t="shared" si="129"/>
        <v>0</v>
      </c>
      <c r="Z1005" s="92">
        <v>1</v>
      </c>
      <c r="AA1005" s="92">
        <v>1</v>
      </c>
    </row>
    <row r="1006" spans="1:27" x14ac:dyDescent="0.25">
      <c r="A1006" s="33">
        <f t="shared" si="126"/>
        <v>1003</v>
      </c>
      <c r="B1006" s="19" t="s">
        <v>1558</v>
      </c>
      <c r="C1006" s="19" t="s">
        <v>546</v>
      </c>
      <c r="D1006" s="19" t="s">
        <v>1559</v>
      </c>
      <c r="E1006" s="22" t="s">
        <v>1194</v>
      </c>
      <c r="F1006" s="19"/>
      <c r="G1006" s="19" t="s">
        <v>546</v>
      </c>
      <c r="H1006" s="19"/>
      <c r="I1006" s="19"/>
      <c r="J1006" s="19"/>
      <c r="K1006" s="19"/>
      <c r="L1006" s="19"/>
      <c r="M1006" s="19"/>
      <c r="N1006" s="19"/>
      <c r="O1006" s="19"/>
      <c r="P1006" s="19"/>
      <c r="Q1006" s="19" t="s">
        <v>395</v>
      </c>
      <c r="R1006" s="19"/>
      <c r="S1006" s="19"/>
      <c r="T1006" s="19">
        <v>1</v>
      </c>
      <c r="U1006" s="20">
        <f t="shared" si="128"/>
        <v>0</v>
      </c>
      <c r="V1006" s="19" t="s">
        <v>1568</v>
      </c>
      <c r="W1006" s="19"/>
      <c r="X1006" s="19"/>
      <c r="Y1006" s="21">
        <f t="shared" si="129"/>
        <v>0</v>
      </c>
      <c r="Z1006" s="92">
        <v>1</v>
      </c>
      <c r="AA1006" s="92">
        <v>1</v>
      </c>
    </row>
    <row r="1007" spans="1:27" x14ac:dyDescent="0.25">
      <c r="A1007" s="33">
        <f t="shared" si="126"/>
        <v>1004</v>
      </c>
      <c r="B1007" s="19" t="s">
        <v>1558</v>
      </c>
      <c r="C1007" s="19" t="s">
        <v>546</v>
      </c>
      <c r="D1007" s="19" t="s">
        <v>1559</v>
      </c>
      <c r="E1007" s="22" t="s">
        <v>394</v>
      </c>
      <c r="F1007" s="19"/>
      <c r="G1007" s="19" t="s">
        <v>546</v>
      </c>
      <c r="H1007" s="19"/>
      <c r="I1007" s="19"/>
      <c r="J1007" s="19"/>
      <c r="K1007" s="19"/>
      <c r="L1007" s="19"/>
      <c r="M1007" s="19"/>
      <c r="N1007" s="19"/>
      <c r="O1007" s="19"/>
      <c r="P1007" s="19"/>
      <c r="Q1007" s="19" t="s">
        <v>395</v>
      </c>
      <c r="R1007" s="19"/>
      <c r="S1007" s="19"/>
      <c r="T1007" s="19">
        <v>1</v>
      </c>
      <c r="U1007" s="20">
        <f t="shared" si="128"/>
        <v>0</v>
      </c>
      <c r="V1007" s="19" t="s">
        <v>1569</v>
      </c>
      <c r="W1007" s="19"/>
      <c r="X1007" s="19"/>
      <c r="Y1007" s="21">
        <f t="shared" si="129"/>
        <v>0</v>
      </c>
      <c r="Z1007" s="92">
        <v>1</v>
      </c>
      <c r="AA1007" s="92">
        <v>1</v>
      </c>
    </row>
    <row r="1008" spans="1:27" x14ac:dyDescent="0.25">
      <c r="A1008" s="33">
        <f t="shared" si="126"/>
        <v>1005</v>
      </c>
      <c r="B1008" s="19" t="s">
        <v>1558</v>
      </c>
      <c r="C1008" s="19" t="s">
        <v>546</v>
      </c>
      <c r="D1008" s="19" t="s">
        <v>1559</v>
      </c>
      <c r="E1008" s="22" t="s">
        <v>394</v>
      </c>
      <c r="F1008" s="19"/>
      <c r="G1008" s="19" t="s">
        <v>546</v>
      </c>
      <c r="H1008" s="19"/>
      <c r="I1008" s="19"/>
      <c r="J1008" s="19"/>
      <c r="K1008" s="19"/>
      <c r="L1008" s="19"/>
      <c r="M1008" s="19"/>
      <c r="N1008" s="19"/>
      <c r="O1008" s="19"/>
      <c r="P1008" s="19"/>
      <c r="Q1008" s="19" t="s">
        <v>395</v>
      </c>
      <c r="R1008" s="19"/>
      <c r="S1008" s="19"/>
      <c r="T1008" s="19">
        <v>1</v>
      </c>
      <c r="U1008" s="20">
        <f t="shared" si="128"/>
        <v>0</v>
      </c>
      <c r="V1008" s="19" t="s">
        <v>1570</v>
      </c>
      <c r="W1008" s="19"/>
      <c r="X1008" s="19"/>
      <c r="Y1008" s="21">
        <f t="shared" si="129"/>
        <v>0</v>
      </c>
      <c r="Z1008" s="92">
        <v>1</v>
      </c>
      <c r="AA1008" s="92">
        <v>1</v>
      </c>
    </row>
    <row r="1009" spans="1:27" x14ac:dyDescent="0.25">
      <c r="A1009" s="33">
        <f t="shared" si="126"/>
        <v>1006</v>
      </c>
      <c r="B1009" s="19" t="s">
        <v>1558</v>
      </c>
      <c r="C1009" s="19" t="s">
        <v>546</v>
      </c>
      <c r="D1009" s="19" t="s">
        <v>1559</v>
      </c>
      <c r="E1009" s="22" t="s">
        <v>394</v>
      </c>
      <c r="F1009" s="19"/>
      <c r="G1009" s="19" t="s">
        <v>546</v>
      </c>
      <c r="H1009" s="19"/>
      <c r="I1009" s="19"/>
      <c r="J1009" s="19"/>
      <c r="K1009" s="19"/>
      <c r="L1009" s="19"/>
      <c r="M1009" s="19"/>
      <c r="N1009" s="19"/>
      <c r="O1009" s="19"/>
      <c r="P1009" s="19"/>
      <c r="Q1009" s="19" t="s">
        <v>395</v>
      </c>
      <c r="R1009" s="19"/>
      <c r="S1009" s="19"/>
      <c r="T1009" s="19">
        <v>1</v>
      </c>
      <c r="U1009" s="20">
        <f t="shared" si="128"/>
        <v>0</v>
      </c>
      <c r="V1009" s="19" t="s">
        <v>1571</v>
      </c>
      <c r="W1009" s="19"/>
      <c r="X1009" s="19"/>
      <c r="Y1009" s="21">
        <f t="shared" si="129"/>
        <v>0</v>
      </c>
      <c r="Z1009" s="92">
        <v>1</v>
      </c>
      <c r="AA1009" s="92">
        <v>1</v>
      </c>
    </row>
    <row r="1010" spans="1:27" x14ac:dyDescent="0.25">
      <c r="A1010" s="33">
        <f t="shared" si="126"/>
        <v>1007</v>
      </c>
      <c r="B1010" s="19" t="s">
        <v>1558</v>
      </c>
      <c r="C1010" s="19" t="s">
        <v>546</v>
      </c>
      <c r="D1010" s="19" t="s">
        <v>1559</v>
      </c>
      <c r="E1010" s="22" t="s">
        <v>394</v>
      </c>
      <c r="F1010" s="19"/>
      <c r="G1010" s="19" t="s">
        <v>546</v>
      </c>
      <c r="H1010" s="19"/>
      <c r="I1010" s="19"/>
      <c r="J1010" s="19"/>
      <c r="K1010" s="19"/>
      <c r="L1010" s="19"/>
      <c r="M1010" s="19"/>
      <c r="N1010" s="19"/>
      <c r="O1010" s="19"/>
      <c r="P1010" s="19"/>
      <c r="Q1010" s="19" t="s">
        <v>395</v>
      </c>
      <c r="R1010" s="19"/>
      <c r="S1010" s="19"/>
      <c r="T1010" s="19">
        <v>1</v>
      </c>
      <c r="U1010" s="20">
        <f t="shared" si="128"/>
        <v>0</v>
      </c>
      <c r="V1010" s="19" t="s">
        <v>1572</v>
      </c>
      <c r="W1010" s="19"/>
      <c r="X1010" s="19"/>
      <c r="Y1010" s="21">
        <f t="shared" si="129"/>
        <v>0</v>
      </c>
      <c r="Z1010" s="92">
        <v>1</v>
      </c>
      <c r="AA1010" s="92">
        <v>1</v>
      </c>
    </row>
    <row r="1011" spans="1:27" x14ac:dyDescent="0.25">
      <c r="A1011" s="33">
        <f t="shared" si="126"/>
        <v>1008</v>
      </c>
      <c r="B1011" s="19" t="s">
        <v>1558</v>
      </c>
      <c r="C1011" s="19" t="s">
        <v>546</v>
      </c>
      <c r="D1011" s="19" t="s">
        <v>1559</v>
      </c>
      <c r="E1011" s="22" t="s">
        <v>394</v>
      </c>
      <c r="F1011" s="19"/>
      <c r="G1011" s="19" t="s">
        <v>546</v>
      </c>
      <c r="H1011" s="19"/>
      <c r="I1011" s="19"/>
      <c r="J1011" s="19"/>
      <c r="K1011" s="19"/>
      <c r="L1011" s="19"/>
      <c r="M1011" s="19"/>
      <c r="N1011" s="19"/>
      <c r="O1011" s="19"/>
      <c r="P1011" s="19"/>
      <c r="Q1011" s="19" t="s">
        <v>395</v>
      </c>
      <c r="R1011" s="19"/>
      <c r="S1011" s="19"/>
      <c r="T1011" s="19">
        <v>1</v>
      </c>
      <c r="U1011" s="20">
        <f t="shared" si="128"/>
        <v>0</v>
      </c>
      <c r="V1011" s="19" t="s">
        <v>1573</v>
      </c>
      <c r="W1011" s="19"/>
      <c r="X1011" s="19"/>
      <c r="Y1011" s="21">
        <f t="shared" si="129"/>
        <v>0</v>
      </c>
      <c r="Z1011" s="92">
        <v>1</v>
      </c>
      <c r="AA1011" s="92">
        <v>1</v>
      </c>
    </row>
    <row r="1012" spans="1:27" x14ac:dyDescent="0.25">
      <c r="A1012" s="33">
        <f t="shared" si="126"/>
        <v>1009</v>
      </c>
      <c r="B1012" s="19" t="s">
        <v>1558</v>
      </c>
      <c r="C1012" s="19" t="s">
        <v>546</v>
      </c>
      <c r="D1012" s="19" t="s">
        <v>1559</v>
      </c>
      <c r="E1012" s="22" t="s">
        <v>394</v>
      </c>
      <c r="F1012" s="19"/>
      <c r="G1012" s="19" t="s">
        <v>546</v>
      </c>
      <c r="H1012" s="19"/>
      <c r="I1012" s="19"/>
      <c r="J1012" s="19"/>
      <c r="K1012" s="19"/>
      <c r="L1012" s="19"/>
      <c r="M1012" s="19"/>
      <c r="N1012" s="19"/>
      <c r="O1012" s="19"/>
      <c r="P1012" s="19"/>
      <c r="Q1012" s="19" t="s">
        <v>395</v>
      </c>
      <c r="R1012" s="19"/>
      <c r="S1012" s="19"/>
      <c r="T1012" s="19">
        <v>1</v>
      </c>
      <c r="U1012" s="20">
        <f t="shared" si="128"/>
        <v>0</v>
      </c>
      <c r="V1012" s="19" t="s">
        <v>1574</v>
      </c>
      <c r="W1012" s="19"/>
      <c r="X1012" s="19"/>
      <c r="Y1012" s="21">
        <f t="shared" si="129"/>
        <v>0</v>
      </c>
      <c r="Z1012" s="92">
        <v>1</v>
      </c>
      <c r="AA1012" s="92">
        <v>1</v>
      </c>
    </row>
    <row r="1013" spans="1:27" x14ac:dyDescent="0.25">
      <c r="A1013" s="33">
        <f t="shared" si="126"/>
        <v>1010</v>
      </c>
      <c r="B1013" s="19" t="s">
        <v>1558</v>
      </c>
      <c r="C1013" s="19" t="s">
        <v>546</v>
      </c>
      <c r="D1013" s="19" t="s">
        <v>1559</v>
      </c>
      <c r="E1013" s="22" t="s">
        <v>394</v>
      </c>
      <c r="F1013" s="19"/>
      <c r="G1013" s="19" t="s">
        <v>546</v>
      </c>
      <c r="H1013" s="19"/>
      <c r="I1013" s="19"/>
      <c r="J1013" s="19"/>
      <c r="K1013" s="19"/>
      <c r="L1013" s="19"/>
      <c r="M1013" s="19"/>
      <c r="N1013" s="19"/>
      <c r="O1013" s="19"/>
      <c r="P1013" s="19"/>
      <c r="Q1013" s="19" t="s">
        <v>395</v>
      </c>
      <c r="R1013" s="19"/>
      <c r="S1013" s="19"/>
      <c r="T1013" s="19">
        <v>1</v>
      </c>
      <c r="U1013" s="20">
        <f t="shared" si="128"/>
        <v>0</v>
      </c>
      <c r="V1013" s="19" t="s">
        <v>1575</v>
      </c>
      <c r="W1013" s="19"/>
      <c r="X1013" s="19"/>
      <c r="Y1013" s="21">
        <f t="shared" si="129"/>
        <v>0</v>
      </c>
      <c r="Z1013" s="92">
        <v>1</v>
      </c>
      <c r="AA1013" s="92">
        <v>1</v>
      </c>
    </row>
    <row r="1014" spans="1:27" x14ac:dyDescent="0.25">
      <c r="A1014" s="33">
        <f t="shared" si="126"/>
        <v>1011</v>
      </c>
      <c r="B1014" s="19" t="s">
        <v>1558</v>
      </c>
      <c r="C1014" s="19" t="s">
        <v>546</v>
      </c>
      <c r="D1014" s="19" t="s">
        <v>1559</v>
      </c>
      <c r="E1014" s="22" t="s">
        <v>394</v>
      </c>
      <c r="F1014" s="19"/>
      <c r="G1014" s="19" t="s">
        <v>546</v>
      </c>
      <c r="H1014" s="19"/>
      <c r="I1014" s="19"/>
      <c r="J1014" s="19"/>
      <c r="K1014" s="19"/>
      <c r="L1014" s="19"/>
      <c r="M1014" s="19"/>
      <c r="N1014" s="19"/>
      <c r="O1014" s="19"/>
      <c r="P1014" s="19"/>
      <c r="Q1014" s="19" t="s">
        <v>395</v>
      </c>
      <c r="R1014" s="19"/>
      <c r="S1014" s="19"/>
      <c r="T1014" s="19">
        <v>1</v>
      </c>
      <c r="U1014" s="20">
        <f t="shared" si="128"/>
        <v>0</v>
      </c>
      <c r="V1014" s="19" t="s">
        <v>1576</v>
      </c>
      <c r="W1014" s="19"/>
      <c r="X1014" s="19"/>
      <c r="Y1014" s="21">
        <f t="shared" si="129"/>
        <v>0</v>
      </c>
      <c r="Z1014" s="92">
        <v>1</v>
      </c>
      <c r="AA1014" s="92">
        <v>1</v>
      </c>
    </row>
    <row r="1015" spans="1:27" x14ac:dyDescent="0.25">
      <c r="A1015" s="33">
        <f t="shared" si="126"/>
        <v>1012</v>
      </c>
      <c r="B1015" s="19" t="s">
        <v>1558</v>
      </c>
      <c r="C1015" s="19" t="s">
        <v>546</v>
      </c>
      <c r="D1015" s="19" t="s">
        <v>1559</v>
      </c>
      <c r="E1015" s="22" t="s">
        <v>394</v>
      </c>
      <c r="F1015" s="19"/>
      <c r="G1015" s="19" t="s">
        <v>546</v>
      </c>
      <c r="H1015" s="19"/>
      <c r="I1015" s="19"/>
      <c r="J1015" s="19"/>
      <c r="K1015" s="19"/>
      <c r="L1015" s="19"/>
      <c r="M1015" s="19"/>
      <c r="N1015" s="19"/>
      <c r="O1015" s="19"/>
      <c r="P1015" s="19"/>
      <c r="Q1015" s="19" t="s">
        <v>395</v>
      </c>
      <c r="R1015" s="19"/>
      <c r="S1015" s="19"/>
      <c r="T1015" s="19">
        <v>1</v>
      </c>
      <c r="U1015" s="20">
        <f t="shared" si="128"/>
        <v>0</v>
      </c>
      <c r="V1015" s="19" t="s">
        <v>1577</v>
      </c>
      <c r="W1015" s="19"/>
      <c r="X1015" s="19"/>
      <c r="Y1015" s="21">
        <f t="shared" si="129"/>
        <v>0</v>
      </c>
      <c r="Z1015" s="92">
        <v>1</v>
      </c>
      <c r="AA1015" s="92">
        <v>1</v>
      </c>
    </row>
  </sheetData>
  <mergeCells count="92">
    <mergeCell ref="B997:W997"/>
    <mergeCell ref="B909:W909"/>
    <mergeCell ref="B807:W807"/>
    <mergeCell ref="B796:W796"/>
    <mergeCell ref="B715:W715"/>
    <mergeCell ref="B989:W989"/>
    <mergeCell ref="B787:W787"/>
    <mergeCell ref="B756:W756"/>
    <mergeCell ref="B767:W767"/>
    <mergeCell ref="B969:W969"/>
    <mergeCell ref="B917:W917"/>
    <mergeCell ref="B921:W921"/>
    <mergeCell ref="B937:W937"/>
    <mergeCell ref="B153:W153"/>
    <mergeCell ref="B224:W224"/>
    <mergeCell ref="B220:W220"/>
    <mergeCell ref="B214:W214"/>
    <mergeCell ref="B208:W208"/>
    <mergeCell ref="B201:W201"/>
    <mergeCell ref="B222:W222"/>
    <mergeCell ref="B174:W174"/>
    <mergeCell ref="B185:W185"/>
    <mergeCell ref="B195:W195"/>
    <mergeCell ref="B229:W229"/>
    <mergeCell ref="B479:W479"/>
    <mergeCell ref="B164:W164"/>
    <mergeCell ref="B338:W338"/>
    <mergeCell ref="B335:W335"/>
    <mergeCell ref="B263:W263"/>
    <mergeCell ref="B313:W313"/>
    <mergeCell ref="B282:W282"/>
    <mergeCell ref="B267:W267"/>
    <mergeCell ref="B285:W285"/>
    <mergeCell ref="B269:W269"/>
    <mergeCell ref="B287:W287"/>
    <mergeCell ref="B260:W260"/>
    <mergeCell ref="B248:W248"/>
    <mergeCell ref="B237:W237"/>
    <mergeCell ref="B344:W344"/>
    <mergeCell ref="B233:W233"/>
    <mergeCell ref="B235:W235"/>
    <mergeCell ref="B297:W297"/>
    <mergeCell ref="B239:W239"/>
    <mergeCell ref="B333:W333"/>
    <mergeCell ref="B331:W331"/>
    <mergeCell ref="B329:W329"/>
    <mergeCell ref="B319:W319"/>
    <mergeCell ref="B311:W311"/>
    <mergeCell ref="B242:W242"/>
    <mergeCell ref="B244:W244"/>
    <mergeCell ref="B246:W246"/>
    <mergeCell ref="B250:W250"/>
    <mergeCell ref="B265:W265"/>
    <mergeCell ref="B257:W257"/>
    <mergeCell ref="B252:W252"/>
    <mergeCell ref="B501:W501"/>
    <mergeCell ref="B489:W489"/>
    <mergeCell ref="B346:W346"/>
    <mergeCell ref="B603:W603"/>
    <mergeCell ref="B562:W562"/>
    <mergeCell ref="B356:W356"/>
    <mergeCell ref="B506:W506"/>
    <mergeCell ref="B348:W348"/>
    <mergeCell ref="B350:W350"/>
    <mergeCell ref="B494:W494"/>
    <mergeCell ref="B510:W510"/>
    <mergeCell ref="B470:W470"/>
    <mergeCell ref="B361:W361"/>
    <mergeCell ref="B353:W353"/>
    <mergeCell ref="B364:W364"/>
    <mergeCell ref="B359:W359"/>
    <mergeCell ref="B659:W659"/>
    <mergeCell ref="B850:W850"/>
    <mergeCell ref="B848:W848"/>
    <mergeCell ref="B823:W823"/>
    <mergeCell ref="B514:W514"/>
    <mergeCell ref="B778:W778"/>
    <mergeCell ref="B704:W704"/>
    <mergeCell ref="B614:W614"/>
    <mergeCell ref="B521:W521"/>
    <mergeCell ref="B484:W484"/>
    <mergeCell ref="B475:W475"/>
    <mergeCell ref="B272:W272"/>
    <mergeCell ref="B274:W274"/>
    <mergeCell ref="B276:W276"/>
    <mergeCell ref="B278:W278"/>
    <mergeCell ref="B308:W308"/>
    <mergeCell ref="B300:W300"/>
    <mergeCell ref="B305:W305"/>
    <mergeCell ref="B280:W280"/>
    <mergeCell ref="B341:W341"/>
    <mergeCell ref="B303:W303"/>
  </mergeCells>
  <phoneticPr fontId="3" type="noConversion"/>
  <conditionalFormatting sqref="C288:C296">
    <cfRule type="duplicateValues" dxfId="21" priority="25"/>
  </conditionalFormatting>
  <conditionalFormatting sqref="C288:C296">
    <cfRule type="duplicateValues" dxfId="20" priority="26"/>
  </conditionalFormatting>
  <conditionalFormatting sqref="C165:C173">
    <cfRule type="duplicateValues" dxfId="19" priority="23"/>
  </conditionalFormatting>
  <conditionalFormatting sqref="C165:C173">
    <cfRule type="duplicateValues" dxfId="18" priority="24"/>
  </conditionalFormatting>
  <conditionalFormatting sqref="C261">
    <cfRule type="duplicateValues" dxfId="17" priority="19"/>
  </conditionalFormatting>
  <conditionalFormatting sqref="C261">
    <cfRule type="duplicateValues" dxfId="16" priority="20"/>
  </conditionalFormatting>
  <conditionalFormatting sqref="C262">
    <cfRule type="duplicateValues" dxfId="15" priority="17"/>
  </conditionalFormatting>
  <conditionalFormatting sqref="C262">
    <cfRule type="duplicateValues" dxfId="14" priority="18"/>
  </conditionalFormatting>
  <conditionalFormatting sqref="C307 C302 C299">
    <cfRule type="duplicateValues" dxfId="13" priority="13"/>
  </conditionalFormatting>
  <conditionalFormatting sqref="C302 C299">
    <cfRule type="duplicateValues" dxfId="12" priority="14"/>
  </conditionalFormatting>
  <conditionalFormatting sqref="C306">
    <cfRule type="duplicateValues" dxfId="11" priority="11"/>
  </conditionalFormatting>
  <conditionalFormatting sqref="C306">
    <cfRule type="duplicateValues" dxfId="10" priority="12"/>
  </conditionalFormatting>
  <conditionalFormatting sqref="C301">
    <cfRule type="duplicateValues" dxfId="9" priority="9"/>
  </conditionalFormatting>
  <conditionalFormatting sqref="C301">
    <cfRule type="duplicateValues" dxfId="8" priority="10"/>
  </conditionalFormatting>
  <conditionalFormatting sqref="C298">
    <cfRule type="duplicateValues" dxfId="7" priority="7"/>
  </conditionalFormatting>
  <conditionalFormatting sqref="C298">
    <cfRule type="duplicateValues" dxfId="6" priority="8"/>
  </conditionalFormatting>
  <conditionalFormatting sqref="C304">
    <cfRule type="duplicateValues" dxfId="5" priority="5"/>
  </conditionalFormatting>
  <conditionalFormatting sqref="C304">
    <cfRule type="duplicateValues" dxfId="4" priority="6"/>
  </conditionalFormatting>
  <conditionalFormatting sqref="B466">
    <cfRule type="duplicateValues" dxfId="3" priority="3"/>
    <cfRule type="duplicateValues" dxfId="2" priority="4"/>
  </conditionalFormatting>
  <conditionalFormatting sqref="B466">
    <cfRule type="duplicateValues" dxfId="1" priority="1"/>
    <cfRule type="duplicateValues" dxfId="0" priority="2"/>
  </conditionalFormatting>
  <dataValidations disablePrompts="1" count="1">
    <dataValidation type="list" allowBlank="1" showInputMessage="1" showErrorMessage="1" sqref="Q4:Q34" xr:uid="{806527E5-EC69-4FF5-8FC8-5ADC6A9D983D}">
      <formula1>"linear,pc,g"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O44"/>
  <sheetViews>
    <sheetView tabSelected="1" zoomScaleNormal="100" workbookViewId="0">
      <selection activeCell="I9" sqref="I9"/>
    </sheetView>
  </sheetViews>
  <sheetFormatPr defaultColWidth="9.140625" defaultRowHeight="15" x14ac:dyDescent="0.25"/>
  <cols>
    <col min="1" max="1" width="3.42578125" style="1" bestFit="1" customWidth="1"/>
    <col min="2" max="2" width="22.140625" style="1" bestFit="1" customWidth="1"/>
    <col min="3" max="3" width="5" style="1" bestFit="1" customWidth="1"/>
    <col min="4" max="4" width="39.28515625" style="2" customWidth="1"/>
    <col min="5" max="5" width="14" style="2" customWidth="1"/>
    <col min="6" max="6" width="10.5703125" style="11" customWidth="1"/>
    <col min="7" max="7" width="6" style="1" customWidth="1"/>
    <col min="8" max="8" width="7.7109375" style="1" customWidth="1"/>
    <col min="9" max="9" width="146.42578125" style="68" customWidth="1"/>
    <col min="10" max="10" width="18.28515625" style="8" bestFit="1" customWidth="1"/>
    <col min="11" max="11" width="12.140625" style="8" bestFit="1" customWidth="1"/>
    <col min="12" max="12" width="14.42578125" style="8" bestFit="1" customWidth="1"/>
    <col min="13" max="13" width="13.42578125" style="68" bestFit="1" customWidth="1"/>
    <col min="14" max="14" width="14" style="8" bestFit="1" customWidth="1"/>
    <col min="15" max="15" width="10.5703125" style="70" bestFit="1" customWidth="1"/>
    <col min="16" max="16384" width="9.140625" style="1"/>
  </cols>
  <sheetData>
    <row r="1" spans="1:15" ht="23.25" x14ac:dyDescent="0.25">
      <c r="A1" s="207" t="s">
        <v>315</v>
      </c>
      <c r="B1" s="207"/>
      <c r="C1" s="207"/>
      <c r="D1" s="207"/>
      <c r="E1" s="207"/>
      <c r="F1" s="207"/>
      <c r="G1" s="207"/>
      <c r="H1" s="207"/>
      <c r="I1" s="207"/>
      <c r="J1" s="87" t="s">
        <v>316</v>
      </c>
      <c r="K1" s="1" t="s">
        <v>317</v>
      </c>
      <c r="L1" s="1"/>
      <c r="N1" s="1"/>
    </row>
    <row r="2" spans="1:15" ht="14.65" customHeight="1" x14ac:dyDescent="0.25"/>
    <row r="3" spans="1:15" x14ac:dyDescent="0.25">
      <c r="A3" s="88"/>
      <c r="B3" s="133" t="s">
        <v>1578</v>
      </c>
      <c r="C3" s="133" t="s">
        <v>72</v>
      </c>
      <c r="D3" s="221"/>
      <c r="E3" s="222"/>
      <c r="F3" s="222"/>
      <c r="G3" s="222"/>
      <c r="H3" s="222"/>
      <c r="I3" s="222"/>
      <c r="J3" s="134" t="s">
        <v>1579</v>
      </c>
      <c r="K3" s="134" t="s">
        <v>1580</v>
      </c>
      <c r="L3" s="63" t="s">
        <v>1581</v>
      </c>
      <c r="M3" s="101" t="s">
        <v>1582</v>
      </c>
    </row>
    <row r="4" spans="1:15" ht="30" customHeight="1" x14ac:dyDescent="0.25">
      <c r="A4" s="128" t="s">
        <v>1583</v>
      </c>
      <c r="B4" s="3" t="s">
        <v>1627</v>
      </c>
      <c r="C4" s="128">
        <v>2718</v>
      </c>
      <c r="D4" s="218" t="s">
        <v>1628</v>
      </c>
      <c r="E4" s="219"/>
      <c r="F4" s="219"/>
      <c r="G4" s="219"/>
      <c r="H4" s="219"/>
      <c r="I4" s="219"/>
      <c r="J4" s="129">
        <f>K5-K20</f>
        <v>117.51548435124568</v>
      </c>
      <c r="K4" s="129">
        <f>N5-N20</f>
        <v>183.78771725256388</v>
      </c>
      <c r="L4" s="129">
        <f>K20</f>
        <v>29.700000762939453</v>
      </c>
      <c r="M4" s="130">
        <f>N20</f>
        <v>44.55000114440918</v>
      </c>
    </row>
    <row r="5" spans="1:15" ht="30" customHeight="1" x14ac:dyDescent="0.25">
      <c r="B5" s="77" t="s">
        <v>1629</v>
      </c>
      <c r="C5" s="131">
        <v>1</v>
      </c>
      <c r="D5" s="220" t="s">
        <v>1630</v>
      </c>
      <c r="E5" s="219"/>
      <c r="F5" s="219"/>
      <c r="G5" s="219"/>
      <c r="H5" s="219"/>
      <c r="I5" s="219"/>
      <c r="J5" s="132" t="s">
        <v>546</v>
      </c>
      <c r="K5" s="132">
        <f>SUM(K7:K42)</f>
        <v>147.21548511418513</v>
      </c>
      <c r="L5" s="132">
        <f>SUM(L7:L42)</f>
        <v>226.80418564972419</v>
      </c>
      <c r="N5" s="132">
        <f>SUM(N7:N42)</f>
        <v>228.33771839697306</v>
      </c>
    </row>
    <row r="6" spans="1:15" x14ac:dyDescent="0.25">
      <c r="D6" s="136" t="s">
        <v>319</v>
      </c>
      <c r="E6" s="139" t="s">
        <v>1584</v>
      </c>
      <c r="F6" s="141" t="s">
        <v>2</v>
      </c>
      <c r="G6" s="139" t="s">
        <v>72</v>
      </c>
      <c r="H6" s="139" t="s">
        <v>1599</v>
      </c>
      <c r="I6" s="143" t="s">
        <v>82</v>
      </c>
      <c r="J6" s="145" t="s">
        <v>1600</v>
      </c>
      <c r="K6" s="145" t="s">
        <v>1601</v>
      </c>
      <c r="L6" s="145" t="s">
        <v>1602</v>
      </c>
      <c r="M6" s="143" t="s">
        <v>333</v>
      </c>
      <c r="N6" s="145" t="s">
        <v>1603</v>
      </c>
      <c r="O6" s="147" t="s">
        <v>334</v>
      </c>
    </row>
    <row r="7" spans="1:15" x14ac:dyDescent="0.25">
      <c r="B7" s="148" t="s">
        <v>1623</v>
      </c>
      <c r="D7" s="135" t="s">
        <v>1631</v>
      </c>
      <c r="E7" s="137" t="s">
        <v>370</v>
      </c>
      <c r="F7" s="149" t="s">
        <v>1632</v>
      </c>
      <c r="G7" s="138">
        <v>1</v>
      </c>
      <c r="H7" s="138">
        <v>2718</v>
      </c>
      <c r="I7" s="142" t="s">
        <v>371</v>
      </c>
      <c r="J7" s="150">
        <v>7.9473958015441895</v>
      </c>
      <c r="K7" s="150">
        <f>J7*G7</f>
        <v>7.9473958015441895</v>
      </c>
      <c r="L7" s="144">
        <f>K7*M7</f>
        <v>13.510573241586485</v>
      </c>
      <c r="M7" s="142">
        <v>1.7000000476837158</v>
      </c>
      <c r="N7" s="144">
        <f>K7*O7</f>
        <v>13.510573241586485</v>
      </c>
      <c r="O7" s="146">
        <v>1.7000000476837158</v>
      </c>
    </row>
    <row r="8" spans="1:15" x14ac:dyDescent="0.25">
      <c r="B8" s="148" t="s">
        <v>1621</v>
      </c>
      <c r="D8" s="135" t="s">
        <v>1633</v>
      </c>
      <c r="E8" s="137" t="s">
        <v>374</v>
      </c>
      <c r="F8" s="140" t="s">
        <v>1634</v>
      </c>
      <c r="G8" s="138">
        <v>1</v>
      </c>
      <c r="H8" s="138">
        <v>2718</v>
      </c>
      <c r="I8" s="142" t="s">
        <v>376</v>
      </c>
      <c r="J8" s="150">
        <v>12.907859802246094</v>
      </c>
      <c r="K8" s="150">
        <f>J8*G8</f>
        <v>12.907859802246094</v>
      </c>
      <c r="L8" s="144">
        <f>K8*M8</f>
        <v>21.943362279313078</v>
      </c>
      <c r="M8" s="142">
        <v>1.7000000476837158</v>
      </c>
      <c r="N8" s="144">
        <f>K8*O8</f>
        <v>21.943362279313078</v>
      </c>
      <c r="O8" s="146">
        <v>1.7000000476837158</v>
      </c>
    </row>
    <row r="9" spans="1:15" x14ac:dyDescent="0.25">
      <c r="B9" s="148" t="s">
        <v>1622</v>
      </c>
      <c r="D9" s="135" t="s">
        <v>1635</v>
      </c>
      <c r="E9" s="137" t="s">
        <v>377</v>
      </c>
      <c r="F9" s="140" t="s">
        <v>1636</v>
      </c>
      <c r="G9" s="138">
        <v>2</v>
      </c>
      <c r="H9" s="138">
        <v>5436</v>
      </c>
      <c r="I9" s="142" t="s">
        <v>378</v>
      </c>
      <c r="J9" s="150">
        <v>1.1750311851501465</v>
      </c>
      <c r="K9" s="150">
        <f>J9*G9</f>
        <v>2.350062370300293</v>
      </c>
      <c r="L9" s="144">
        <f>K9*M9</f>
        <v>3.9951061415702043</v>
      </c>
      <c r="M9" s="142">
        <v>1.7000000476837158</v>
      </c>
      <c r="N9" s="144">
        <f>K9*O9</f>
        <v>3.9951061415702043</v>
      </c>
      <c r="O9" s="146">
        <v>1.7000000476837158</v>
      </c>
    </row>
    <row r="10" spans="1:15" x14ac:dyDescent="0.25">
      <c r="D10" s="135" t="s">
        <v>1637</v>
      </c>
      <c r="E10" s="137" t="s">
        <v>381</v>
      </c>
      <c r="F10" s="149" t="s">
        <v>1638</v>
      </c>
      <c r="G10" s="138">
        <v>1</v>
      </c>
      <c r="H10" s="138">
        <v>2718</v>
      </c>
      <c r="I10" s="142" t="s">
        <v>385</v>
      </c>
      <c r="J10" s="150">
        <v>3.6740000247955322</v>
      </c>
      <c r="K10" s="150">
        <f>J10*G10</f>
        <v>3.6740000247955322</v>
      </c>
      <c r="L10" s="144">
        <f>K10*M10</f>
        <v>6.2458002173423779</v>
      </c>
      <c r="M10" s="142">
        <v>1.7000000476837158</v>
      </c>
      <c r="N10" s="144">
        <f>K10*O10</f>
        <v>6.2458002173423779</v>
      </c>
      <c r="O10" s="146">
        <v>1.7000000476837158</v>
      </c>
    </row>
    <row r="11" spans="1:15" x14ac:dyDescent="0.25">
      <c r="D11" s="135" t="s">
        <v>1639</v>
      </c>
      <c r="E11" s="137" t="s">
        <v>625</v>
      </c>
      <c r="F11" s="140" t="s">
        <v>546</v>
      </c>
      <c r="G11" s="138">
        <v>1</v>
      </c>
      <c r="H11" s="138">
        <v>2718</v>
      </c>
      <c r="I11" s="142" t="s">
        <v>626</v>
      </c>
      <c r="J11" s="150">
        <v>3.1349999904632568</v>
      </c>
      <c r="K11" s="150">
        <f>J11*G11</f>
        <v>3.1349999904632568</v>
      </c>
      <c r="L11" s="144">
        <f>K11*M11</f>
        <v>5.7370501170873638</v>
      </c>
      <c r="M11" s="142">
        <v>1.8300000429153442</v>
      </c>
      <c r="N11" s="144">
        <f>K11*O11</f>
        <v>5.0995999795039495</v>
      </c>
      <c r="O11" s="146">
        <v>1.6266666650772095</v>
      </c>
    </row>
    <row r="12" spans="1:15" x14ac:dyDescent="0.25">
      <c r="D12" s="135" t="s">
        <v>1640</v>
      </c>
      <c r="E12" s="137" t="s">
        <v>701</v>
      </c>
      <c r="F12" s="140" t="s">
        <v>546</v>
      </c>
      <c r="G12" s="138">
        <v>1</v>
      </c>
      <c r="H12" s="138">
        <v>2718</v>
      </c>
      <c r="I12" s="142" t="s">
        <v>702</v>
      </c>
      <c r="J12" s="150">
        <v>1.8259999752044678</v>
      </c>
      <c r="K12" s="150">
        <f>J12*G12</f>
        <v>1.8259999752044678</v>
      </c>
      <c r="L12" s="144">
        <f>K12*M12</f>
        <v>2.3737998806953442</v>
      </c>
      <c r="M12" s="142">
        <v>1.2999999523162842</v>
      </c>
      <c r="N12" s="144">
        <f>K12*O12</f>
        <v>1.8259999752044678</v>
      </c>
      <c r="O12" s="146">
        <v>1</v>
      </c>
    </row>
    <row r="13" spans="1:15" x14ac:dyDescent="0.25">
      <c r="D13" s="135" t="s">
        <v>1641</v>
      </c>
      <c r="E13" s="137" t="s">
        <v>725</v>
      </c>
      <c r="F13" s="149" t="s">
        <v>546</v>
      </c>
      <c r="G13" s="138">
        <v>1</v>
      </c>
      <c r="H13" s="138">
        <v>2718</v>
      </c>
      <c r="I13" s="142" t="s">
        <v>726</v>
      </c>
      <c r="J13" s="150">
        <v>0.41800001263618469</v>
      </c>
      <c r="K13" s="150">
        <f>J13*G13</f>
        <v>0.41800001263618469</v>
      </c>
      <c r="L13" s="144">
        <f>K13*M13</f>
        <v>0.54339999649524628</v>
      </c>
      <c r="M13" s="142">
        <v>1.2999999523162842</v>
      </c>
      <c r="N13" s="144">
        <f>K13*O13</f>
        <v>0.41800001263618469</v>
      </c>
      <c r="O13" s="146">
        <v>1</v>
      </c>
    </row>
    <row r="14" spans="1:15" x14ac:dyDescent="0.25">
      <c r="D14" s="135" t="s">
        <v>1642</v>
      </c>
      <c r="E14" s="137" t="s">
        <v>734</v>
      </c>
      <c r="F14" s="140" t="s">
        <v>546</v>
      </c>
      <c r="G14" s="138">
        <v>1</v>
      </c>
      <c r="H14" s="138">
        <v>2718</v>
      </c>
      <c r="I14" s="142" t="s">
        <v>735</v>
      </c>
      <c r="J14" s="150">
        <v>0.17599999904632568</v>
      </c>
      <c r="K14" s="150">
        <f>J14*G14</f>
        <v>0.17599999904632568</v>
      </c>
      <c r="L14" s="144">
        <f>K14*M14</f>
        <v>0.22879999036788945</v>
      </c>
      <c r="M14" s="142">
        <v>1.2999999523162842</v>
      </c>
      <c r="N14" s="144">
        <f>K14*O14</f>
        <v>0.17599999904632568</v>
      </c>
      <c r="O14" s="146">
        <v>1</v>
      </c>
    </row>
    <row r="15" spans="1:15" x14ac:dyDescent="0.25">
      <c r="D15" s="135" t="s">
        <v>1643</v>
      </c>
      <c r="E15" s="137" t="s">
        <v>737</v>
      </c>
      <c r="F15" s="140" t="s">
        <v>546</v>
      </c>
      <c r="G15" s="138">
        <v>3.35</v>
      </c>
      <c r="H15" s="138">
        <v>9105.2999999999993</v>
      </c>
      <c r="I15" s="142" t="s">
        <v>739</v>
      </c>
      <c r="J15" s="150">
        <v>6.5999999642372131E-2</v>
      </c>
      <c r="K15" s="150">
        <f>J15*G15</f>
        <v>0.22109999880194664</v>
      </c>
      <c r="L15" s="144">
        <f>K15*M15</f>
        <v>0.53064001821041096</v>
      </c>
      <c r="M15" s="142">
        <v>2.4000000953674316</v>
      </c>
      <c r="N15" s="144">
        <f>K15*O15</f>
        <v>0.22109999880194664</v>
      </c>
      <c r="O15" s="146">
        <v>1</v>
      </c>
    </row>
    <row r="16" spans="1:15" x14ac:dyDescent="0.25">
      <c r="D16" s="135" t="s">
        <v>1644</v>
      </c>
      <c r="E16" s="137" t="s">
        <v>742</v>
      </c>
      <c r="F16" s="140" t="s">
        <v>546</v>
      </c>
      <c r="G16" s="138">
        <v>1</v>
      </c>
      <c r="H16" s="138">
        <v>2718</v>
      </c>
      <c r="I16" s="142" t="s">
        <v>744</v>
      </c>
      <c r="J16" s="150">
        <v>2.8599999845027924E-2</v>
      </c>
      <c r="K16" s="150">
        <f>J16*G16</f>
        <v>2.8599999845027924E-2</v>
      </c>
      <c r="L16" s="144">
        <f>K16*M16</f>
        <v>4.2899999767541885E-2</v>
      </c>
      <c r="M16" s="142">
        <v>1.5</v>
      </c>
      <c r="N16" s="144">
        <f>K16*O16</f>
        <v>5.3196000120878217E-2</v>
      </c>
      <c r="O16" s="146">
        <v>1.8600000143051147</v>
      </c>
    </row>
    <row r="17" spans="4:15" x14ac:dyDescent="0.25">
      <c r="D17" s="135" t="s">
        <v>1645</v>
      </c>
      <c r="E17" s="137" t="s">
        <v>747</v>
      </c>
      <c r="F17" s="140" t="s">
        <v>546</v>
      </c>
      <c r="G17" s="138">
        <v>2</v>
      </c>
      <c r="H17" s="138">
        <v>5436</v>
      </c>
      <c r="I17" s="142" t="s">
        <v>749</v>
      </c>
      <c r="J17" s="150">
        <v>0.92400002479553223</v>
      </c>
      <c r="K17" s="150">
        <f>J17*G17</f>
        <v>1.8480000495910645</v>
      </c>
      <c r="L17" s="144">
        <f>K17*M17</f>
        <v>4.1949600773239126</v>
      </c>
      <c r="M17" s="142">
        <v>2.2699999809265137</v>
      </c>
      <c r="N17" s="144">
        <f>K17*O17</f>
        <v>2.9198401576614401</v>
      </c>
      <c r="O17" s="146">
        <v>1.5800000429153442</v>
      </c>
    </row>
    <row r="18" spans="4:15" x14ac:dyDescent="0.25">
      <c r="D18" s="135" t="s">
        <v>1646</v>
      </c>
      <c r="E18" s="137" t="s">
        <v>754</v>
      </c>
      <c r="F18" s="140" t="s">
        <v>546</v>
      </c>
      <c r="G18" s="138">
        <v>2</v>
      </c>
      <c r="H18" s="138">
        <v>5436</v>
      </c>
      <c r="I18" s="142" t="s">
        <v>756</v>
      </c>
      <c r="J18" s="150">
        <v>0.72600001096725464</v>
      </c>
      <c r="K18" s="150">
        <f>J18*G18</f>
        <v>1.4520000219345093</v>
      </c>
      <c r="L18" s="144">
        <f>K18*M18</f>
        <v>3.2960400220966335</v>
      </c>
      <c r="M18" s="142">
        <v>2.2699999809265137</v>
      </c>
      <c r="N18" s="144">
        <f>K18*O18</f>
        <v>2.2941600969696054</v>
      </c>
      <c r="O18" s="146">
        <v>1.5800000429153442</v>
      </c>
    </row>
    <row r="19" spans="4:15" x14ac:dyDescent="0.25">
      <c r="D19" s="135" t="s">
        <v>1647</v>
      </c>
      <c r="E19" s="137" t="s">
        <v>795</v>
      </c>
      <c r="F19" s="140" t="s">
        <v>546</v>
      </c>
      <c r="G19" s="138">
        <v>2</v>
      </c>
      <c r="H19" s="138">
        <v>5436</v>
      </c>
      <c r="I19" s="142" t="s">
        <v>796</v>
      </c>
      <c r="J19" s="150">
        <v>0.18700000643730164</v>
      </c>
      <c r="K19" s="150">
        <f>J19*G19</f>
        <v>0.37400001287460327</v>
      </c>
      <c r="L19" s="144">
        <f>K19*M19</f>
        <v>0.84898002209186529</v>
      </c>
      <c r="M19" s="142">
        <v>2.2699999809265137</v>
      </c>
      <c r="N19" s="144">
        <f>K19*O19</f>
        <v>0.59092003639221247</v>
      </c>
      <c r="O19" s="146">
        <v>1.5800000429153442</v>
      </c>
    </row>
    <row r="20" spans="4:15" x14ac:dyDescent="0.25">
      <c r="D20" s="135" t="s">
        <v>1648</v>
      </c>
      <c r="E20" s="137" t="s">
        <v>1034</v>
      </c>
      <c r="F20" s="140" t="s">
        <v>546</v>
      </c>
      <c r="G20" s="138">
        <v>2</v>
      </c>
      <c r="H20" s="138">
        <v>5436</v>
      </c>
      <c r="I20" s="142" t="s">
        <v>1649</v>
      </c>
      <c r="J20" s="150">
        <v>14.850000381469727</v>
      </c>
      <c r="K20" s="150">
        <f>J20*G20</f>
        <v>29.700000762939453</v>
      </c>
      <c r="L20" s="144">
        <f>K20*M20</f>
        <v>45.14400059318541</v>
      </c>
      <c r="M20" s="142">
        <v>1.5199999809265137</v>
      </c>
      <c r="N20" s="144">
        <f>K20*O20</f>
        <v>44.55000114440918</v>
      </c>
      <c r="O20" s="146">
        <v>1.5</v>
      </c>
    </row>
    <row r="21" spans="4:15" x14ac:dyDescent="0.25">
      <c r="D21" s="135" t="s">
        <v>1650</v>
      </c>
      <c r="E21" s="137" t="s">
        <v>1079</v>
      </c>
      <c r="F21" s="140" t="s">
        <v>1651</v>
      </c>
      <c r="G21" s="138">
        <v>1</v>
      </c>
      <c r="H21" s="138">
        <v>2718</v>
      </c>
      <c r="I21" s="142" t="s">
        <v>1084</v>
      </c>
      <c r="J21" s="150">
        <v>2.2660000324249268</v>
      </c>
      <c r="K21" s="150">
        <f>J21*G21</f>
        <v>2.2660000324249268</v>
      </c>
      <c r="L21" s="144">
        <f>K21*M21</f>
        <v>2.7192001469612137</v>
      </c>
      <c r="M21" s="142">
        <v>1.2000000476837158</v>
      </c>
      <c r="N21" s="144">
        <f>K21*O21</f>
        <v>3.3990000486373901</v>
      </c>
      <c r="O21" s="146">
        <v>1.5</v>
      </c>
    </row>
    <row r="22" spans="4:15" x14ac:dyDescent="0.25">
      <c r="D22" s="135" t="s">
        <v>1652</v>
      </c>
      <c r="E22" s="137" t="s">
        <v>1086</v>
      </c>
      <c r="F22" s="140" t="s">
        <v>546</v>
      </c>
      <c r="G22" s="138">
        <v>1</v>
      </c>
      <c r="H22" s="138">
        <v>2718</v>
      </c>
      <c r="I22" s="142" t="s">
        <v>1089</v>
      </c>
      <c r="J22" s="150">
        <v>0.11879999935626984</v>
      </c>
      <c r="K22" s="150">
        <f>J22*G22</f>
        <v>0.11879999935626984</v>
      </c>
      <c r="L22" s="144">
        <f>K22*M22</f>
        <v>0.21027599659466745</v>
      </c>
      <c r="M22" s="142">
        <v>1.7699999809265137</v>
      </c>
      <c r="N22" s="144">
        <f>K22*O22</f>
        <v>0.29106000408768651</v>
      </c>
      <c r="O22" s="146">
        <v>2.4500000476837158</v>
      </c>
    </row>
    <row r="23" spans="4:15" x14ac:dyDescent="0.25">
      <c r="D23" s="135" t="s">
        <v>1604</v>
      </c>
      <c r="E23" s="137" t="s">
        <v>1104</v>
      </c>
      <c r="F23" s="140" t="s">
        <v>546</v>
      </c>
      <c r="G23" s="138">
        <v>2</v>
      </c>
      <c r="H23" s="138">
        <v>5436</v>
      </c>
      <c r="I23" s="142" t="s">
        <v>1105</v>
      </c>
      <c r="J23" s="150">
        <v>2.7499999850988388E-2</v>
      </c>
      <c r="K23" s="150">
        <f>J23*G23</f>
        <v>5.4999999701976776E-2</v>
      </c>
      <c r="L23" s="144">
        <f>K23*M23</f>
        <v>5.4999999701976776E-2</v>
      </c>
      <c r="M23" s="142">
        <v>1</v>
      </c>
      <c r="N23" s="144">
        <f>K23*O23</f>
        <v>0.13694999978244304</v>
      </c>
      <c r="O23" s="146">
        <v>2.4900000095367432</v>
      </c>
    </row>
    <row r="24" spans="4:15" x14ac:dyDescent="0.25">
      <c r="D24" s="135" t="s">
        <v>1605</v>
      </c>
      <c r="E24" s="137" t="s">
        <v>1107</v>
      </c>
      <c r="F24" s="140" t="s">
        <v>546</v>
      </c>
      <c r="G24" s="138">
        <v>2</v>
      </c>
      <c r="H24" s="138">
        <v>5436</v>
      </c>
      <c r="I24" s="142" t="s">
        <v>1108</v>
      </c>
      <c r="J24" s="150">
        <v>3.4099999815225601E-2</v>
      </c>
      <c r="K24" s="150">
        <f>J24*G24</f>
        <v>6.8199999630451202E-2</v>
      </c>
      <c r="L24" s="144">
        <f>K24*M24</f>
        <v>6.8199999630451202E-2</v>
      </c>
      <c r="M24" s="142">
        <v>1</v>
      </c>
      <c r="N24" s="144">
        <f>K24*O24</f>
        <v>0.16981799973022937</v>
      </c>
      <c r="O24" s="146">
        <v>2.4900000095367432</v>
      </c>
    </row>
    <row r="25" spans="4:15" x14ac:dyDescent="0.25">
      <c r="D25" s="135" t="s">
        <v>1653</v>
      </c>
      <c r="E25" s="137" t="s">
        <v>1157</v>
      </c>
      <c r="F25" s="140" t="s">
        <v>1654</v>
      </c>
      <c r="G25" s="138">
        <v>1</v>
      </c>
      <c r="H25" s="138">
        <v>2718</v>
      </c>
      <c r="I25" s="142" t="s">
        <v>1158</v>
      </c>
      <c r="J25" s="150">
        <v>1.4960000514984131</v>
      </c>
      <c r="K25" s="150">
        <f>J25*G25</f>
        <v>1.4960000514984131</v>
      </c>
      <c r="L25" s="144">
        <f>K25*M25</f>
        <v>2.318800008487699</v>
      </c>
      <c r="M25" s="142">
        <v>1.5499999523162842</v>
      </c>
      <c r="N25" s="144">
        <f>K25*O25</f>
        <v>1.9447999956130957</v>
      </c>
      <c r="O25" s="146">
        <v>1.2999999523162842</v>
      </c>
    </row>
    <row r="26" spans="4:15" x14ac:dyDescent="0.25">
      <c r="D26" s="135" t="s">
        <v>1606</v>
      </c>
      <c r="E26" s="137" t="s">
        <v>1160</v>
      </c>
      <c r="F26" s="140" t="s">
        <v>1624</v>
      </c>
      <c r="G26" s="138">
        <v>1</v>
      </c>
      <c r="H26" s="138">
        <v>2718</v>
      </c>
      <c r="I26" s="142" t="s">
        <v>1162</v>
      </c>
      <c r="J26" s="150">
        <v>0.34883332252502441</v>
      </c>
      <c r="K26" s="150">
        <f>J26*G26</f>
        <v>0.34883332252502441</v>
      </c>
      <c r="L26" s="144">
        <f>K26*M26</f>
        <v>0.54069163328011882</v>
      </c>
      <c r="M26" s="142">
        <v>1.5499999523162842</v>
      </c>
      <c r="N26" s="144">
        <f>K26*O26</f>
        <v>0.45348330264886272</v>
      </c>
      <c r="O26" s="146">
        <v>1.2999999523162842</v>
      </c>
    </row>
    <row r="27" spans="4:15" x14ac:dyDescent="0.25">
      <c r="D27" s="135" t="s">
        <v>1607</v>
      </c>
      <c r="E27" s="137" t="s">
        <v>1164</v>
      </c>
      <c r="F27" s="140" t="s">
        <v>1624</v>
      </c>
      <c r="G27" s="138">
        <v>1</v>
      </c>
      <c r="H27" s="138">
        <v>2718</v>
      </c>
      <c r="I27" s="142" t="s">
        <v>1165</v>
      </c>
      <c r="J27" s="150">
        <v>0.34883332252502441</v>
      </c>
      <c r="K27" s="150">
        <f>J27*G27</f>
        <v>0.34883332252502441</v>
      </c>
      <c r="L27" s="144">
        <f>K27*M27</f>
        <v>0.54069163328011882</v>
      </c>
      <c r="M27" s="142">
        <v>1.5499999523162842</v>
      </c>
      <c r="N27" s="144">
        <f>K27*O27</f>
        <v>0.45348330264886272</v>
      </c>
      <c r="O27" s="146">
        <v>1.2999999523162842</v>
      </c>
    </row>
    <row r="28" spans="4:15" x14ac:dyDescent="0.25">
      <c r="D28" s="135" t="s">
        <v>1655</v>
      </c>
      <c r="E28" s="137" t="s">
        <v>1289</v>
      </c>
      <c r="F28" s="140" t="s">
        <v>546</v>
      </c>
      <c r="G28" s="138">
        <v>5</v>
      </c>
      <c r="H28" s="138">
        <v>13590</v>
      </c>
      <c r="I28" s="142" t="s">
        <v>1290</v>
      </c>
      <c r="J28" s="150">
        <v>5.8299999237060547</v>
      </c>
      <c r="K28" s="150">
        <f>J28*G28</f>
        <v>29.149999618530273</v>
      </c>
      <c r="L28" s="144">
        <f>K28*M28</f>
        <v>37.894998114109057</v>
      </c>
      <c r="M28" s="142">
        <v>1.2999999523162842</v>
      </c>
      <c r="N28" s="144">
        <f>K28*O28</f>
        <v>37.749248255014436</v>
      </c>
      <c r="O28" s="146">
        <v>1.2949999570846558</v>
      </c>
    </row>
    <row r="29" spans="4:15" x14ac:dyDescent="0.25">
      <c r="D29" s="135" t="s">
        <v>1656</v>
      </c>
      <c r="E29" s="137" t="s">
        <v>1367</v>
      </c>
      <c r="F29" s="140" t="s">
        <v>546</v>
      </c>
      <c r="G29" s="138">
        <v>50</v>
      </c>
      <c r="H29" s="138">
        <v>135900</v>
      </c>
      <c r="I29" s="142" t="s">
        <v>1368</v>
      </c>
      <c r="J29" s="150">
        <v>0.33000001311302185</v>
      </c>
      <c r="K29" s="150">
        <f>J29*G29</f>
        <v>16.500000655651093</v>
      </c>
      <c r="L29" s="144">
        <f>K29*M29</f>
        <v>23.100000524520858</v>
      </c>
      <c r="M29" s="142">
        <v>1.3999999761581421</v>
      </c>
      <c r="N29" s="144">
        <f>K29*O29</f>
        <v>26.070001744031934</v>
      </c>
      <c r="O29" s="146">
        <v>1.5800000429153442</v>
      </c>
    </row>
    <row r="30" spans="4:15" x14ac:dyDescent="0.25">
      <c r="D30" s="135" t="s">
        <v>1625</v>
      </c>
      <c r="E30" s="137" t="s">
        <v>1456</v>
      </c>
      <c r="F30" s="140" t="s">
        <v>546</v>
      </c>
      <c r="G30" s="138">
        <v>5</v>
      </c>
      <c r="H30" s="138">
        <v>13590</v>
      </c>
      <c r="I30" s="142" t="s">
        <v>1453</v>
      </c>
      <c r="J30" s="150">
        <v>2.0899999141693115</v>
      </c>
      <c r="K30" s="150">
        <f>J30*G30</f>
        <v>10.449999570846558</v>
      </c>
      <c r="L30" s="144">
        <f>K30*M30</f>
        <v>14.629999150037776</v>
      </c>
      <c r="M30" s="142">
        <v>1.3999999761581421</v>
      </c>
      <c r="N30" s="144">
        <f>K30*O30</f>
        <v>19.43699935126304</v>
      </c>
      <c r="O30" s="146">
        <v>1.8600000143051147</v>
      </c>
    </row>
    <row r="31" spans="4:15" x14ac:dyDescent="0.25">
      <c r="D31" s="135" t="s">
        <v>1657</v>
      </c>
      <c r="E31" s="137" t="s">
        <v>1479</v>
      </c>
      <c r="F31" s="140" t="s">
        <v>546</v>
      </c>
      <c r="G31" s="138">
        <v>0.5</v>
      </c>
      <c r="H31" s="138">
        <v>1359</v>
      </c>
      <c r="I31" s="142" t="s">
        <v>1481</v>
      </c>
      <c r="J31" s="150">
        <v>25.299999237060547</v>
      </c>
      <c r="K31" s="150">
        <f>J31*G31</f>
        <v>12.649999618530273</v>
      </c>
      <c r="L31" s="144">
        <f>K31*M31</f>
        <v>12.649999618530273</v>
      </c>
      <c r="M31" s="142">
        <v>1</v>
      </c>
      <c r="N31" s="144">
        <f>K31*O31</f>
        <v>21.125498820066468</v>
      </c>
      <c r="O31" s="146">
        <v>1.6699999570846558</v>
      </c>
    </row>
    <row r="32" spans="4:15" x14ac:dyDescent="0.25">
      <c r="D32" s="135" t="s">
        <v>1658</v>
      </c>
      <c r="E32" s="137" t="s">
        <v>1483</v>
      </c>
      <c r="F32" s="140" t="s">
        <v>546</v>
      </c>
      <c r="G32" s="138">
        <v>0.95</v>
      </c>
      <c r="H32" s="138">
        <v>2582.1</v>
      </c>
      <c r="I32" s="142" t="s">
        <v>1485</v>
      </c>
      <c r="J32" s="150">
        <v>3.190000057220459</v>
      </c>
      <c r="K32" s="150">
        <f>J32*G32</f>
        <v>3.030500054359436</v>
      </c>
      <c r="L32" s="144">
        <f>K32*M32</f>
        <v>10.697665105185507</v>
      </c>
      <c r="M32" s="142">
        <v>3.5299999713897705</v>
      </c>
      <c r="N32" s="144">
        <f>K32*O32</f>
        <v>5.636730144460202</v>
      </c>
      <c r="O32" s="146">
        <v>1.8600000143051147</v>
      </c>
    </row>
    <row r="33" spans="1:15" x14ac:dyDescent="0.25">
      <c r="D33" s="135" t="s">
        <v>1659</v>
      </c>
      <c r="E33" s="137" t="s">
        <v>1487</v>
      </c>
      <c r="F33" s="140" t="s">
        <v>546</v>
      </c>
      <c r="G33" s="138">
        <v>0.95</v>
      </c>
      <c r="H33" s="138">
        <v>2582.1</v>
      </c>
      <c r="I33" s="142" t="s">
        <v>1485</v>
      </c>
      <c r="J33" s="150">
        <v>3.190000057220459</v>
      </c>
      <c r="K33" s="150">
        <f>J33*G33</f>
        <v>3.030500054359436</v>
      </c>
      <c r="L33" s="144">
        <f>K33*M33</f>
        <v>10.697665105185507</v>
      </c>
      <c r="M33" s="142">
        <v>3.5299999713897705</v>
      </c>
      <c r="N33" s="144">
        <f>K33*O33</f>
        <v>5.636730144460202</v>
      </c>
      <c r="O33" s="146">
        <v>1.8600000143051147</v>
      </c>
    </row>
    <row r="34" spans="1:15" x14ac:dyDescent="0.25">
      <c r="D34" s="135" t="s">
        <v>1618</v>
      </c>
      <c r="E34" s="137" t="s">
        <v>1490</v>
      </c>
      <c r="F34" s="140" t="s">
        <v>546</v>
      </c>
      <c r="G34" s="138">
        <v>45</v>
      </c>
      <c r="H34" s="138">
        <v>122310</v>
      </c>
      <c r="I34" s="142" t="s">
        <v>1491</v>
      </c>
      <c r="J34" s="150">
        <v>1.0999999940395355E-2</v>
      </c>
      <c r="K34" s="150">
        <f>J34*G34</f>
        <v>0.49499999731779099</v>
      </c>
      <c r="L34" s="144">
        <f>K34*M34</f>
        <v>0.73260000547170634</v>
      </c>
      <c r="M34" s="142">
        <v>1.4800000190734863</v>
      </c>
      <c r="N34" s="144">
        <f>K34*O34</f>
        <v>0.73260000547170634</v>
      </c>
      <c r="O34" s="146">
        <v>1.4800000190734863</v>
      </c>
    </row>
    <row r="35" spans="1:15" x14ac:dyDescent="0.25">
      <c r="D35" s="135" t="s">
        <v>1619</v>
      </c>
      <c r="E35" s="137" t="s">
        <v>1493</v>
      </c>
      <c r="F35" s="140" t="s">
        <v>546</v>
      </c>
      <c r="G35" s="138">
        <v>3</v>
      </c>
      <c r="H35" s="138">
        <v>8154</v>
      </c>
      <c r="I35" s="142" t="s">
        <v>1492</v>
      </c>
      <c r="J35" s="150">
        <v>2.3000000510364771E-3</v>
      </c>
      <c r="K35" s="150">
        <f>J35*G35</f>
        <v>6.9000001531094313E-3</v>
      </c>
      <c r="L35" s="144">
        <f>K35*M35</f>
        <v>1.0212000358209017E-2</v>
      </c>
      <c r="M35" s="142">
        <v>1.4800000190734863</v>
      </c>
      <c r="N35" s="144">
        <f>K35*O35</f>
        <v>1.0212000358209017E-2</v>
      </c>
      <c r="O35" s="146">
        <v>1.4800000190734863</v>
      </c>
    </row>
    <row r="36" spans="1:15" x14ac:dyDescent="0.25">
      <c r="D36" s="135" t="s">
        <v>1660</v>
      </c>
      <c r="E36" s="137" t="s">
        <v>1500</v>
      </c>
      <c r="F36" s="140" t="s">
        <v>546</v>
      </c>
      <c r="G36" s="138">
        <v>30</v>
      </c>
      <c r="H36" s="138">
        <v>81540</v>
      </c>
      <c r="I36" s="142" t="s">
        <v>1501</v>
      </c>
      <c r="J36" s="150">
        <v>5.4999999701976776E-3</v>
      </c>
      <c r="K36" s="150">
        <f>J36*G36</f>
        <v>0.16499999910593033</v>
      </c>
      <c r="L36" s="144">
        <f>K36*M36</f>
        <v>0.24420000182390211</v>
      </c>
      <c r="M36" s="142">
        <v>1.4800000190734863</v>
      </c>
      <c r="N36" s="144">
        <f>K36*O36</f>
        <v>0.24420000182390211</v>
      </c>
      <c r="O36" s="146">
        <v>1.4800000190734863</v>
      </c>
    </row>
    <row r="37" spans="1:15" x14ac:dyDescent="0.25">
      <c r="D37" s="135" t="s">
        <v>1608</v>
      </c>
      <c r="E37" s="137" t="s">
        <v>1503</v>
      </c>
      <c r="F37" s="140" t="s">
        <v>546</v>
      </c>
      <c r="G37" s="138">
        <v>4</v>
      </c>
      <c r="H37" s="138">
        <v>10872</v>
      </c>
      <c r="I37" s="142" t="s">
        <v>1504</v>
      </c>
      <c r="J37" s="150">
        <v>2.199999988079071E-3</v>
      </c>
      <c r="K37" s="150">
        <f>J37*G37</f>
        <v>8.7999999523162842E-3</v>
      </c>
      <c r="L37" s="144">
        <f>K37*M37</f>
        <v>1.3024000097274779E-2</v>
      </c>
      <c r="M37" s="142">
        <v>1.4800000190734863</v>
      </c>
      <c r="N37" s="144">
        <f>K37*O37</f>
        <v>1.3024000097274779E-2</v>
      </c>
      <c r="O37" s="146">
        <v>1.4800000190734863</v>
      </c>
    </row>
    <row r="38" spans="1:15" x14ac:dyDescent="0.25">
      <c r="D38" s="135" t="s">
        <v>1609</v>
      </c>
      <c r="E38" s="137" t="s">
        <v>1506</v>
      </c>
      <c r="F38" s="140" t="s">
        <v>546</v>
      </c>
      <c r="G38" s="138">
        <v>4</v>
      </c>
      <c r="H38" s="138">
        <v>10872</v>
      </c>
      <c r="I38" s="142" t="s">
        <v>1507</v>
      </c>
      <c r="J38" s="150">
        <v>1.0999999940395355E-2</v>
      </c>
      <c r="K38" s="150">
        <f>J38*G38</f>
        <v>4.3999999761581421E-2</v>
      </c>
      <c r="L38" s="144">
        <f>K38*M38</f>
        <v>6.5120000486373897E-2</v>
      </c>
      <c r="M38" s="142">
        <v>1.4800000190734863</v>
      </c>
      <c r="N38" s="144">
        <f>K38*O38</f>
        <v>6.5120000486373897E-2</v>
      </c>
      <c r="O38" s="146">
        <v>1.4800000190734863</v>
      </c>
    </row>
    <row r="39" spans="1:15" x14ac:dyDescent="0.25">
      <c r="D39" s="135" t="s">
        <v>1661</v>
      </c>
      <c r="E39" s="137" t="s">
        <v>1521</v>
      </c>
      <c r="F39" s="140" t="s">
        <v>546</v>
      </c>
      <c r="G39" s="138">
        <v>0.1</v>
      </c>
      <c r="H39" s="138">
        <v>271.8</v>
      </c>
      <c r="I39" s="142" t="s">
        <v>1522</v>
      </c>
      <c r="J39" s="150">
        <v>5.5329999923706055</v>
      </c>
      <c r="K39" s="150">
        <f>J39*G39</f>
        <v>0.55329999923706052</v>
      </c>
      <c r="L39" s="144">
        <f>K39*M39</f>
        <v>0.6086300123524665</v>
      </c>
      <c r="M39" s="142">
        <v>1.1000000238418579</v>
      </c>
      <c r="N39" s="144">
        <f>K39*O39</f>
        <v>0.55329999923706052</v>
      </c>
      <c r="O39" s="146">
        <v>1</v>
      </c>
    </row>
    <row r="40" spans="1:15" x14ac:dyDescent="0.25">
      <c r="D40" s="135" t="s">
        <v>1620</v>
      </c>
      <c r="E40" s="137" t="s">
        <v>1528</v>
      </c>
      <c r="F40" s="140" t="s">
        <v>546</v>
      </c>
      <c r="G40" s="138">
        <v>0.04</v>
      </c>
      <c r="H40" s="138">
        <v>99.15</v>
      </c>
      <c r="I40" s="142"/>
      <c r="J40" s="150">
        <v>1.0449999570846558</v>
      </c>
      <c r="K40" s="150">
        <f>J40*G40</f>
        <v>4.1799998283386229E-2</v>
      </c>
      <c r="L40" s="144">
        <f>K40*M40</f>
        <v>4.1799998283386229E-2</v>
      </c>
      <c r="M40" s="142">
        <v>1</v>
      </c>
      <c r="N40" s="144">
        <f>K40*O40</f>
        <v>4.1799998283386229E-2</v>
      </c>
      <c r="O40" s="146">
        <v>1</v>
      </c>
    </row>
    <row r="41" spans="1:15" x14ac:dyDescent="0.25">
      <c r="D41" s="135" t="s">
        <v>1610</v>
      </c>
      <c r="E41" s="137" t="s">
        <v>1537</v>
      </c>
      <c r="F41" s="140" t="s">
        <v>546</v>
      </c>
      <c r="G41" s="138">
        <v>4</v>
      </c>
      <c r="H41" s="138">
        <v>10872</v>
      </c>
      <c r="I41" s="142" t="s">
        <v>1538</v>
      </c>
      <c r="J41" s="150">
        <v>5.4999999701976776E-2</v>
      </c>
      <c r="K41" s="150">
        <f>J41*G41</f>
        <v>0.2199999988079071</v>
      </c>
      <c r="L41" s="144">
        <f>K41*M41</f>
        <v>0.2199999988079071</v>
      </c>
      <c r="M41" s="142">
        <v>1</v>
      </c>
      <c r="N41" s="144">
        <f>K41*O41</f>
        <v>0.2199999988079071</v>
      </c>
      <c r="O41" s="146">
        <v>1</v>
      </c>
    </row>
    <row r="42" spans="1:15" x14ac:dyDescent="0.25">
      <c r="D42" s="135" t="s">
        <v>1611</v>
      </c>
      <c r="E42" s="137" t="s">
        <v>1540</v>
      </c>
      <c r="F42" s="140" t="s">
        <v>546</v>
      </c>
      <c r="G42" s="138">
        <v>2</v>
      </c>
      <c r="H42" s="138">
        <v>5436</v>
      </c>
      <c r="I42" s="142" t="s">
        <v>1541</v>
      </c>
      <c r="J42" s="150">
        <v>5.4999999701976776E-2</v>
      </c>
      <c r="K42" s="150">
        <f>J42*G42</f>
        <v>0.10999999940395355</v>
      </c>
      <c r="L42" s="144">
        <f>K42*M42</f>
        <v>0.10999999940395355</v>
      </c>
      <c r="M42" s="142">
        <v>1</v>
      </c>
      <c r="N42" s="144">
        <f>K42*O42</f>
        <v>0.10999999940395355</v>
      </c>
      <c r="O42" s="146">
        <v>1</v>
      </c>
    </row>
    <row r="43" spans="1:15" ht="15.75" thickBot="1" x14ac:dyDescent="0.3">
      <c r="A43" s="151"/>
      <c r="B43" s="151"/>
      <c r="C43" s="151"/>
      <c r="D43" s="152"/>
      <c r="E43" s="152"/>
      <c r="F43" s="153"/>
      <c r="G43" s="151"/>
      <c r="H43" s="151"/>
      <c r="I43" s="154"/>
      <c r="J43" s="118"/>
      <c r="K43" s="118"/>
      <c r="L43" s="118"/>
      <c r="M43" s="154"/>
      <c r="N43" s="118"/>
      <c r="O43" s="119"/>
    </row>
    <row r="44" spans="1:15" ht="15.75" thickTop="1" x14ac:dyDescent="0.25"/>
  </sheetData>
  <mergeCells count="4">
    <mergeCell ref="A1:I1"/>
    <mergeCell ref="D3:I3"/>
    <mergeCell ref="D4:I4"/>
    <mergeCell ref="D5:I5"/>
  </mergeCells>
  <pageMargins left="0.7" right="0.7" top="0.75" bottom="0.75" header="0.3" footer="0.3"/>
  <pageSetup scale="77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C060C-47D6-408B-96B7-D992A2606DE1}">
  <sheetPr codeName="Sheet5">
    <pageSetUpPr fitToPage="1"/>
  </sheetPr>
  <dimension ref="A1:F37"/>
  <sheetViews>
    <sheetView zoomScale="85" zoomScaleNormal="85" workbookViewId="0">
      <selection activeCell="F32" sqref="F32"/>
    </sheetView>
  </sheetViews>
  <sheetFormatPr defaultRowHeight="15" x14ac:dyDescent="0.25"/>
  <cols>
    <col min="1" max="1" width="18.85546875" style="85" customWidth="1"/>
    <col min="2" max="2" width="41.7109375" style="85" customWidth="1"/>
    <col min="3" max="3" width="16" style="85" customWidth="1"/>
    <col min="4" max="4" width="11.5703125" style="85" customWidth="1"/>
    <col min="5" max="5" width="11.28515625" style="85" customWidth="1"/>
    <col min="6" max="6" width="184.28515625" style="86" customWidth="1"/>
    <col min="7" max="7" width="79.5703125" customWidth="1"/>
  </cols>
  <sheetData>
    <row r="1" spans="1:6" x14ac:dyDescent="0.25">
      <c r="A1" s="81" t="s">
        <v>321</v>
      </c>
      <c r="B1" s="81" t="s">
        <v>319</v>
      </c>
      <c r="C1" s="81" t="s">
        <v>1584</v>
      </c>
      <c r="D1" s="81" t="s">
        <v>2</v>
      </c>
      <c r="E1" s="81" t="s">
        <v>72</v>
      </c>
      <c r="F1" s="82" t="s">
        <v>82</v>
      </c>
    </row>
    <row r="2" spans="1:6" ht="13.15" customHeight="1" x14ac:dyDescent="0.25">
      <c r="A2" s="83" t="s">
        <v>743</v>
      </c>
      <c r="B2" s="83" t="s">
        <v>741</v>
      </c>
      <c r="C2" s="83" t="s">
        <v>742</v>
      </c>
      <c r="D2" s="83" t="s">
        <v>546</v>
      </c>
      <c r="E2" s="83">
        <v>2718</v>
      </c>
      <c r="F2" s="84" t="s">
        <v>744</v>
      </c>
    </row>
    <row r="3" spans="1:6" x14ac:dyDescent="0.25">
      <c r="A3" s="83" t="s">
        <v>336</v>
      </c>
      <c r="B3" s="83">
        <v>17011</v>
      </c>
      <c r="C3" s="83" t="s">
        <v>370</v>
      </c>
      <c r="D3" s="83" t="s">
        <v>1632</v>
      </c>
      <c r="E3" s="83">
        <v>2718</v>
      </c>
      <c r="F3" s="84" t="s">
        <v>371</v>
      </c>
    </row>
    <row r="4" spans="1:6" x14ac:dyDescent="0.25">
      <c r="A4" s="83" t="s">
        <v>336</v>
      </c>
      <c r="B4" s="83">
        <v>17012</v>
      </c>
      <c r="C4" s="83" t="s">
        <v>377</v>
      </c>
      <c r="D4" s="83" t="s">
        <v>1636</v>
      </c>
      <c r="E4" s="83">
        <v>5436</v>
      </c>
      <c r="F4" s="84" t="s">
        <v>378</v>
      </c>
    </row>
    <row r="5" spans="1:6" x14ac:dyDescent="0.25">
      <c r="A5" s="83" t="s">
        <v>336</v>
      </c>
      <c r="B5" s="83">
        <v>17021</v>
      </c>
      <c r="C5" s="83" t="s">
        <v>381</v>
      </c>
      <c r="D5" s="83" t="s">
        <v>1638</v>
      </c>
      <c r="E5" s="83">
        <v>2718</v>
      </c>
      <c r="F5" s="84" t="s">
        <v>385</v>
      </c>
    </row>
    <row r="6" spans="1:6" x14ac:dyDescent="0.25">
      <c r="A6" s="83" t="s">
        <v>336</v>
      </c>
      <c r="B6" s="83">
        <v>17041</v>
      </c>
      <c r="C6" s="83" t="s">
        <v>374</v>
      </c>
      <c r="D6" s="83" t="s">
        <v>1634</v>
      </c>
      <c r="E6" s="83">
        <v>2718</v>
      </c>
      <c r="F6" s="84" t="s">
        <v>376</v>
      </c>
    </row>
    <row r="7" spans="1:6" x14ac:dyDescent="0.25">
      <c r="A7" s="83" t="s">
        <v>630</v>
      </c>
      <c r="B7" s="83" t="s">
        <v>692</v>
      </c>
      <c r="C7" s="83" t="s">
        <v>701</v>
      </c>
      <c r="D7" s="83" t="s">
        <v>546</v>
      </c>
      <c r="E7" s="83">
        <v>2718</v>
      </c>
      <c r="F7" s="84" t="s">
        <v>702</v>
      </c>
    </row>
    <row r="8" spans="1:6" x14ac:dyDescent="0.25">
      <c r="A8" s="83" t="s">
        <v>792</v>
      </c>
      <c r="B8" s="83">
        <v>17042</v>
      </c>
      <c r="C8" s="83" t="s">
        <v>795</v>
      </c>
      <c r="D8" s="83" t="s">
        <v>546</v>
      </c>
      <c r="E8" s="83">
        <v>5436</v>
      </c>
      <c r="F8" s="84" t="s">
        <v>796</v>
      </c>
    </row>
    <row r="9" spans="1:6" x14ac:dyDescent="0.25">
      <c r="A9" s="83" t="s">
        <v>1087</v>
      </c>
      <c r="B9" s="83" t="s">
        <v>1085</v>
      </c>
      <c r="C9" s="83" t="s">
        <v>1086</v>
      </c>
      <c r="D9" s="83" t="s">
        <v>546</v>
      </c>
      <c r="E9" s="83">
        <v>2718</v>
      </c>
      <c r="F9" s="84" t="s">
        <v>1089</v>
      </c>
    </row>
    <row r="10" spans="1:6" x14ac:dyDescent="0.25">
      <c r="A10" s="83" t="s">
        <v>1080</v>
      </c>
      <c r="B10" s="83" t="s">
        <v>1078</v>
      </c>
      <c r="C10" s="83" t="s">
        <v>1079</v>
      </c>
      <c r="D10" s="83" t="s">
        <v>1651</v>
      </c>
      <c r="E10" s="83">
        <v>2718</v>
      </c>
      <c r="F10" s="84" t="s">
        <v>1084</v>
      </c>
    </row>
    <row r="11" spans="1:6" x14ac:dyDescent="0.25">
      <c r="A11" s="83" t="s">
        <v>1080</v>
      </c>
      <c r="B11" s="83" t="s">
        <v>1154</v>
      </c>
      <c r="C11" s="83" t="s">
        <v>1157</v>
      </c>
      <c r="D11" s="83" t="s">
        <v>1654</v>
      </c>
      <c r="E11" s="83">
        <v>2718</v>
      </c>
      <c r="F11" s="84" t="s">
        <v>1158</v>
      </c>
    </row>
    <row r="12" spans="1:6" x14ac:dyDescent="0.25">
      <c r="A12" s="83" t="s">
        <v>1077</v>
      </c>
      <c r="B12" s="83" t="s">
        <v>1103</v>
      </c>
      <c r="C12" s="83" t="s">
        <v>1104</v>
      </c>
      <c r="D12" s="83" t="s">
        <v>546</v>
      </c>
      <c r="E12" s="83">
        <v>5436</v>
      </c>
      <c r="F12" s="84" t="s">
        <v>1105</v>
      </c>
    </row>
    <row r="13" spans="1:6" x14ac:dyDescent="0.25">
      <c r="A13" s="83" t="s">
        <v>1077</v>
      </c>
      <c r="B13" s="83" t="s">
        <v>1106</v>
      </c>
      <c r="C13" s="83" t="s">
        <v>1107</v>
      </c>
      <c r="D13" s="83" t="s">
        <v>546</v>
      </c>
      <c r="E13" s="83">
        <v>5436</v>
      </c>
      <c r="F13" s="84" t="s">
        <v>1108</v>
      </c>
    </row>
    <row r="14" spans="1:6" x14ac:dyDescent="0.25">
      <c r="A14" s="83" t="s">
        <v>982</v>
      </c>
      <c r="B14" s="83" t="s">
        <v>1033</v>
      </c>
      <c r="C14" s="83" t="s">
        <v>1034</v>
      </c>
      <c r="D14" s="83" t="s">
        <v>546</v>
      </c>
      <c r="E14" s="83">
        <v>5436</v>
      </c>
      <c r="F14" s="84" t="s">
        <v>1649</v>
      </c>
    </row>
    <row r="15" spans="1:6" x14ac:dyDescent="0.25">
      <c r="A15" s="83" t="s">
        <v>748</v>
      </c>
      <c r="B15" s="83">
        <v>17013</v>
      </c>
      <c r="C15" s="83" t="s">
        <v>747</v>
      </c>
      <c r="D15" s="83" t="s">
        <v>546</v>
      </c>
      <c r="E15" s="83">
        <v>5436</v>
      </c>
      <c r="F15" s="84" t="s">
        <v>749</v>
      </c>
    </row>
    <row r="16" spans="1:6" x14ac:dyDescent="0.25">
      <c r="A16" s="83" t="s">
        <v>748</v>
      </c>
      <c r="B16" s="83">
        <v>17022</v>
      </c>
      <c r="C16" s="83" t="s">
        <v>754</v>
      </c>
      <c r="D16" s="83" t="s">
        <v>546</v>
      </c>
      <c r="E16" s="83">
        <v>5436</v>
      </c>
      <c r="F16" s="84" t="s">
        <v>756</v>
      </c>
    </row>
    <row r="17" spans="1:6" x14ac:dyDescent="0.25">
      <c r="A17" s="83" t="s">
        <v>549</v>
      </c>
      <c r="B17" s="83">
        <v>17908</v>
      </c>
      <c r="C17" s="83" t="s">
        <v>725</v>
      </c>
      <c r="D17" s="83" t="s">
        <v>546</v>
      </c>
      <c r="E17" s="83">
        <v>2718</v>
      </c>
      <c r="F17" s="84" t="s">
        <v>726</v>
      </c>
    </row>
    <row r="18" spans="1:6" x14ac:dyDescent="0.25">
      <c r="A18" s="83" t="s">
        <v>738</v>
      </c>
      <c r="B18" s="83">
        <v>17044</v>
      </c>
      <c r="C18" s="83" t="s">
        <v>737</v>
      </c>
      <c r="D18" s="83" t="s">
        <v>546</v>
      </c>
      <c r="E18" s="83" t="s">
        <v>1663</v>
      </c>
      <c r="F18" s="84" t="s">
        <v>739</v>
      </c>
    </row>
    <row r="19" spans="1:6" x14ac:dyDescent="0.25">
      <c r="A19" s="83" t="s">
        <v>393</v>
      </c>
      <c r="B19" s="83">
        <v>17024</v>
      </c>
      <c r="C19" s="83" t="s">
        <v>734</v>
      </c>
      <c r="D19" s="83" t="s">
        <v>546</v>
      </c>
      <c r="E19" s="83">
        <v>2718</v>
      </c>
      <c r="F19" s="84" t="s">
        <v>735</v>
      </c>
    </row>
    <row r="20" spans="1:6" x14ac:dyDescent="0.25">
      <c r="A20" s="83" t="s">
        <v>606</v>
      </c>
      <c r="B20" s="83">
        <v>17014</v>
      </c>
      <c r="C20" s="83" t="s">
        <v>625</v>
      </c>
      <c r="D20" s="83" t="s">
        <v>546</v>
      </c>
      <c r="E20" s="83">
        <v>2718</v>
      </c>
      <c r="F20" s="84" t="s">
        <v>626</v>
      </c>
    </row>
    <row r="21" spans="1:6" x14ac:dyDescent="0.25">
      <c r="A21" s="83" t="s">
        <v>1337</v>
      </c>
      <c r="B21" s="83" t="s">
        <v>1366</v>
      </c>
      <c r="C21" s="83" t="s">
        <v>1367</v>
      </c>
      <c r="D21" s="83" t="s">
        <v>546</v>
      </c>
      <c r="E21" s="83">
        <v>135900</v>
      </c>
      <c r="F21" s="84" t="s">
        <v>1368</v>
      </c>
    </row>
    <row r="22" spans="1:6" x14ac:dyDescent="0.25">
      <c r="A22" s="83" t="s">
        <v>1391</v>
      </c>
      <c r="B22" s="83" t="s">
        <v>1451</v>
      </c>
      <c r="C22" s="83" t="s">
        <v>1456</v>
      </c>
      <c r="D22" s="83" t="s">
        <v>546</v>
      </c>
      <c r="E22" s="83">
        <v>13590</v>
      </c>
      <c r="F22" s="84" t="s">
        <v>1453</v>
      </c>
    </row>
    <row r="23" spans="1:6" x14ac:dyDescent="0.25">
      <c r="A23" s="83" t="s">
        <v>1526</v>
      </c>
      <c r="B23" s="83" t="s">
        <v>1536</v>
      </c>
      <c r="C23" s="83" t="s">
        <v>1537</v>
      </c>
      <c r="D23" s="83" t="s">
        <v>546</v>
      </c>
      <c r="E23" s="83">
        <v>10872</v>
      </c>
      <c r="F23" s="84" t="s">
        <v>1538</v>
      </c>
    </row>
    <row r="24" spans="1:6" x14ac:dyDescent="0.25">
      <c r="A24" s="83" t="s">
        <v>1526</v>
      </c>
      <c r="B24" s="83" t="s">
        <v>1539</v>
      </c>
      <c r="C24" s="83" t="s">
        <v>1540</v>
      </c>
      <c r="D24" s="83" t="s">
        <v>546</v>
      </c>
      <c r="E24" s="83">
        <v>5436</v>
      </c>
      <c r="F24" s="84" t="s">
        <v>1541</v>
      </c>
    </row>
    <row r="25" spans="1:6" x14ac:dyDescent="0.25">
      <c r="A25" s="83" t="s">
        <v>1526</v>
      </c>
      <c r="B25" s="83" t="s">
        <v>1527</v>
      </c>
      <c r="C25" s="83" t="s">
        <v>1528</v>
      </c>
      <c r="D25" s="83" t="s">
        <v>546</v>
      </c>
      <c r="E25" s="83" t="s">
        <v>1666</v>
      </c>
      <c r="F25" s="84"/>
    </row>
    <row r="26" spans="1:6" x14ac:dyDescent="0.25">
      <c r="A26" s="83" t="s">
        <v>1217</v>
      </c>
      <c r="B26" s="83">
        <v>17910</v>
      </c>
      <c r="C26" s="83" t="s">
        <v>1289</v>
      </c>
      <c r="D26" s="83" t="s">
        <v>546</v>
      </c>
      <c r="E26" s="83">
        <v>13590</v>
      </c>
      <c r="F26" s="84" t="s">
        <v>1290</v>
      </c>
    </row>
    <row r="27" spans="1:6" x14ac:dyDescent="0.25">
      <c r="A27" s="83" t="s">
        <v>1515</v>
      </c>
      <c r="B27" s="83" t="s">
        <v>1518</v>
      </c>
      <c r="C27" s="83" t="s">
        <v>1521</v>
      </c>
      <c r="D27" s="83" t="s">
        <v>546</v>
      </c>
      <c r="E27" s="83" t="s">
        <v>1665</v>
      </c>
      <c r="F27" s="84" t="s">
        <v>1522</v>
      </c>
    </row>
    <row r="28" spans="1:6" x14ac:dyDescent="0.25">
      <c r="A28" s="83" t="s">
        <v>1484</v>
      </c>
      <c r="B28" s="83" t="s">
        <v>1482</v>
      </c>
      <c r="C28" s="83" t="s">
        <v>1483</v>
      </c>
      <c r="D28" s="83" t="s">
        <v>546</v>
      </c>
      <c r="E28" s="83" t="s">
        <v>1664</v>
      </c>
      <c r="F28" s="84" t="s">
        <v>1485</v>
      </c>
    </row>
    <row r="29" spans="1:6" x14ac:dyDescent="0.25">
      <c r="A29" s="83" t="s">
        <v>1484</v>
      </c>
      <c r="B29" s="83" t="s">
        <v>1486</v>
      </c>
      <c r="C29" s="83" t="s">
        <v>1487</v>
      </c>
      <c r="D29" s="83" t="s">
        <v>546</v>
      </c>
      <c r="E29" s="83" t="s">
        <v>1664</v>
      </c>
      <c r="F29" s="84" t="s">
        <v>1485</v>
      </c>
    </row>
    <row r="30" spans="1:6" x14ac:dyDescent="0.25">
      <c r="A30" s="83" t="s">
        <v>1488</v>
      </c>
      <c r="B30" s="83" t="s">
        <v>1489</v>
      </c>
      <c r="C30" s="83" t="s">
        <v>1490</v>
      </c>
      <c r="D30" s="83" t="s">
        <v>546</v>
      </c>
      <c r="E30" s="83">
        <v>122310</v>
      </c>
      <c r="F30" s="84" t="s">
        <v>1491</v>
      </c>
    </row>
    <row r="31" spans="1:6" x14ac:dyDescent="0.25">
      <c r="A31" s="83" t="s">
        <v>1488</v>
      </c>
      <c r="B31" s="83" t="s">
        <v>1502</v>
      </c>
      <c r="C31" s="83" t="s">
        <v>1503</v>
      </c>
      <c r="D31" s="83" t="s">
        <v>546</v>
      </c>
      <c r="E31" s="83">
        <v>10872</v>
      </c>
      <c r="F31" s="84" t="s">
        <v>1504</v>
      </c>
    </row>
    <row r="32" spans="1:6" x14ac:dyDescent="0.25">
      <c r="A32" s="83" t="s">
        <v>1488</v>
      </c>
      <c r="B32" s="83" t="s">
        <v>1505</v>
      </c>
      <c r="C32" s="83" t="s">
        <v>1506</v>
      </c>
      <c r="D32" s="83" t="s">
        <v>546</v>
      </c>
      <c r="E32" s="83">
        <v>10872</v>
      </c>
      <c r="F32" s="84" t="s">
        <v>1507</v>
      </c>
    </row>
    <row r="33" spans="1:6" x14ac:dyDescent="0.25">
      <c r="A33" s="83" t="s">
        <v>1488</v>
      </c>
      <c r="B33" s="83" t="s">
        <v>1499</v>
      </c>
      <c r="C33" s="83" t="s">
        <v>1500</v>
      </c>
      <c r="D33" s="83" t="s">
        <v>546</v>
      </c>
      <c r="E33" s="83">
        <v>81540</v>
      </c>
      <c r="F33" s="84" t="s">
        <v>1501</v>
      </c>
    </row>
    <row r="34" spans="1:6" x14ac:dyDescent="0.25">
      <c r="A34" s="83" t="s">
        <v>1488</v>
      </c>
      <c r="B34" s="83" t="s">
        <v>1492</v>
      </c>
      <c r="C34" s="83" t="s">
        <v>1493</v>
      </c>
      <c r="D34" s="83" t="s">
        <v>546</v>
      </c>
      <c r="E34" s="83">
        <v>8154</v>
      </c>
      <c r="F34" s="84" t="s">
        <v>1492</v>
      </c>
    </row>
    <row r="35" spans="1:6" x14ac:dyDescent="0.25">
      <c r="A35" s="83" t="s">
        <v>1480</v>
      </c>
      <c r="B35" s="83" t="s">
        <v>1478</v>
      </c>
      <c r="C35" s="83" t="s">
        <v>1479</v>
      </c>
      <c r="D35" s="83" t="s">
        <v>546</v>
      </c>
      <c r="E35" s="83">
        <v>1359</v>
      </c>
      <c r="F35" s="84" t="s">
        <v>1481</v>
      </c>
    </row>
    <row r="36" spans="1:6" x14ac:dyDescent="0.25">
      <c r="A36" s="83" t="s">
        <v>1135</v>
      </c>
      <c r="B36" s="83" t="s">
        <v>1159</v>
      </c>
      <c r="C36" s="83" t="s">
        <v>1160</v>
      </c>
      <c r="D36" s="83" t="s">
        <v>1624</v>
      </c>
      <c r="E36" s="83">
        <v>2718</v>
      </c>
      <c r="F36" s="84" t="s">
        <v>1162</v>
      </c>
    </row>
    <row r="37" spans="1:6" x14ac:dyDescent="0.25">
      <c r="A37" s="83" t="s">
        <v>1135</v>
      </c>
      <c r="B37" s="83" t="s">
        <v>1163</v>
      </c>
      <c r="C37" s="83" t="s">
        <v>1164</v>
      </c>
      <c r="D37" s="83" t="s">
        <v>1624</v>
      </c>
      <c r="E37" s="83">
        <v>2718</v>
      </c>
      <c r="F37" s="84" t="s">
        <v>1165</v>
      </c>
    </row>
  </sheetData>
  <sortState xmlns:xlrd2="http://schemas.microsoft.com/office/spreadsheetml/2017/richdata2" ref="A2:F38">
    <sortCondition ref="A1:A38"/>
    <sortCondition ref="B1:B38"/>
    <sortCondition ref="C1:C38"/>
  </sortState>
  <pageMargins left="0.7" right="0.7" top="0.75" bottom="0.75" header="0.3" footer="0.3"/>
  <pageSetup scale="48" fitToHeight="0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BB499-4D35-4FC5-BA8D-2D194B12C0A0}">
  <sheetPr codeName="Sheet9"/>
  <dimension ref="A1:O44"/>
  <sheetViews>
    <sheetView zoomScaleNormal="100" workbookViewId="0">
      <selection activeCell="D4" sqref="D4:J4"/>
    </sheetView>
  </sheetViews>
  <sheetFormatPr defaultColWidth="9.140625" defaultRowHeight="15" x14ac:dyDescent="0.25"/>
  <cols>
    <col min="1" max="1" width="3.42578125" style="1" bestFit="1" customWidth="1"/>
    <col min="2" max="2" width="20.28515625" style="1" bestFit="1" customWidth="1"/>
    <col min="3" max="3" width="5" style="1" bestFit="1" customWidth="1"/>
    <col min="4" max="4" width="39.28515625" style="2" customWidth="1"/>
    <col min="5" max="5" width="7.85546875" style="2" customWidth="1"/>
    <col min="6" max="6" width="14" style="11" customWidth="1"/>
    <col min="7" max="7" width="8.5703125" style="1" customWidth="1"/>
    <col min="8" max="8" width="6" style="1" customWidth="1"/>
    <col min="9" max="9" width="9.85546875" style="68" customWidth="1"/>
    <col min="10" max="10" width="147.7109375" style="8" customWidth="1"/>
    <col min="11" max="11" width="10.42578125" style="8" bestFit="1" customWidth="1"/>
    <col min="12" max="12" width="11.85546875" style="8" customWidth="1"/>
    <col min="13" max="13" width="9.140625" style="68"/>
    <col min="14" max="14" width="11.85546875" style="8" customWidth="1"/>
    <col min="15" max="15" width="9.140625" style="70"/>
    <col min="16" max="16384" width="9.140625" style="1"/>
  </cols>
  <sheetData>
    <row r="1" spans="1:14" ht="23.25" x14ac:dyDescent="0.25">
      <c r="A1" s="207" t="s">
        <v>315</v>
      </c>
      <c r="B1" s="207"/>
      <c r="C1" s="207"/>
      <c r="D1" s="207"/>
      <c r="E1" s="207"/>
      <c r="F1" s="207"/>
      <c r="G1" s="207"/>
      <c r="H1" s="207"/>
      <c r="I1" s="207"/>
      <c r="J1" s="87" t="s">
        <v>316</v>
      </c>
      <c r="K1" s="1" t="s">
        <v>317</v>
      </c>
      <c r="L1" s="1"/>
      <c r="N1" s="1"/>
    </row>
    <row r="2" spans="1:14" ht="14.65" customHeight="1" x14ac:dyDescent="0.25"/>
    <row r="3" spans="1:14" x14ac:dyDescent="0.25">
      <c r="A3" s="88"/>
      <c r="B3" s="88" t="s">
        <v>1578</v>
      </c>
      <c r="C3" s="88" t="s">
        <v>72</v>
      </c>
      <c r="D3" s="225"/>
      <c r="E3" s="226"/>
      <c r="F3" s="226"/>
      <c r="G3" s="226"/>
      <c r="H3" s="226"/>
      <c r="I3" s="226"/>
      <c r="J3" s="226"/>
      <c r="K3" s="63" t="s">
        <v>1585</v>
      </c>
      <c r="L3" s="63" t="s">
        <v>1586</v>
      </c>
    </row>
    <row r="4" spans="1:14" ht="30" customHeight="1" x14ac:dyDescent="0.25">
      <c r="A4" s="128" t="s">
        <v>1583</v>
      </c>
      <c r="B4" s="156" t="s">
        <v>1627</v>
      </c>
      <c r="C4" s="169">
        <v>2718</v>
      </c>
      <c r="D4" s="223" t="s">
        <v>1628</v>
      </c>
      <c r="E4" s="224"/>
      <c r="F4" s="224"/>
      <c r="G4" s="224"/>
      <c r="H4" s="224"/>
      <c r="I4" s="224"/>
      <c r="J4" s="219"/>
      <c r="K4" s="157">
        <v>147.2117919921875</v>
      </c>
      <c r="L4" s="158">
        <v>400121.65625</v>
      </c>
    </row>
    <row r="5" spans="1:14" ht="30" customHeight="1" x14ac:dyDescent="0.25">
      <c r="B5" s="77" t="s">
        <v>1662</v>
      </c>
      <c r="C5" s="131">
        <v>1</v>
      </c>
      <c r="D5" s="220" t="s">
        <v>1630</v>
      </c>
      <c r="E5" s="219"/>
      <c r="F5" s="219"/>
      <c r="G5" s="219"/>
      <c r="H5" s="219"/>
      <c r="I5" s="219"/>
      <c r="J5" s="219"/>
      <c r="K5" s="132">
        <v>147.2117919921875</v>
      </c>
      <c r="L5" s="155">
        <v>147.2117919921875</v>
      </c>
    </row>
    <row r="6" spans="1:14" x14ac:dyDescent="0.25">
      <c r="D6" s="136" t="s">
        <v>319</v>
      </c>
      <c r="E6" s="139" t="s">
        <v>1612</v>
      </c>
      <c r="F6" s="141" t="s">
        <v>1584</v>
      </c>
      <c r="G6" s="139" t="s">
        <v>2</v>
      </c>
      <c r="H6" s="139" t="s">
        <v>72</v>
      </c>
      <c r="I6" s="143" t="s">
        <v>1599</v>
      </c>
      <c r="J6" s="145" t="s">
        <v>82</v>
      </c>
    </row>
    <row r="7" spans="1:14" x14ac:dyDescent="0.25">
      <c r="B7" s="148" t="s">
        <v>1623</v>
      </c>
      <c r="D7" s="135" t="s">
        <v>1631</v>
      </c>
      <c r="E7" s="137" t="s">
        <v>1613</v>
      </c>
      <c r="F7" s="149" t="s">
        <v>370</v>
      </c>
      <c r="G7" s="138">
        <v>1.56</v>
      </c>
      <c r="H7" s="138">
        <v>1</v>
      </c>
      <c r="I7" s="142">
        <v>2718</v>
      </c>
      <c r="J7" s="144" t="s">
        <v>371</v>
      </c>
      <c r="K7" s="144">
        <v>7.9473958015441895</v>
      </c>
      <c r="L7" s="144">
        <v>7.9473958015441895</v>
      </c>
    </row>
    <row r="8" spans="1:14" x14ac:dyDescent="0.25">
      <c r="B8" s="148" t="s">
        <v>1621</v>
      </c>
      <c r="D8" s="135" t="s">
        <v>1633</v>
      </c>
      <c r="E8" s="137" t="s">
        <v>1613</v>
      </c>
      <c r="F8" s="140" t="s">
        <v>374</v>
      </c>
      <c r="G8" s="138">
        <v>1.57</v>
      </c>
      <c r="H8" s="138">
        <v>1</v>
      </c>
      <c r="I8" s="142">
        <v>2718</v>
      </c>
      <c r="J8" s="144" t="s">
        <v>376</v>
      </c>
      <c r="K8" s="144">
        <v>12.907859802246094</v>
      </c>
      <c r="L8" s="144">
        <v>12.907859802246094</v>
      </c>
    </row>
    <row r="9" spans="1:14" x14ac:dyDescent="0.25">
      <c r="B9" s="148" t="s">
        <v>1622</v>
      </c>
      <c r="D9" s="135" t="s">
        <v>1635</v>
      </c>
      <c r="E9" s="137" t="s">
        <v>1613</v>
      </c>
      <c r="F9" s="140" t="s">
        <v>377</v>
      </c>
      <c r="G9" s="138">
        <v>1.57</v>
      </c>
      <c r="H9" s="138">
        <v>2</v>
      </c>
      <c r="I9" s="142">
        <v>5436</v>
      </c>
      <c r="J9" s="144" t="s">
        <v>378</v>
      </c>
      <c r="K9" s="144">
        <v>1.1750311851501465</v>
      </c>
      <c r="L9" s="144">
        <v>2.350062370300293</v>
      </c>
    </row>
    <row r="10" spans="1:14" x14ac:dyDescent="0.25">
      <c r="D10" s="135" t="s">
        <v>1635</v>
      </c>
      <c r="E10" s="137" t="s">
        <v>1613</v>
      </c>
      <c r="F10" s="149" t="s">
        <v>377</v>
      </c>
      <c r="G10" s="138">
        <v>1.57</v>
      </c>
      <c r="H10" s="138">
        <v>2</v>
      </c>
      <c r="I10" s="142">
        <v>5436</v>
      </c>
      <c r="J10" s="144" t="s">
        <v>378</v>
      </c>
      <c r="K10" s="144">
        <v>1.1750311851501465</v>
      </c>
      <c r="L10" s="144">
        <v>2.350062370300293</v>
      </c>
    </row>
    <row r="11" spans="1:14" x14ac:dyDescent="0.25">
      <c r="D11" s="135" t="s">
        <v>1637</v>
      </c>
      <c r="E11" s="137" t="s">
        <v>1613</v>
      </c>
      <c r="F11" s="140" t="s">
        <v>381</v>
      </c>
      <c r="G11" s="138">
        <v>1</v>
      </c>
      <c r="H11" s="138">
        <v>1</v>
      </c>
      <c r="I11" s="142">
        <v>2718</v>
      </c>
      <c r="J11" s="144" t="s">
        <v>385</v>
      </c>
      <c r="K11" s="144">
        <v>3.6740000247955322</v>
      </c>
      <c r="L11" s="144">
        <v>3.6740000247955322</v>
      </c>
    </row>
    <row r="12" spans="1:14" x14ac:dyDescent="0.25">
      <c r="D12" s="135" t="s">
        <v>1639</v>
      </c>
      <c r="E12" s="137" t="s">
        <v>1613</v>
      </c>
      <c r="F12" s="140" t="s">
        <v>625</v>
      </c>
      <c r="G12" s="138">
        <v>1</v>
      </c>
      <c r="H12" s="138">
        <v>1</v>
      </c>
      <c r="I12" s="142">
        <v>2718</v>
      </c>
      <c r="J12" s="144" t="s">
        <v>626</v>
      </c>
      <c r="K12" s="144">
        <v>3.1349999904632568</v>
      </c>
      <c r="L12" s="144">
        <v>3.1349999904632568</v>
      </c>
    </row>
    <row r="13" spans="1:14" x14ac:dyDescent="0.25">
      <c r="D13" s="135" t="s">
        <v>1640</v>
      </c>
      <c r="E13" s="137" t="s">
        <v>1613</v>
      </c>
      <c r="F13" s="149" t="s">
        <v>701</v>
      </c>
      <c r="G13" s="138">
        <v>1</v>
      </c>
      <c r="H13" s="138">
        <v>1</v>
      </c>
      <c r="I13" s="142">
        <v>2718</v>
      </c>
      <c r="J13" s="144" t="s">
        <v>702</v>
      </c>
      <c r="K13" s="144">
        <v>1.8259999752044678</v>
      </c>
      <c r="L13" s="144">
        <v>1.8259999752044678</v>
      </c>
    </row>
    <row r="14" spans="1:14" x14ac:dyDescent="0.25">
      <c r="D14" s="135" t="s">
        <v>1641</v>
      </c>
      <c r="E14" s="137" t="s">
        <v>1613</v>
      </c>
      <c r="F14" s="140" t="s">
        <v>725</v>
      </c>
      <c r="G14" s="138">
        <v>1</v>
      </c>
      <c r="H14" s="138">
        <v>1</v>
      </c>
      <c r="I14" s="142">
        <v>2718</v>
      </c>
      <c r="J14" s="144" t="s">
        <v>726</v>
      </c>
      <c r="K14" s="144">
        <v>0.41800001263618469</v>
      </c>
      <c r="L14" s="144">
        <v>0.41800001263618469</v>
      </c>
    </row>
    <row r="15" spans="1:14" x14ac:dyDescent="0.25">
      <c r="D15" s="135" t="s">
        <v>1642</v>
      </c>
      <c r="E15" s="137" t="s">
        <v>1613</v>
      </c>
      <c r="F15" s="140" t="s">
        <v>734</v>
      </c>
      <c r="G15" s="138">
        <v>1</v>
      </c>
      <c r="H15" s="138">
        <v>1</v>
      </c>
      <c r="I15" s="142">
        <v>2718</v>
      </c>
      <c r="J15" s="144" t="s">
        <v>735</v>
      </c>
      <c r="K15" s="144">
        <v>0.17599999904632568</v>
      </c>
      <c r="L15" s="144">
        <v>0.17599999904632568</v>
      </c>
    </row>
    <row r="16" spans="1:14" x14ac:dyDescent="0.25">
      <c r="D16" s="135" t="s">
        <v>1643</v>
      </c>
      <c r="E16" s="137" t="s">
        <v>1613</v>
      </c>
      <c r="F16" s="140" t="s">
        <v>737</v>
      </c>
      <c r="G16" s="138">
        <v>3.35</v>
      </c>
      <c r="H16" s="138">
        <v>3.35</v>
      </c>
      <c r="I16" s="142">
        <v>9105.2999999999993</v>
      </c>
      <c r="J16" s="144" t="s">
        <v>739</v>
      </c>
      <c r="K16" s="144">
        <v>6.5999999642372131E-2</v>
      </c>
      <c r="L16" s="144">
        <v>0.22109998762607574</v>
      </c>
    </row>
    <row r="17" spans="4:12" x14ac:dyDescent="0.25">
      <c r="D17" s="135" t="s">
        <v>1644</v>
      </c>
      <c r="E17" s="137" t="s">
        <v>1613</v>
      </c>
      <c r="F17" s="140" t="s">
        <v>742</v>
      </c>
      <c r="G17" s="138">
        <v>1</v>
      </c>
      <c r="H17" s="138">
        <v>1</v>
      </c>
      <c r="I17" s="142">
        <v>2718</v>
      </c>
      <c r="J17" s="144" t="s">
        <v>744</v>
      </c>
      <c r="K17" s="144">
        <v>2.8599999845027924E-2</v>
      </c>
      <c r="L17" s="144">
        <v>2.8599999845027924E-2</v>
      </c>
    </row>
    <row r="18" spans="4:12" x14ac:dyDescent="0.25">
      <c r="D18" s="135" t="s">
        <v>1645</v>
      </c>
      <c r="E18" s="137" t="s">
        <v>1613</v>
      </c>
      <c r="F18" s="140" t="s">
        <v>747</v>
      </c>
      <c r="G18" s="138">
        <v>2</v>
      </c>
      <c r="H18" s="138">
        <v>2</v>
      </c>
      <c r="I18" s="142">
        <v>5436</v>
      </c>
      <c r="J18" s="144" t="s">
        <v>749</v>
      </c>
      <c r="K18" s="144">
        <v>0.92400002479553223</v>
      </c>
      <c r="L18" s="144">
        <v>1.8480000495910645</v>
      </c>
    </row>
    <row r="19" spans="4:12" x14ac:dyDescent="0.25">
      <c r="D19" s="135" t="s">
        <v>1646</v>
      </c>
      <c r="E19" s="137" t="s">
        <v>1613</v>
      </c>
      <c r="F19" s="140" t="s">
        <v>754</v>
      </c>
      <c r="G19" s="138">
        <v>2</v>
      </c>
      <c r="H19" s="138">
        <v>2</v>
      </c>
      <c r="I19" s="142">
        <v>5436</v>
      </c>
      <c r="J19" s="144" t="s">
        <v>756</v>
      </c>
      <c r="K19" s="144">
        <v>0.72600001096725464</v>
      </c>
      <c r="L19" s="144">
        <v>1.4520000219345093</v>
      </c>
    </row>
    <row r="20" spans="4:12" x14ac:dyDescent="0.25">
      <c r="D20" s="135" t="s">
        <v>1647</v>
      </c>
      <c r="E20" s="137" t="s">
        <v>1613</v>
      </c>
      <c r="F20" s="140" t="s">
        <v>795</v>
      </c>
      <c r="G20" s="138">
        <v>2</v>
      </c>
      <c r="H20" s="138">
        <v>2</v>
      </c>
      <c r="I20" s="142">
        <v>5436</v>
      </c>
      <c r="J20" s="144" t="s">
        <v>796</v>
      </c>
      <c r="K20" s="144">
        <v>0.18700000643730164</v>
      </c>
      <c r="L20" s="144">
        <v>0.37400001287460327</v>
      </c>
    </row>
    <row r="21" spans="4:12" x14ac:dyDescent="0.25">
      <c r="D21" s="135" t="s">
        <v>1648</v>
      </c>
      <c r="E21" s="137" t="s">
        <v>1613</v>
      </c>
      <c r="F21" s="140" t="s">
        <v>1034</v>
      </c>
      <c r="G21" s="138">
        <v>2</v>
      </c>
      <c r="H21" s="138">
        <v>2</v>
      </c>
      <c r="I21" s="142">
        <v>5436</v>
      </c>
      <c r="J21" s="144" t="s">
        <v>1649</v>
      </c>
      <c r="K21" s="144">
        <v>14.850000381469727</v>
      </c>
      <c r="L21" s="144">
        <v>29.700000762939453</v>
      </c>
    </row>
    <row r="22" spans="4:12" x14ac:dyDescent="0.25">
      <c r="D22" s="135" t="s">
        <v>1650</v>
      </c>
      <c r="E22" s="137" t="s">
        <v>1613</v>
      </c>
      <c r="F22" s="140" t="s">
        <v>1079</v>
      </c>
      <c r="G22" s="138">
        <v>0</v>
      </c>
      <c r="H22" s="138">
        <v>1</v>
      </c>
      <c r="I22" s="142">
        <v>2718</v>
      </c>
      <c r="J22" s="144" t="s">
        <v>1084</v>
      </c>
      <c r="K22" s="144">
        <v>2.2660000324249268</v>
      </c>
      <c r="L22" s="144">
        <v>2.2660000324249268</v>
      </c>
    </row>
    <row r="23" spans="4:12" x14ac:dyDescent="0.25">
      <c r="D23" s="135" t="s">
        <v>1652</v>
      </c>
      <c r="E23" s="137" t="s">
        <v>1613</v>
      </c>
      <c r="F23" s="140" t="s">
        <v>1086</v>
      </c>
      <c r="G23" s="138">
        <v>1</v>
      </c>
      <c r="H23" s="138">
        <v>1</v>
      </c>
      <c r="I23" s="142">
        <v>2718</v>
      </c>
      <c r="J23" s="144" t="s">
        <v>1089</v>
      </c>
      <c r="K23" s="144">
        <v>0.11879999935626984</v>
      </c>
      <c r="L23" s="144">
        <v>0.11879999935626984</v>
      </c>
    </row>
    <row r="24" spans="4:12" x14ac:dyDescent="0.25">
      <c r="D24" s="135" t="s">
        <v>1604</v>
      </c>
      <c r="E24" s="137" t="s">
        <v>1613</v>
      </c>
      <c r="F24" s="140" t="s">
        <v>1104</v>
      </c>
      <c r="G24" s="138">
        <v>2</v>
      </c>
      <c r="H24" s="138">
        <v>2</v>
      </c>
      <c r="I24" s="142">
        <v>5436</v>
      </c>
      <c r="J24" s="144" t="s">
        <v>1105</v>
      </c>
      <c r="K24" s="144">
        <v>2.7499999850988388E-2</v>
      </c>
      <c r="L24" s="144">
        <v>5.4999999701976776E-2</v>
      </c>
    </row>
    <row r="25" spans="4:12" x14ac:dyDescent="0.25">
      <c r="D25" s="135" t="s">
        <v>1605</v>
      </c>
      <c r="E25" s="137" t="s">
        <v>1613</v>
      </c>
      <c r="F25" s="140" t="s">
        <v>1107</v>
      </c>
      <c r="G25" s="138">
        <v>2</v>
      </c>
      <c r="H25" s="138">
        <v>2</v>
      </c>
      <c r="I25" s="142">
        <v>5436</v>
      </c>
      <c r="J25" s="144" t="s">
        <v>1108</v>
      </c>
      <c r="K25" s="144">
        <v>3.4099999815225601E-2</v>
      </c>
      <c r="L25" s="144">
        <v>6.8199999630451202E-2</v>
      </c>
    </row>
    <row r="26" spans="4:12" x14ac:dyDescent="0.25">
      <c r="D26" s="135" t="s">
        <v>1653</v>
      </c>
      <c r="E26" s="137" t="s">
        <v>1613</v>
      </c>
      <c r="F26" s="140" t="s">
        <v>1157</v>
      </c>
      <c r="G26" s="138">
        <v>1.1000000000000001</v>
      </c>
      <c r="H26" s="138">
        <v>1</v>
      </c>
      <c r="I26" s="142">
        <v>2718</v>
      </c>
      <c r="J26" s="144" t="s">
        <v>1158</v>
      </c>
      <c r="K26" s="144">
        <v>1.4960000514984131</v>
      </c>
      <c r="L26" s="144">
        <v>1.4960000514984131</v>
      </c>
    </row>
    <row r="27" spans="4:12" x14ac:dyDescent="0.25">
      <c r="D27" s="135" t="s">
        <v>1606</v>
      </c>
      <c r="E27" s="137" t="s">
        <v>1613</v>
      </c>
      <c r="F27" s="140" t="s">
        <v>1160</v>
      </c>
      <c r="G27" s="138">
        <v>2.2999999999999998</v>
      </c>
      <c r="H27" s="138">
        <v>1</v>
      </c>
      <c r="I27" s="142">
        <v>2718</v>
      </c>
      <c r="J27" s="144" t="s">
        <v>1162</v>
      </c>
      <c r="K27" s="144">
        <v>0.34883332252502441</v>
      </c>
      <c r="L27" s="144">
        <v>0.34883332252502441</v>
      </c>
    </row>
    <row r="28" spans="4:12" x14ac:dyDescent="0.25">
      <c r="D28" s="135" t="s">
        <v>1607</v>
      </c>
      <c r="E28" s="137" t="s">
        <v>1613</v>
      </c>
      <c r="F28" s="140" t="s">
        <v>1164</v>
      </c>
      <c r="G28" s="138">
        <v>2.2999999999999998</v>
      </c>
      <c r="H28" s="138">
        <v>1</v>
      </c>
      <c r="I28" s="142">
        <v>2718</v>
      </c>
      <c r="J28" s="144" t="s">
        <v>1165</v>
      </c>
      <c r="K28" s="144">
        <v>0.34883332252502441</v>
      </c>
      <c r="L28" s="144">
        <v>0.34883332252502441</v>
      </c>
    </row>
    <row r="29" spans="4:12" x14ac:dyDescent="0.25">
      <c r="D29" s="135" t="s">
        <v>1655</v>
      </c>
      <c r="E29" s="137" t="s">
        <v>1613</v>
      </c>
      <c r="F29" s="140" t="s">
        <v>1289</v>
      </c>
      <c r="G29" s="138">
        <v>5</v>
      </c>
      <c r="H29" s="138">
        <v>5</v>
      </c>
      <c r="I29" s="142">
        <v>13590</v>
      </c>
      <c r="J29" s="144" t="s">
        <v>1290</v>
      </c>
      <c r="K29" s="144">
        <v>5.8299999237060547</v>
      </c>
      <c r="L29" s="144">
        <v>29.149999618530273</v>
      </c>
    </row>
    <row r="30" spans="4:12" x14ac:dyDescent="0.25">
      <c r="D30" s="135" t="s">
        <v>1656</v>
      </c>
      <c r="E30" s="137" t="s">
        <v>1613</v>
      </c>
      <c r="F30" s="140" t="s">
        <v>1367</v>
      </c>
      <c r="G30" s="138">
        <v>50</v>
      </c>
      <c r="H30" s="138">
        <v>50</v>
      </c>
      <c r="I30" s="142">
        <v>135900</v>
      </c>
      <c r="J30" s="144" t="s">
        <v>1368</v>
      </c>
      <c r="K30" s="144">
        <v>0.33000001311302185</v>
      </c>
      <c r="L30" s="144">
        <v>16.5</v>
      </c>
    </row>
    <row r="31" spans="4:12" x14ac:dyDescent="0.25">
      <c r="D31" s="135" t="s">
        <v>1625</v>
      </c>
      <c r="E31" s="137" t="s">
        <v>1613</v>
      </c>
      <c r="F31" s="140" t="s">
        <v>1456</v>
      </c>
      <c r="G31" s="138">
        <v>5</v>
      </c>
      <c r="H31" s="138">
        <v>5</v>
      </c>
      <c r="I31" s="142">
        <v>13590</v>
      </c>
      <c r="J31" s="144" t="s">
        <v>1453</v>
      </c>
      <c r="K31" s="144">
        <v>2.0899999141693115</v>
      </c>
      <c r="L31" s="144">
        <v>10.449999809265137</v>
      </c>
    </row>
    <row r="32" spans="4:12" x14ac:dyDescent="0.25">
      <c r="D32" s="135" t="s">
        <v>1657</v>
      </c>
      <c r="E32" s="137" t="s">
        <v>1613</v>
      </c>
      <c r="F32" s="140" t="s">
        <v>1479</v>
      </c>
      <c r="G32" s="138">
        <v>0.5</v>
      </c>
      <c r="H32" s="138">
        <v>0.5</v>
      </c>
      <c r="I32" s="142">
        <v>1359</v>
      </c>
      <c r="J32" s="144" t="s">
        <v>1481</v>
      </c>
      <c r="K32" s="144">
        <v>25.299999237060547</v>
      </c>
      <c r="L32" s="144">
        <v>12.649999618530273</v>
      </c>
    </row>
    <row r="33" spans="1:12" x14ac:dyDescent="0.25">
      <c r="D33" s="135" t="s">
        <v>1658</v>
      </c>
      <c r="E33" s="137" t="s">
        <v>1613</v>
      </c>
      <c r="F33" s="140" t="s">
        <v>1483</v>
      </c>
      <c r="G33" s="138">
        <v>0.95</v>
      </c>
      <c r="H33" s="138">
        <v>0.95</v>
      </c>
      <c r="I33" s="142">
        <v>2582.1</v>
      </c>
      <c r="J33" s="144" t="s">
        <v>1485</v>
      </c>
      <c r="K33" s="144">
        <v>3.190000057220459</v>
      </c>
      <c r="L33" s="144">
        <v>3.0304999351501465</v>
      </c>
    </row>
    <row r="34" spans="1:12" x14ac:dyDescent="0.25">
      <c r="D34" s="135" t="s">
        <v>1659</v>
      </c>
      <c r="E34" s="137" t="s">
        <v>1613</v>
      </c>
      <c r="F34" s="140" t="s">
        <v>1487</v>
      </c>
      <c r="G34" s="138">
        <v>0.95</v>
      </c>
      <c r="H34" s="138">
        <v>0.95</v>
      </c>
      <c r="I34" s="142">
        <v>2582.1</v>
      </c>
      <c r="J34" s="144" t="s">
        <v>1485</v>
      </c>
      <c r="K34" s="144">
        <v>3.190000057220459</v>
      </c>
      <c r="L34" s="144">
        <v>3.0304999351501465</v>
      </c>
    </row>
    <row r="35" spans="1:12" x14ac:dyDescent="0.25">
      <c r="D35" s="135" t="s">
        <v>1618</v>
      </c>
      <c r="E35" s="137" t="s">
        <v>1613</v>
      </c>
      <c r="F35" s="140" t="s">
        <v>1490</v>
      </c>
      <c r="G35" s="138">
        <v>45</v>
      </c>
      <c r="H35" s="138">
        <v>45</v>
      </c>
      <c r="I35" s="142">
        <v>122310</v>
      </c>
      <c r="J35" s="144" t="s">
        <v>1491</v>
      </c>
      <c r="K35" s="144">
        <v>1.0999999940395355E-2</v>
      </c>
      <c r="L35" s="144">
        <v>0.49500000476837158</v>
      </c>
    </row>
    <row r="36" spans="1:12" x14ac:dyDescent="0.25">
      <c r="D36" s="135" t="s">
        <v>1619</v>
      </c>
      <c r="E36" s="137" t="s">
        <v>1613</v>
      </c>
      <c r="F36" s="140" t="s">
        <v>1493</v>
      </c>
      <c r="G36" s="138">
        <v>3</v>
      </c>
      <c r="H36" s="138">
        <v>3</v>
      </c>
      <c r="I36" s="142">
        <v>8154</v>
      </c>
      <c r="J36" s="144" t="s">
        <v>1492</v>
      </c>
      <c r="K36" s="144">
        <v>2.3000000510364771E-3</v>
      </c>
      <c r="L36" s="144">
        <v>6.9000003859400749E-3</v>
      </c>
    </row>
    <row r="37" spans="1:12" x14ac:dyDescent="0.25">
      <c r="D37" s="135" t="s">
        <v>1660</v>
      </c>
      <c r="E37" s="137" t="s">
        <v>1613</v>
      </c>
      <c r="F37" s="140" t="s">
        <v>1500</v>
      </c>
      <c r="G37" s="138">
        <v>30</v>
      </c>
      <c r="H37" s="138">
        <v>30</v>
      </c>
      <c r="I37" s="142">
        <v>81540</v>
      </c>
      <c r="J37" s="144" t="s">
        <v>1501</v>
      </c>
      <c r="K37" s="144">
        <v>5.4999999701976776E-3</v>
      </c>
      <c r="L37" s="144">
        <v>0.16499999165534973</v>
      </c>
    </row>
    <row r="38" spans="1:12" x14ac:dyDescent="0.25">
      <c r="D38" s="135" t="s">
        <v>1608</v>
      </c>
      <c r="E38" s="137" t="s">
        <v>1613</v>
      </c>
      <c r="F38" s="140" t="s">
        <v>1503</v>
      </c>
      <c r="G38" s="138">
        <v>4</v>
      </c>
      <c r="H38" s="138">
        <v>4</v>
      </c>
      <c r="I38" s="142">
        <v>10872</v>
      </c>
      <c r="J38" s="144" t="s">
        <v>1504</v>
      </c>
      <c r="K38" s="144">
        <v>2.199999988079071E-3</v>
      </c>
      <c r="L38" s="144">
        <v>8.7999999523162842E-3</v>
      </c>
    </row>
    <row r="39" spans="1:12" x14ac:dyDescent="0.25">
      <c r="D39" s="135" t="s">
        <v>1609</v>
      </c>
      <c r="E39" s="137" t="s">
        <v>1613</v>
      </c>
      <c r="F39" s="140" t="s">
        <v>1506</v>
      </c>
      <c r="G39" s="138">
        <v>4</v>
      </c>
      <c r="H39" s="138">
        <v>4</v>
      </c>
      <c r="I39" s="142">
        <v>10872</v>
      </c>
      <c r="J39" s="144" t="s">
        <v>1507</v>
      </c>
      <c r="K39" s="144">
        <v>1.0999999940395355E-2</v>
      </c>
      <c r="L39" s="144">
        <v>4.3999999761581421E-2</v>
      </c>
    </row>
    <row r="40" spans="1:12" x14ac:dyDescent="0.25">
      <c r="D40" s="135" t="s">
        <v>1661</v>
      </c>
      <c r="E40" s="137" t="s">
        <v>1613</v>
      </c>
      <c r="F40" s="140" t="s">
        <v>1521</v>
      </c>
      <c r="G40" s="138">
        <v>0.1</v>
      </c>
      <c r="H40" s="138">
        <v>0.1</v>
      </c>
      <c r="I40" s="142">
        <v>271.8</v>
      </c>
      <c r="J40" s="144" t="s">
        <v>1522</v>
      </c>
      <c r="K40" s="144">
        <v>5.5329999923706055</v>
      </c>
      <c r="L40" s="144">
        <v>0.55330002307891846</v>
      </c>
    </row>
    <row r="41" spans="1:12" x14ac:dyDescent="0.25">
      <c r="D41" s="135" t="s">
        <v>1620</v>
      </c>
      <c r="E41" s="137" t="s">
        <v>1613</v>
      </c>
      <c r="F41" s="140" t="s">
        <v>1528</v>
      </c>
      <c r="G41" s="138">
        <v>3.6479999999999999E-2</v>
      </c>
      <c r="H41" s="138">
        <v>0.04</v>
      </c>
      <c r="I41" s="142">
        <v>99.15</v>
      </c>
      <c r="J41" s="144"/>
      <c r="K41" s="144">
        <v>1.0449999570846558</v>
      </c>
      <c r="L41" s="144">
        <v>3.8121595978736877E-2</v>
      </c>
    </row>
    <row r="42" spans="1:12" x14ac:dyDescent="0.25">
      <c r="D42" s="135" t="s">
        <v>1610</v>
      </c>
      <c r="E42" s="137" t="s">
        <v>1613</v>
      </c>
      <c r="F42" s="140" t="s">
        <v>1537</v>
      </c>
      <c r="G42" s="138">
        <v>4</v>
      </c>
      <c r="H42" s="138">
        <v>4</v>
      </c>
      <c r="I42" s="142">
        <v>10872</v>
      </c>
      <c r="J42" s="144" t="s">
        <v>1538</v>
      </c>
      <c r="K42" s="144">
        <v>5.4999999701976776E-2</v>
      </c>
      <c r="L42" s="144">
        <v>0.2199999988079071</v>
      </c>
    </row>
    <row r="43" spans="1:12" ht="15.75" thickBot="1" x14ac:dyDescent="0.3">
      <c r="A43" s="151"/>
      <c r="B43" s="151"/>
      <c r="C43" s="170"/>
      <c r="D43" s="159" t="s">
        <v>1611</v>
      </c>
      <c r="E43" s="160" t="s">
        <v>1613</v>
      </c>
      <c r="F43" s="161" t="s">
        <v>1540</v>
      </c>
      <c r="G43" s="162">
        <v>2</v>
      </c>
      <c r="H43" s="162">
        <v>2</v>
      </c>
      <c r="I43" s="163">
        <v>5436</v>
      </c>
      <c r="J43" s="164" t="s">
        <v>1541</v>
      </c>
      <c r="K43" s="164">
        <v>5.4999999701976776E-2</v>
      </c>
      <c r="L43" s="164">
        <v>0.10999999940395355</v>
      </c>
    </row>
    <row r="44" spans="1:12" ht="15.75" thickTop="1" x14ac:dyDescent="0.25"/>
  </sheetData>
  <mergeCells count="4">
    <mergeCell ref="A1:I1"/>
    <mergeCell ref="D3:J3"/>
    <mergeCell ref="D4:J4"/>
    <mergeCell ref="D5:J5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4A31F-82DC-4097-8C04-360728701D79}">
  <sheetPr codeName="Sheet6"/>
  <dimension ref="A1:O13"/>
  <sheetViews>
    <sheetView workbookViewId="0">
      <pane ySplit="1" topLeftCell="A2" activePane="bottomLeft" state="frozen"/>
      <selection pane="bottomLeft" activeCell="D25" sqref="D25:I25"/>
    </sheetView>
  </sheetViews>
  <sheetFormatPr defaultColWidth="9.140625" defaultRowHeight="15" x14ac:dyDescent="0.25"/>
  <cols>
    <col min="1" max="1" width="3.42578125" style="1" bestFit="1" customWidth="1"/>
    <col min="2" max="2" width="22.140625" style="1" bestFit="1" customWidth="1"/>
    <col min="3" max="3" width="5" style="1" bestFit="1" customWidth="1"/>
    <col min="4" max="4" width="43.140625" style="2" customWidth="1"/>
    <col min="5" max="5" width="13.85546875" style="2" customWidth="1"/>
    <col min="6" max="6" width="10.5703125" style="11" customWidth="1"/>
    <col min="7" max="7" width="9.42578125" style="1" customWidth="1"/>
    <col min="8" max="8" width="8.5703125" style="1" customWidth="1"/>
    <col min="9" max="9" width="12.85546875" style="68" customWidth="1"/>
    <col min="10" max="10" width="18.28515625" style="8" bestFit="1" customWidth="1"/>
    <col min="11" max="11" width="12.5703125" style="8" bestFit="1" customWidth="1"/>
    <col min="12" max="12" width="11.85546875" style="8" customWidth="1"/>
    <col min="13" max="13" width="9.140625" style="68"/>
    <col min="14" max="14" width="11.85546875" style="8" customWidth="1"/>
    <col min="15" max="15" width="9.140625" style="70"/>
    <col min="16" max="16384" width="9.140625" style="1"/>
  </cols>
  <sheetData>
    <row r="1" spans="1:14" ht="23.25" x14ac:dyDescent="0.25">
      <c r="A1" s="207" t="s">
        <v>315</v>
      </c>
      <c r="B1" s="207"/>
      <c r="C1" s="207"/>
      <c r="D1" s="207"/>
      <c r="E1" s="207"/>
      <c r="F1" s="207"/>
      <c r="G1" s="207"/>
      <c r="H1" s="207"/>
      <c r="I1" s="207"/>
      <c r="J1" s="87" t="s">
        <v>316</v>
      </c>
      <c r="K1" s="1" t="s">
        <v>317</v>
      </c>
      <c r="L1" s="1"/>
      <c r="N1" s="1"/>
    </row>
    <row r="2" spans="1:14" ht="14.65" customHeight="1" x14ac:dyDescent="0.25"/>
    <row r="3" spans="1:14" x14ac:dyDescent="0.25">
      <c r="A3" s="88"/>
      <c r="B3" s="88" t="s">
        <v>1578</v>
      </c>
      <c r="C3" s="88" t="s">
        <v>72</v>
      </c>
      <c r="D3" s="225"/>
      <c r="E3" s="226"/>
      <c r="F3" s="226"/>
      <c r="G3" s="226"/>
      <c r="H3" s="226"/>
      <c r="I3" s="226"/>
      <c r="J3" s="63" t="s">
        <v>1587</v>
      </c>
      <c r="K3" s="63" t="s">
        <v>1588</v>
      </c>
    </row>
    <row r="4" spans="1:14" ht="30" customHeight="1" x14ac:dyDescent="0.25">
      <c r="A4" s="128" t="s">
        <v>1583</v>
      </c>
      <c r="B4" s="156" t="s">
        <v>1627</v>
      </c>
      <c r="C4" s="169">
        <v>2718</v>
      </c>
      <c r="D4" s="223" t="s">
        <v>1628</v>
      </c>
      <c r="E4" s="224"/>
      <c r="F4" s="224"/>
      <c r="G4" s="224"/>
      <c r="H4" s="224"/>
      <c r="I4" s="224"/>
      <c r="J4" s="157">
        <v>277.24887084960938</v>
      </c>
      <c r="K4" s="158">
        <v>753562.4375</v>
      </c>
    </row>
    <row r="5" spans="1:14" ht="30" customHeight="1" thickBot="1" x14ac:dyDescent="0.3">
      <c r="A5" s="151"/>
      <c r="B5" s="165" t="s">
        <v>1629</v>
      </c>
      <c r="C5" s="171">
        <v>1</v>
      </c>
      <c r="D5" s="227" t="s">
        <v>1630</v>
      </c>
      <c r="E5" s="228"/>
      <c r="F5" s="228"/>
      <c r="G5" s="228"/>
      <c r="H5" s="228"/>
      <c r="I5" s="228"/>
      <c r="J5" s="166">
        <v>277.24887084960938</v>
      </c>
      <c r="K5" s="166">
        <v>277.24887084960938</v>
      </c>
    </row>
    <row r="6" spans="1:14" ht="15.75" thickTop="1" x14ac:dyDescent="0.25"/>
    <row r="7" spans="1:14" x14ac:dyDescent="0.25">
      <c r="F7" s="41"/>
    </row>
    <row r="10" spans="1:14" x14ac:dyDescent="0.25">
      <c r="F10" s="41"/>
    </row>
    <row r="13" spans="1:14" x14ac:dyDescent="0.25">
      <c r="F13" s="41"/>
    </row>
  </sheetData>
  <mergeCells count="4">
    <mergeCell ref="A1:I1"/>
    <mergeCell ref="D3:I3"/>
    <mergeCell ref="D4:I4"/>
    <mergeCell ref="D5:I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58D79-AB02-4A96-83BA-E71BD2EDDB16}">
  <sheetPr codeName="Sheet12"/>
  <dimension ref="A1:E1006"/>
  <sheetViews>
    <sheetView zoomScale="115" zoomScaleNormal="115" workbookViewId="0">
      <selection activeCell="B16" sqref="B16"/>
    </sheetView>
  </sheetViews>
  <sheetFormatPr defaultRowHeight="15" x14ac:dyDescent="0.25"/>
  <cols>
    <col min="1" max="1" width="22.28515625" style="1" bestFit="1" customWidth="1"/>
    <col min="4" max="4" width="22.140625" bestFit="1" customWidth="1"/>
    <col min="5" max="5" width="11" bestFit="1" customWidth="1"/>
  </cols>
  <sheetData>
    <row r="1" spans="1:5" x14ac:dyDescent="0.25">
      <c r="A1" s="19" t="s">
        <v>321</v>
      </c>
      <c r="B1" t="s">
        <v>72</v>
      </c>
    </row>
    <row r="2" spans="1:5" x14ac:dyDescent="0.25">
      <c r="A2" s="19" t="s">
        <v>336</v>
      </c>
      <c r="B2">
        <v>1</v>
      </c>
    </row>
    <row r="3" spans="1:5" x14ac:dyDescent="0.25">
      <c r="A3" s="19" t="s">
        <v>336</v>
      </c>
      <c r="B3">
        <v>1</v>
      </c>
    </row>
    <row r="4" spans="1:5" x14ac:dyDescent="0.25">
      <c r="A4" s="19" t="s">
        <v>336</v>
      </c>
      <c r="B4">
        <v>1</v>
      </c>
    </row>
    <row r="5" spans="1:5" x14ac:dyDescent="0.25">
      <c r="A5" s="19" t="s">
        <v>336</v>
      </c>
      <c r="B5">
        <v>1</v>
      </c>
      <c r="D5" s="125" t="s">
        <v>1589</v>
      </c>
      <c r="E5" t="s">
        <v>1590</v>
      </c>
    </row>
    <row r="6" spans="1:5" x14ac:dyDescent="0.25">
      <c r="A6" s="19" t="s">
        <v>336</v>
      </c>
      <c r="B6">
        <v>1</v>
      </c>
      <c r="D6" s="86" t="s">
        <v>743</v>
      </c>
      <c r="E6">
        <v>3</v>
      </c>
    </row>
    <row r="7" spans="1:5" x14ac:dyDescent="0.25">
      <c r="A7" s="19" t="s">
        <v>336</v>
      </c>
      <c r="B7">
        <v>1</v>
      </c>
      <c r="D7" s="86" t="s">
        <v>336</v>
      </c>
      <c r="E7">
        <v>48</v>
      </c>
    </row>
    <row r="8" spans="1:5" x14ac:dyDescent="0.25">
      <c r="A8" s="19" t="s">
        <v>336</v>
      </c>
      <c r="B8">
        <v>1</v>
      </c>
      <c r="D8" s="86" t="s">
        <v>630</v>
      </c>
      <c r="E8">
        <v>47</v>
      </c>
    </row>
    <row r="9" spans="1:5" x14ac:dyDescent="0.25">
      <c r="A9" s="19" t="s">
        <v>336</v>
      </c>
      <c r="B9">
        <v>1</v>
      </c>
      <c r="D9" s="86" t="s">
        <v>792</v>
      </c>
      <c r="E9">
        <v>14</v>
      </c>
    </row>
    <row r="10" spans="1:5" x14ac:dyDescent="0.25">
      <c r="A10" s="19" t="s">
        <v>336</v>
      </c>
      <c r="B10">
        <v>1</v>
      </c>
      <c r="D10" s="86" t="s">
        <v>1087</v>
      </c>
      <c r="E10">
        <v>1</v>
      </c>
    </row>
    <row r="11" spans="1:5" x14ac:dyDescent="0.25">
      <c r="A11" s="19" t="s">
        <v>336</v>
      </c>
      <c r="B11">
        <v>1</v>
      </c>
      <c r="D11" s="86" t="s">
        <v>1080</v>
      </c>
      <c r="E11">
        <v>6</v>
      </c>
    </row>
    <row r="12" spans="1:5" x14ac:dyDescent="0.25">
      <c r="A12" s="19" t="s">
        <v>336</v>
      </c>
      <c r="B12">
        <v>1</v>
      </c>
      <c r="D12" s="86" t="s">
        <v>1092</v>
      </c>
      <c r="E12">
        <v>11</v>
      </c>
    </row>
    <row r="13" spans="1:5" x14ac:dyDescent="0.25">
      <c r="A13" s="19" t="s">
        <v>336</v>
      </c>
      <c r="B13">
        <v>1</v>
      </c>
      <c r="D13" s="86" t="s">
        <v>1077</v>
      </c>
      <c r="E13">
        <v>8</v>
      </c>
    </row>
    <row r="14" spans="1:5" x14ac:dyDescent="0.25">
      <c r="A14" s="19" t="s">
        <v>336</v>
      </c>
      <c r="B14">
        <v>1</v>
      </c>
      <c r="D14" s="86" t="s">
        <v>38</v>
      </c>
      <c r="E14">
        <v>6</v>
      </c>
    </row>
    <row r="15" spans="1:5" x14ac:dyDescent="0.25">
      <c r="A15" s="19" t="s">
        <v>336</v>
      </c>
      <c r="B15">
        <v>1</v>
      </c>
      <c r="D15" s="86" t="s">
        <v>982</v>
      </c>
      <c r="E15">
        <v>103</v>
      </c>
    </row>
    <row r="16" spans="1:5" x14ac:dyDescent="0.25">
      <c r="A16" s="19" t="s">
        <v>336</v>
      </c>
      <c r="B16">
        <v>1</v>
      </c>
      <c r="D16" s="86" t="s">
        <v>748</v>
      </c>
      <c r="E16">
        <v>19</v>
      </c>
    </row>
    <row r="17" spans="1:5" x14ac:dyDescent="0.25">
      <c r="A17" s="19" t="s">
        <v>336</v>
      </c>
      <c r="B17">
        <v>1</v>
      </c>
      <c r="D17" s="86" t="s">
        <v>549</v>
      </c>
      <c r="E17">
        <v>35</v>
      </c>
    </row>
    <row r="18" spans="1:5" x14ac:dyDescent="0.25">
      <c r="A18" s="19" t="s">
        <v>336</v>
      </c>
      <c r="B18">
        <v>1</v>
      </c>
      <c r="D18" s="86" t="s">
        <v>738</v>
      </c>
      <c r="E18">
        <v>15</v>
      </c>
    </row>
    <row r="19" spans="1:5" x14ac:dyDescent="0.25">
      <c r="A19" s="19" t="s">
        <v>336</v>
      </c>
      <c r="B19">
        <v>1</v>
      </c>
      <c r="D19" s="86" t="s">
        <v>393</v>
      </c>
      <c r="E19">
        <v>87</v>
      </c>
    </row>
    <row r="20" spans="1:5" x14ac:dyDescent="0.25">
      <c r="A20" s="19" t="s">
        <v>336</v>
      </c>
      <c r="B20">
        <v>1</v>
      </c>
      <c r="D20" s="86" t="s">
        <v>932</v>
      </c>
      <c r="E20">
        <v>1</v>
      </c>
    </row>
    <row r="21" spans="1:5" x14ac:dyDescent="0.25">
      <c r="A21" s="19" t="s">
        <v>336</v>
      </c>
      <c r="B21">
        <v>1</v>
      </c>
      <c r="D21" s="86" t="s">
        <v>606</v>
      </c>
      <c r="E21">
        <v>10</v>
      </c>
    </row>
    <row r="22" spans="1:5" x14ac:dyDescent="0.25">
      <c r="A22" s="19" t="s">
        <v>336</v>
      </c>
      <c r="B22">
        <v>1</v>
      </c>
      <c r="D22" s="86" t="s">
        <v>888</v>
      </c>
      <c r="E22">
        <v>2</v>
      </c>
    </row>
    <row r="23" spans="1:5" x14ac:dyDescent="0.25">
      <c r="A23" s="19" t="s">
        <v>336</v>
      </c>
      <c r="B23">
        <v>1</v>
      </c>
      <c r="D23" s="86" t="s">
        <v>1559</v>
      </c>
      <c r="E23">
        <v>16</v>
      </c>
    </row>
    <row r="24" spans="1:5" x14ac:dyDescent="0.25">
      <c r="A24" s="19" t="s">
        <v>336</v>
      </c>
      <c r="B24">
        <v>1</v>
      </c>
      <c r="D24" s="86" t="s">
        <v>800</v>
      </c>
      <c r="E24">
        <v>11</v>
      </c>
    </row>
    <row r="25" spans="1:5" x14ac:dyDescent="0.25">
      <c r="A25" s="19" t="s">
        <v>336</v>
      </c>
      <c r="B25">
        <v>1</v>
      </c>
      <c r="D25" s="86" t="s">
        <v>1381</v>
      </c>
      <c r="E25">
        <v>5</v>
      </c>
    </row>
    <row r="26" spans="1:5" x14ac:dyDescent="0.25">
      <c r="A26" s="19" t="s">
        <v>336</v>
      </c>
      <c r="B26">
        <v>1</v>
      </c>
      <c r="D26" s="86" t="s">
        <v>1441</v>
      </c>
      <c r="E26">
        <v>3</v>
      </c>
    </row>
    <row r="27" spans="1:5" x14ac:dyDescent="0.25">
      <c r="A27" s="19" t="s">
        <v>336</v>
      </c>
      <c r="B27">
        <v>1</v>
      </c>
      <c r="D27" s="86" t="s">
        <v>1437</v>
      </c>
      <c r="E27">
        <v>3</v>
      </c>
    </row>
    <row r="28" spans="1:5" x14ac:dyDescent="0.25">
      <c r="A28" s="19" t="s">
        <v>336</v>
      </c>
      <c r="B28">
        <v>1</v>
      </c>
      <c r="D28" s="86" t="s">
        <v>1337</v>
      </c>
      <c r="E28">
        <v>24</v>
      </c>
    </row>
    <row r="29" spans="1:5" x14ac:dyDescent="0.25">
      <c r="A29" s="19" t="s">
        <v>336</v>
      </c>
      <c r="B29">
        <v>1</v>
      </c>
      <c r="D29" s="86" t="s">
        <v>1391</v>
      </c>
      <c r="E29">
        <v>48</v>
      </c>
    </row>
    <row r="30" spans="1:5" x14ac:dyDescent="0.25">
      <c r="A30" s="19" t="s">
        <v>336</v>
      </c>
      <c r="B30">
        <v>1</v>
      </c>
      <c r="D30" s="86" t="s">
        <v>1526</v>
      </c>
      <c r="E30">
        <v>19</v>
      </c>
    </row>
    <row r="31" spans="1:5" x14ac:dyDescent="0.25">
      <c r="A31" s="19" t="s">
        <v>336</v>
      </c>
      <c r="B31">
        <v>1</v>
      </c>
      <c r="D31" s="86" t="s">
        <v>1217</v>
      </c>
      <c r="E31">
        <v>289</v>
      </c>
    </row>
    <row r="32" spans="1:5" x14ac:dyDescent="0.25">
      <c r="A32" s="19" t="s">
        <v>336</v>
      </c>
      <c r="B32">
        <v>1</v>
      </c>
      <c r="D32" s="86" t="s">
        <v>1515</v>
      </c>
      <c r="E32">
        <v>30</v>
      </c>
    </row>
    <row r="33" spans="1:5" x14ac:dyDescent="0.25">
      <c r="A33" s="19" t="s">
        <v>336</v>
      </c>
      <c r="B33">
        <v>1</v>
      </c>
      <c r="D33" s="86" t="s">
        <v>1484</v>
      </c>
      <c r="E33">
        <v>2</v>
      </c>
    </row>
    <row r="34" spans="1:5" x14ac:dyDescent="0.25">
      <c r="A34" s="19" t="s">
        <v>336</v>
      </c>
      <c r="B34">
        <v>1</v>
      </c>
      <c r="D34" s="86" t="s">
        <v>972</v>
      </c>
      <c r="E34">
        <v>1</v>
      </c>
    </row>
    <row r="35" spans="1:5" x14ac:dyDescent="0.25">
      <c r="A35" s="19" t="s">
        <v>336</v>
      </c>
      <c r="B35">
        <v>1</v>
      </c>
      <c r="D35" s="86" t="s">
        <v>1488</v>
      </c>
      <c r="E35">
        <v>15</v>
      </c>
    </row>
    <row r="36" spans="1:5" x14ac:dyDescent="0.25">
      <c r="A36" s="19" t="s">
        <v>336</v>
      </c>
      <c r="B36">
        <v>1</v>
      </c>
      <c r="D36" s="86" t="s">
        <v>1480</v>
      </c>
      <c r="E36">
        <v>1</v>
      </c>
    </row>
    <row r="37" spans="1:5" x14ac:dyDescent="0.25">
      <c r="A37" s="19" t="s">
        <v>336</v>
      </c>
      <c r="B37">
        <v>1</v>
      </c>
      <c r="D37" s="86" t="s">
        <v>947</v>
      </c>
      <c r="E37">
        <v>4</v>
      </c>
    </row>
    <row r="38" spans="1:5" x14ac:dyDescent="0.25">
      <c r="A38" s="19" t="s">
        <v>336</v>
      </c>
      <c r="B38">
        <v>1</v>
      </c>
      <c r="D38" s="86" t="s">
        <v>541</v>
      </c>
      <c r="E38">
        <v>3</v>
      </c>
    </row>
    <row r="39" spans="1:5" x14ac:dyDescent="0.25">
      <c r="A39" s="19" t="s">
        <v>336</v>
      </c>
      <c r="B39">
        <v>1</v>
      </c>
      <c r="D39" s="86" t="s">
        <v>829</v>
      </c>
      <c r="E39">
        <v>2</v>
      </c>
    </row>
    <row r="40" spans="1:5" x14ac:dyDescent="0.25">
      <c r="A40" s="19" t="s">
        <v>336</v>
      </c>
      <c r="B40">
        <v>1</v>
      </c>
      <c r="D40" s="86" t="s">
        <v>788</v>
      </c>
      <c r="E40">
        <v>1</v>
      </c>
    </row>
    <row r="41" spans="1:5" x14ac:dyDescent="0.25">
      <c r="A41" s="19" t="s">
        <v>336</v>
      </c>
      <c r="B41">
        <v>1</v>
      </c>
      <c r="D41" s="86" t="s">
        <v>1135</v>
      </c>
      <c r="E41">
        <v>13</v>
      </c>
    </row>
    <row r="42" spans="1:5" x14ac:dyDescent="0.25">
      <c r="A42" s="19" t="s">
        <v>336</v>
      </c>
      <c r="B42">
        <v>1</v>
      </c>
      <c r="D42" s="86" t="s">
        <v>1591</v>
      </c>
    </row>
    <row r="43" spans="1:5" x14ac:dyDescent="0.25">
      <c r="A43" s="19" t="s">
        <v>336</v>
      </c>
      <c r="B43">
        <v>1</v>
      </c>
      <c r="D43" s="86"/>
      <c r="E43">
        <v>92</v>
      </c>
    </row>
    <row r="44" spans="1:5" x14ac:dyDescent="0.25">
      <c r="A44" s="19" t="s">
        <v>336</v>
      </c>
      <c r="B44">
        <v>1</v>
      </c>
      <c r="D44" s="86" t="s">
        <v>1592</v>
      </c>
      <c r="E44">
        <v>7</v>
      </c>
    </row>
    <row r="45" spans="1:5" x14ac:dyDescent="0.25">
      <c r="A45" s="19" t="s">
        <v>336</v>
      </c>
      <c r="B45">
        <v>1</v>
      </c>
      <c r="D45" s="86" t="s">
        <v>1593</v>
      </c>
      <c r="E45">
        <v>1005</v>
      </c>
    </row>
    <row r="46" spans="1:5" x14ac:dyDescent="0.25">
      <c r="A46" s="19" t="s">
        <v>336</v>
      </c>
      <c r="B46">
        <v>1</v>
      </c>
    </row>
    <row r="47" spans="1:5" x14ac:dyDescent="0.25">
      <c r="A47" s="19" t="s">
        <v>336</v>
      </c>
      <c r="B47">
        <v>1</v>
      </c>
    </row>
    <row r="48" spans="1:5" x14ac:dyDescent="0.25">
      <c r="A48" s="19" t="s">
        <v>336</v>
      </c>
      <c r="B48">
        <v>1</v>
      </c>
    </row>
    <row r="49" spans="1:2" x14ac:dyDescent="0.25">
      <c r="A49" s="19" t="s">
        <v>336</v>
      </c>
      <c r="B49">
        <v>1</v>
      </c>
    </row>
    <row r="50" spans="1:2" x14ac:dyDescent="0.25">
      <c r="A50" s="19" t="s">
        <v>393</v>
      </c>
      <c r="B50">
        <v>1</v>
      </c>
    </row>
    <row r="51" spans="1:2" x14ac:dyDescent="0.25">
      <c r="A51" s="19" t="s">
        <v>393</v>
      </c>
      <c r="B51">
        <v>1</v>
      </c>
    </row>
    <row r="52" spans="1:2" x14ac:dyDescent="0.25">
      <c r="A52" s="19" t="s">
        <v>393</v>
      </c>
      <c r="B52">
        <v>1</v>
      </c>
    </row>
    <row r="53" spans="1:2" x14ac:dyDescent="0.25">
      <c r="A53" s="19" t="s">
        <v>393</v>
      </c>
      <c r="B53">
        <v>1</v>
      </c>
    </row>
    <row r="54" spans="1:2" x14ac:dyDescent="0.25">
      <c r="A54" s="19" t="s">
        <v>393</v>
      </c>
      <c r="B54">
        <v>1</v>
      </c>
    </row>
    <row r="55" spans="1:2" x14ac:dyDescent="0.25">
      <c r="A55" s="19" t="s">
        <v>393</v>
      </c>
      <c r="B55">
        <v>1</v>
      </c>
    </row>
    <row r="56" spans="1:2" x14ac:dyDescent="0.25">
      <c r="A56" s="19" t="s">
        <v>393</v>
      </c>
      <c r="B56">
        <v>1</v>
      </c>
    </row>
    <row r="57" spans="1:2" x14ac:dyDescent="0.25">
      <c r="A57" s="19" t="s">
        <v>393</v>
      </c>
      <c r="B57">
        <v>1</v>
      </c>
    </row>
    <row r="58" spans="1:2" x14ac:dyDescent="0.25">
      <c r="A58" s="19" t="s">
        <v>393</v>
      </c>
      <c r="B58">
        <v>1</v>
      </c>
    </row>
    <row r="59" spans="1:2" x14ac:dyDescent="0.25">
      <c r="A59" s="19" t="s">
        <v>393</v>
      </c>
      <c r="B59">
        <v>1</v>
      </c>
    </row>
    <row r="60" spans="1:2" x14ac:dyDescent="0.25">
      <c r="A60" s="19" t="s">
        <v>393</v>
      </c>
      <c r="B60">
        <v>1</v>
      </c>
    </row>
    <row r="61" spans="1:2" x14ac:dyDescent="0.25">
      <c r="A61" s="19" t="s">
        <v>393</v>
      </c>
      <c r="B61">
        <v>1</v>
      </c>
    </row>
    <row r="62" spans="1:2" x14ac:dyDescent="0.25">
      <c r="A62" s="19" t="s">
        <v>393</v>
      </c>
      <c r="B62">
        <v>1</v>
      </c>
    </row>
    <row r="63" spans="1:2" x14ac:dyDescent="0.25">
      <c r="A63" s="19" t="s">
        <v>393</v>
      </c>
      <c r="B63">
        <v>1</v>
      </c>
    </row>
    <row r="64" spans="1:2" x14ac:dyDescent="0.25">
      <c r="A64" s="19" t="s">
        <v>393</v>
      </c>
      <c r="B64">
        <v>1</v>
      </c>
    </row>
    <row r="65" spans="1:2" x14ac:dyDescent="0.25">
      <c r="A65" s="19" t="s">
        <v>393</v>
      </c>
      <c r="B65">
        <v>1</v>
      </c>
    </row>
    <row r="66" spans="1:2" x14ac:dyDescent="0.25">
      <c r="A66" s="19" t="s">
        <v>393</v>
      </c>
      <c r="B66">
        <v>1</v>
      </c>
    </row>
    <row r="67" spans="1:2" x14ac:dyDescent="0.25">
      <c r="A67" s="19" t="s">
        <v>393</v>
      </c>
      <c r="B67">
        <v>1</v>
      </c>
    </row>
    <row r="68" spans="1:2" x14ac:dyDescent="0.25">
      <c r="A68" s="19" t="s">
        <v>393</v>
      </c>
      <c r="B68">
        <v>1</v>
      </c>
    </row>
    <row r="69" spans="1:2" x14ac:dyDescent="0.25">
      <c r="A69" s="19" t="s">
        <v>393</v>
      </c>
      <c r="B69">
        <v>1</v>
      </c>
    </row>
    <row r="70" spans="1:2" x14ac:dyDescent="0.25">
      <c r="A70" s="19" t="s">
        <v>393</v>
      </c>
      <c r="B70">
        <v>1</v>
      </c>
    </row>
    <row r="71" spans="1:2" x14ac:dyDescent="0.25">
      <c r="A71" s="19" t="s">
        <v>393</v>
      </c>
      <c r="B71">
        <v>1</v>
      </c>
    </row>
    <row r="72" spans="1:2" x14ac:dyDescent="0.25">
      <c r="A72" s="19" t="s">
        <v>393</v>
      </c>
      <c r="B72">
        <v>1</v>
      </c>
    </row>
    <row r="73" spans="1:2" x14ac:dyDescent="0.25">
      <c r="A73" s="19" t="s">
        <v>393</v>
      </c>
      <c r="B73">
        <v>1</v>
      </c>
    </row>
    <row r="74" spans="1:2" x14ac:dyDescent="0.25">
      <c r="A74" s="19" t="s">
        <v>393</v>
      </c>
      <c r="B74">
        <v>1</v>
      </c>
    </row>
    <row r="75" spans="1:2" x14ac:dyDescent="0.25">
      <c r="A75" s="19" t="s">
        <v>393</v>
      </c>
      <c r="B75">
        <v>1</v>
      </c>
    </row>
    <row r="76" spans="1:2" x14ac:dyDescent="0.25">
      <c r="A76" s="19" t="s">
        <v>393</v>
      </c>
      <c r="B76">
        <v>1</v>
      </c>
    </row>
    <row r="77" spans="1:2" x14ac:dyDescent="0.25">
      <c r="A77" s="19" t="s">
        <v>393</v>
      </c>
      <c r="B77">
        <v>1</v>
      </c>
    </row>
    <row r="78" spans="1:2" x14ac:dyDescent="0.25">
      <c r="A78" s="19" t="s">
        <v>393</v>
      </c>
      <c r="B78">
        <v>1</v>
      </c>
    </row>
    <row r="79" spans="1:2" x14ac:dyDescent="0.25">
      <c r="A79" s="19" t="s">
        <v>393</v>
      </c>
      <c r="B79">
        <v>1</v>
      </c>
    </row>
    <row r="80" spans="1:2" x14ac:dyDescent="0.25">
      <c r="A80" s="19" t="s">
        <v>393</v>
      </c>
      <c r="B80">
        <v>1</v>
      </c>
    </row>
    <row r="81" spans="1:2" x14ac:dyDescent="0.25">
      <c r="A81" s="19" t="s">
        <v>393</v>
      </c>
      <c r="B81">
        <v>1</v>
      </c>
    </row>
    <row r="82" spans="1:2" x14ac:dyDescent="0.25">
      <c r="A82" s="19" t="s">
        <v>393</v>
      </c>
      <c r="B82">
        <v>1</v>
      </c>
    </row>
    <row r="83" spans="1:2" x14ac:dyDescent="0.25">
      <c r="A83" s="19" t="s">
        <v>393</v>
      </c>
      <c r="B83">
        <v>1</v>
      </c>
    </row>
    <row r="84" spans="1:2" x14ac:dyDescent="0.25">
      <c r="A84" s="19" t="s">
        <v>393</v>
      </c>
      <c r="B84">
        <v>1</v>
      </c>
    </row>
    <row r="85" spans="1:2" x14ac:dyDescent="0.25">
      <c r="A85" s="19" t="s">
        <v>393</v>
      </c>
      <c r="B85">
        <v>1</v>
      </c>
    </row>
    <row r="86" spans="1:2" x14ac:dyDescent="0.25">
      <c r="A86" s="19" t="s">
        <v>393</v>
      </c>
      <c r="B86">
        <v>1</v>
      </c>
    </row>
    <row r="87" spans="1:2" x14ac:dyDescent="0.25">
      <c r="A87" s="19" t="s">
        <v>393</v>
      </c>
      <c r="B87">
        <v>1</v>
      </c>
    </row>
    <row r="88" spans="1:2" x14ac:dyDescent="0.25">
      <c r="A88" s="19" t="s">
        <v>393</v>
      </c>
      <c r="B88">
        <v>1</v>
      </c>
    </row>
    <row r="89" spans="1:2" x14ac:dyDescent="0.25">
      <c r="A89" s="19" t="s">
        <v>393</v>
      </c>
      <c r="B89">
        <v>1</v>
      </c>
    </row>
    <row r="90" spans="1:2" x14ac:dyDescent="0.25">
      <c r="A90" s="19" t="s">
        <v>393</v>
      </c>
      <c r="B90">
        <v>1</v>
      </c>
    </row>
    <row r="91" spans="1:2" x14ac:dyDescent="0.25">
      <c r="A91" s="19" t="s">
        <v>393</v>
      </c>
      <c r="B91">
        <v>1</v>
      </c>
    </row>
    <row r="92" spans="1:2" x14ac:dyDescent="0.25">
      <c r="A92" s="19" t="s">
        <v>393</v>
      </c>
      <c r="B92">
        <v>1</v>
      </c>
    </row>
    <row r="93" spans="1:2" x14ac:dyDescent="0.25">
      <c r="A93" s="19" t="s">
        <v>393</v>
      </c>
      <c r="B93">
        <v>1</v>
      </c>
    </row>
    <row r="94" spans="1:2" x14ac:dyDescent="0.25">
      <c r="A94" s="19" t="s">
        <v>393</v>
      </c>
      <c r="B94">
        <v>1</v>
      </c>
    </row>
    <row r="95" spans="1:2" x14ac:dyDescent="0.25">
      <c r="A95" s="19" t="s">
        <v>393</v>
      </c>
      <c r="B95">
        <v>1</v>
      </c>
    </row>
    <row r="96" spans="1:2" x14ac:dyDescent="0.25">
      <c r="A96" s="19" t="s">
        <v>393</v>
      </c>
      <c r="B96">
        <v>1</v>
      </c>
    </row>
    <row r="97" spans="1:2" x14ac:dyDescent="0.25">
      <c r="A97" s="19" t="s">
        <v>393</v>
      </c>
      <c r="B97">
        <v>1</v>
      </c>
    </row>
    <row r="98" spans="1:2" x14ac:dyDescent="0.25">
      <c r="A98" s="19" t="s">
        <v>393</v>
      </c>
      <c r="B98">
        <v>1</v>
      </c>
    </row>
    <row r="99" spans="1:2" x14ac:dyDescent="0.25">
      <c r="A99" s="19" t="s">
        <v>393</v>
      </c>
      <c r="B99">
        <v>1</v>
      </c>
    </row>
    <row r="100" spans="1:2" x14ac:dyDescent="0.25">
      <c r="A100" s="19" t="s">
        <v>393</v>
      </c>
      <c r="B100">
        <v>1</v>
      </c>
    </row>
    <row r="101" spans="1:2" x14ac:dyDescent="0.25">
      <c r="A101" s="19" t="s">
        <v>393</v>
      </c>
      <c r="B101">
        <v>1</v>
      </c>
    </row>
    <row r="102" spans="1:2" x14ac:dyDescent="0.25">
      <c r="A102" s="19" t="s">
        <v>393</v>
      </c>
      <c r="B102">
        <v>1</v>
      </c>
    </row>
    <row r="103" spans="1:2" x14ac:dyDescent="0.25">
      <c r="A103" s="19" t="s">
        <v>393</v>
      </c>
      <c r="B103">
        <v>1</v>
      </c>
    </row>
    <row r="104" spans="1:2" x14ac:dyDescent="0.25">
      <c r="A104" s="19" t="s">
        <v>393</v>
      </c>
      <c r="B104">
        <v>1</v>
      </c>
    </row>
    <row r="105" spans="1:2" x14ac:dyDescent="0.25">
      <c r="A105" s="19" t="s">
        <v>393</v>
      </c>
      <c r="B105">
        <v>1</v>
      </c>
    </row>
    <row r="106" spans="1:2" x14ac:dyDescent="0.25">
      <c r="A106" s="19" t="s">
        <v>393</v>
      </c>
      <c r="B106">
        <v>1</v>
      </c>
    </row>
    <row r="107" spans="1:2" x14ac:dyDescent="0.25">
      <c r="A107" s="19" t="s">
        <v>393</v>
      </c>
      <c r="B107">
        <v>1</v>
      </c>
    </row>
    <row r="108" spans="1:2" x14ac:dyDescent="0.25">
      <c r="A108" s="19" t="s">
        <v>393</v>
      </c>
      <c r="B108">
        <v>1</v>
      </c>
    </row>
    <row r="109" spans="1:2" x14ac:dyDescent="0.25">
      <c r="A109" s="19" t="s">
        <v>393</v>
      </c>
      <c r="B109">
        <v>1</v>
      </c>
    </row>
    <row r="110" spans="1:2" x14ac:dyDescent="0.25">
      <c r="A110" s="19" t="s">
        <v>393</v>
      </c>
      <c r="B110">
        <v>1</v>
      </c>
    </row>
    <row r="111" spans="1:2" x14ac:dyDescent="0.25">
      <c r="A111" s="19" t="s">
        <v>393</v>
      </c>
      <c r="B111">
        <v>1</v>
      </c>
    </row>
    <row r="112" spans="1:2" x14ac:dyDescent="0.25">
      <c r="A112" s="19" t="s">
        <v>393</v>
      </c>
      <c r="B112">
        <v>1</v>
      </c>
    </row>
    <row r="113" spans="1:2" x14ac:dyDescent="0.25">
      <c r="A113" s="19" t="s">
        <v>393</v>
      </c>
      <c r="B113">
        <v>1</v>
      </c>
    </row>
    <row r="114" spans="1:2" x14ac:dyDescent="0.25">
      <c r="A114" s="19" t="s">
        <v>393</v>
      </c>
      <c r="B114">
        <v>1</v>
      </c>
    </row>
    <row r="115" spans="1:2" x14ac:dyDescent="0.25">
      <c r="A115" s="19" t="s">
        <v>393</v>
      </c>
      <c r="B115">
        <v>1</v>
      </c>
    </row>
    <row r="116" spans="1:2" x14ac:dyDescent="0.25">
      <c r="A116" s="19" t="s">
        <v>393</v>
      </c>
      <c r="B116">
        <v>1</v>
      </c>
    </row>
    <row r="117" spans="1:2" x14ac:dyDescent="0.25">
      <c r="A117" s="19" t="s">
        <v>393</v>
      </c>
      <c r="B117">
        <v>1</v>
      </c>
    </row>
    <row r="118" spans="1:2" x14ac:dyDescent="0.25">
      <c r="A118" s="19" t="s">
        <v>393</v>
      </c>
      <c r="B118">
        <v>1</v>
      </c>
    </row>
    <row r="119" spans="1:2" x14ac:dyDescent="0.25">
      <c r="A119" s="19" t="s">
        <v>393</v>
      </c>
      <c r="B119">
        <v>1</v>
      </c>
    </row>
    <row r="120" spans="1:2" x14ac:dyDescent="0.25">
      <c r="A120" s="19" t="s">
        <v>393</v>
      </c>
      <c r="B120">
        <v>1</v>
      </c>
    </row>
    <row r="121" spans="1:2" x14ac:dyDescent="0.25">
      <c r="A121" s="25" t="s">
        <v>393</v>
      </c>
      <c r="B121">
        <v>1</v>
      </c>
    </row>
    <row r="122" spans="1:2" x14ac:dyDescent="0.25">
      <c r="A122" s="19" t="s">
        <v>541</v>
      </c>
      <c r="B122">
        <v>1</v>
      </c>
    </row>
    <row r="123" spans="1:2" x14ac:dyDescent="0.25">
      <c r="A123" s="19" t="s">
        <v>541</v>
      </c>
      <c r="B123">
        <v>1</v>
      </c>
    </row>
    <row r="124" spans="1:2" x14ac:dyDescent="0.25">
      <c r="A124" s="19" t="s">
        <v>549</v>
      </c>
      <c r="B124">
        <v>1</v>
      </c>
    </row>
    <row r="125" spans="1:2" x14ac:dyDescent="0.25">
      <c r="A125" s="19" t="s">
        <v>549</v>
      </c>
      <c r="B125">
        <v>1</v>
      </c>
    </row>
    <row r="126" spans="1:2" x14ac:dyDescent="0.25">
      <c r="A126" s="19" t="s">
        <v>549</v>
      </c>
      <c r="B126">
        <v>1</v>
      </c>
    </row>
    <row r="127" spans="1:2" x14ac:dyDescent="0.25">
      <c r="A127" s="19" t="s">
        <v>549</v>
      </c>
      <c r="B127">
        <v>1</v>
      </c>
    </row>
    <row r="128" spans="1:2" x14ac:dyDescent="0.25">
      <c r="A128" s="19" t="s">
        <v>549</v>
      </c>
      <c r="B128">
        <v>1</v>
      </c>
    </row>
    <row r="129" spans="1:2" x14ac:dyDescent="0.25">
      <c r="A129" s="19" t="s">
        <v>549</v>
      </c>
      <c r="B129">
        <v>1</v>
      </c>
    </row>
    <row r="130" spans="1:2" x14ac:dyDescent="0.25">
      <c r="A130" s="19" t="s">
        <v>549</v>
      </c>
      <c r="B130">
        <v>1</v>
      </c>
    </row>
    <row r="131" spans="1:2" x14ac:dyDescent="0.25">
      <c r="A131" s="19" t="s">
        <v>549</v>
      </c>
      <c r="B131">
        <v>1</v>
      </c>
    </row>
    <row r="132" spans="1:2" x14ac:dyDescent="0.25">
      <c r="A132" s="19" t="s">
        <v>549</v>
      </c>
      <c r="B132">
        <v>1</v>
      </c>
    </row>
    <row r="133" spans="1:2" x14ac:dyDescent="0.25">
      <c r="A133" s="19" t="s">
        <v>549</v>
      </c>
      <c r="B133">
        <v>1</v>
      </c>
    </row>
    <row r="134" spans="1:2" x14ac:dyDescent="0.25">
      <c r="A134" s="19" t="s">
        <v>549</v>
      </c>
      <c r="B134">
        <v>1</v>
      </c>
    </row>
    <row r="135" spans="1:2" x14ac:dyDescent="0.25">
      <c r="A135" s="19" t="s">
        <v>549</v>
      </c>
      <c r="B135">
        <v>1</v>
      </c>
    </row>
    <row r="136" spans="1:2" x14ac:dyDescent="0.25">
      <c r="A136" s="19" t="s">
        <v>549</v>
      </c>
      <c r="B136">
        <v>1</v>
      </c>
    </row>
    <row r="137" spans="1:2" x14ac:dyDescent="0.25">
      <c r="A137" s="19" t="s">
        <v>549</v>
      </c>
      <c r="B137">
        <v>1</v>
      </c>
    </row>
    <row r="138" spans="1:2" x14ac:dyDescent="0.25">
      <c r="A138" s="19" t="s">
        <v>549</v>
      </c>
      <c r="B138">
        <v>1</v>
      </c>
    </row>
    <row r="139" spans="1:2" x14ac:dyDescent="0.25">
      <c r="A139" s="19" t="s">
        <v>549</v>
      </c>
      <c r="B139">
        <v>1</v>
      </c>
    </row>
    <row r="140" spans="1:2" x14ac:dyDescent="0.25">
      <c r="A140" s="19" t="s">
        <v>549</v>
      </c>
      <c r="B140">
        <v>1</v>
      </c>
    </row>
    <row r="141" spans="1:2" x14ac:dyDescent="0.25">
      <c r="A141" s="19" t="s">
        <v>549</v>
      </c>
      <c r="B141">
        <v>1</v>
      </c>
    </row>
    <row r="142" spans="1:2" x14ac:dyDescent="0.25">
      <c r="A142" s="19" t="s">
        <v>549</v>
      </c>
      <c r="B142">
        <v>1</v>
      </c>
    </row>
    <row r="143" spans="1:2" x14ac:dyDescent="0.25">
      <c r="A143" s="19" t="s">
        <v>549</v>
      </c>
      <c r="B143">
        <v>1</v>
      </c>
    </row>
    <row r="144" spans="1:2" x14ac:dyDescent="0.25">
      <c r="A144" s="19" t="s">
        <v>549</v>
      </c>
      <c r="B144">
        <v>1</v>
      </c>
    </row>
    <row r="145" spans="1:2" x14ac:dyDescent="0.25">
      <c r="A145" s="19" t="s">
        <v>549</v>
      </c>
      <c r="B145">
        <v>1</v>
      </c>
    </row>
    <row r="146" spans="1:2" x14ac:dyDescent="0.25">
      <c r="A146" s="19" t="s">
        <v>549</v>
      </c>
      <c r="B146">
        <v>1</v>
      </c>
    </row>
    <row r="147" spans="1:2" x14ac:dyDescent="0.25">
      <c r="A147" s="19" t="s">
        <v>549</v>
      </c>
      <c r="B147">
        <v>1</v>
      </c>
    </row>
    <row r="148" spans="1:2" x14ac:dyDescent="0.25">
      <c r="A148" s="19" t="s">
        <v>549</v>
      </c>
      <c r="B148">
        <v>1</v>
      </c>
    </row>
    <row r="149" spans="1:2" x14ac:dyDescent="0.25">
      <c r="A149" t="s">
        <v>549</v>
      </c>
      <c r="B149">
        <v>1</v>
      </c>
    </row>
    <row r="150" spans="1:2" x14ac:dyDescent="0.25">
      <c r="A150" s="19" t="s">
        <v>549</v>
      </c>
      <c r="B150">
        <v>1</v>
      </c>
    </row>
    <row r="151" spans="1:2" x14ac:dyDescent="0.25">
      <c r="A151" s="19" t="s">
        <v>1594</v>
      </c>
      <c r="B151">
        <v>1</v>
      </c>
    </row>
    <row r="152" spans="1:2" x14ac:dyDescent="0.25">
      <c r="A152" s="19" t="s">
        <v>606</v>
      </c>
      <c r="B152">
        <v>1</v>
      </c>
    </row>
    <row r="153" spans="1:2" x14ac:dyDescent="0.25">
      <c r="A153" s="19" t="s">
        <v>606</v>
      </c>
      <c r="B153">
        <v>1</v>
      </c>
    </row>
    <row r="154" spans="1:2" x14ac:dyDescent="0.25">
      <c r="A154" s="19" t="s">
        <v>606</v>
      </c>
      <c r="B154">
        <v>1</v>
      </c>
    </row>
    <row r="155" spans="1:2" x14ac:dyDescent="0.25">
      <c r="A155" s="19" t="s">
        <v>606</v>
      </c>
      <c r="B155">
        <v>1</v>
      </c>
    </row>
    <row r="156" spans="1:2" x14ac:dyDescent="0.25">
      <c r="A156" s="19" t="s">
        <v>606</v>
      </c>
      <c r="B156">
        <v>1</v>
      </c>
    </row>
    <row r="157" spans="1:2" x14ac:dyDescent="0.25">
      <c r="A157" s="19" t="s">
        <v>606</v>
      </c>
      <c r="B157">
        <v>1</v>
      </c>
    </row>
    <row r="158" spans="1:2" x14ac:dyDescent="0.25">
      <c r="A158" s="19" t="s">
        <v>606</v>
      </c>
      <c r="B158">
        <v>1</v>
      </c>
    </row>
    <row r="159" spans="1:2" x14ac:dyDescent="0.25">
      <c r="A159" s="19" t="s">
        <v>606</v>
      </c>
      <c r="B159">
        <v>1</v>
      </c>
    </row>
    <row r="160" spans="1:2" x14ac:dyDescent="0.25">
      <c r="A160" t="s">
        <v>606</v>
      </c>
      <c r="B160">
        <v>1</v>
      </c>
    </row>
    <row r="161" spans="1:2" x14ac:dyDescent="0.25">
      <c r="A161" s="19" t="s">
        <v>606</v>
      </c>
      <c r="B161">
        <v>1</v>
      </c>
    </row>
    <row r="162" spans="1:2" x14ac:dyDescent="0.25">
      <c r="A162" s="19" t="s">
        <v>1594</v>
      </c>
      <c r="B162">
        <v>1</v>
      </c>
    </row>
    <row r="163" spans="1:2" x14ac:dyDescent="0.25">
      <c r="A163" s="19" t="s">
        <v>630</v>
      </c>
      <c r="B163">
        <v>1</v>
      </c>
    </row>
    <row r="164" spans="1:2" x14ac:dyDescent="0.25">
      <c r="A164" s="19" t="s">
        <v>630</v>
      </c>
      <c r="B164">
        <v>1</v>
      </c>
    </row>
    <row r="165" spans="1:2" x14ac:dyDescent="0.25">
      <c r="A165" s="19" t="s">
        <v>630</v>
      </c>
      <c r="B165">
        <v>1</v>
      </c>
    </row>
    <row r="166" spans="1:2" x14ac:dyDescent="0.25">
      <c r="A166" s="19" t="s">
        <v>630</v>
      </c>
      <c r="B166">
        <v>1</v>
      </c>
    </row>
    <row r="167" spans="1:2" x14ac:dyDescent="0.25">
      <c r="A167" s="19" t="s">
        <v>630</v>
      </c>
      <c r="B167">
        <v>1</v>
      </c>
    </row>
    <row r="168" spans="1:2" x14ac:dyDescent="0.25">
      <c r="A168" s="19" t="s">
        <v>630</v>
      </c>
      <c r="B168">
        <v>1</v>
      </c>
    </row>
    <row r="169" spans="1:2" x14ac:dyDescent="0.25">
      <c r="A169" s="19" t="s">
        <v>630</v>
      </c>
      <c r="B169">
        <v>1</v>
      </c>
    </row>
    <row r="170" spans="1:2" x14ac:dyDescent="0.25">
      <c r="A170" t="s">
        <v>630</v>
      </c>
      <c r="B170">
        <v>1</v>
      </c>
    </row>
    <row r="171" spans="1:2" x14ac:dyDescent="0.25">
      <c r="A171" s="19" t="s">
        <v>630</v>
      </c>
      <c r="B171">
        <v>1</v>
      </c>
    </row>
    <row r="172" spans="1:2" x14ac:dyDescent="0.25">
      <c r="A172" s="19" t="s">
        <v>1594</v>
      </c>
      <c r="B172">
        <v>1</v>
      </c>
    </row>
    <row r="173" spans="1:2" x14ac:dyDescent="0.25">
      <c r="A173" s="19" t="s">
        <v>630</v>
      </c>
      <c r="B173">
        <v>1</v>
      </c>
    </row>
    <row r="174" spans="1:2" x14ac:dyDescent="0.25">
      <c r="A174" s="19" t="s">
        <v>630</v>
      </c>
      <c r="B174">
        <v>1</v>
      </c>
    </row>
    <row r="175" spans="1:2" x14ac:dyDescent="0.25">
      <c r="A175" s="19" t="s">
        <v>630</v>
      </c>
      <c r="B175">
        <v>1</v>
      </c>
    </row>
    <row r="176" spans="1:2" x14ac:dyDescent="0.25">
      <c r="A176" s="19" t="s">
        <v>630</v>
      </c>
      <c r="B176">
        <v>1</v>
      </c>
    </row>
    <row r="177" spans="1:2" x14ac:dyDescent="0.25">
      <c r="A177" s="19" t="s">
        <v>630</v>
      </c>
      <c r="B177">
        <v>1</v>
      </c>
    </row>
    <row r="178" spans="1:2" x14ac:dyDescent="0.25">
      <c r="A178" s="19" t="s">
        <v>630</v>
      </c>
      <c r="B178">
        <v>1</v>
      </c>
    </row>
    <row r="179" spans="1:2" x14ac:dyDescent="0.25">
      <c r="A179" s="19" t="s">
        <v>630</v>
      </c>
      <c r="B179">
        <v>1</v>
      </c>
    </row>
    <row r="180" spans="1:2" x14ac:dyDescent="0.25">
      <c r="A180" s="19" t="s">
        <v>630</v>
      </c>
      <c r="B180">
        <v>1</v>
      </c>
    </row>
    <row r="181" spans="1:2" x14ac:dyDescent="0.25">
      <c r="A181" t="s">
        <v>630</v>
      </c>
      <c r="B181">
        <v>1</v>
      </c>
    </row>
    <row r="182" spans="1:2" x14ac:dyDescent="0.25">
      <c r="A182" s="19" t="s">
        <v>630</v>
      </c>
      <c r="B182">
        <v>1</v>
      </c>
    </row>
    <row r="183" spans="1:2" x14ac:dyDescent="0.25">
      <c r="A183" s="19" t="s">
        <v>1594</v>
      </c>
      <c r="B183">
        <v>1</v>
      </c>
    </row>
    <row r="184" spans="1:2" x14ac:dyDescent="0.25">
      <c r="A184" s="19" t="s">
        <v>630</v>
      </c>
      <c r="B184">
        <v>1</v>
      </c>
    </row>
    <row r="185" spans="1:2" x14ac:dyDescent="0.25">
      <c r="A185" s="19" t="s">
        <v>630</v>
      </c>
      <c r="B185">
        <v>1</v>
      </c>
    </row>
    <row r="186" spans="1:2" x14ac:dyDescent="0.25">
      <c r="A186" s="19" t="s">
        <v>630</v>
      </c>
      <c r="B186">
        <v>1</v>
      </c>
    </row>
    <row r="187" spans="1:2" x14ac:dyDescent="0.25">
      <c r="A187" s="19" t="s">
        <v>630</v>
      </c>
      <c r="B187">
        <v>1</v>
      </c>
    </row>
    <row r="188" spans="1:2" x14ac:dyDescent="0.25">
      <c r="A188" s="19" t="s">
        <v>630</v>
      </c>
      <c r="B188">
        <v>1</v>
      </c>
    </row>
    <row r="189" spans="1:2" x14ac:dyDescent="0.25">
      <c r="A189" s="19" t="s">
        <v>630</v>
      </c>
      <c r="B189">
        <v>1</v>
      </c>
    </row>
    <row r="190" spans="1:2" x14ac:dyDescent="0.25">
      <c r="A190" s="19" t="s">
        <v>630</v>
      </c>
      <c r="B190">
        <v>1</v>
      </c>
    </row>
    <row r="191" spans="1:2" x14ac:dyDescent="0.25">
      <c r="A191" t="s">
        <v>630</v>
      </c>
      <c r="B191">
        <v>1</v>
      </c>
    </row>
    <row r="192" spans="1:2" x14ac:dyDescent="0.25">
      <c r="A192" s="19" t="s">
        <v>630</v>
      </c>
      <c r="B192">
        <v>1</v>
      </c>
    </row>
    <row r="193" spans="1:2" x14ac:dyDescent="0.25">
      <c r="A193" s="19" t="s">
        <v>1594</v>
      </c>
      <c r="B193">
        <v>1</v>
      </c>
    </row>
    <row r="194" spans="1:2" x14ac:dyDescent="0.25">
      <c r="A194" s="19" t="s">
        <v>630</v>
      </c>
      <c r="B194">
        <v>1</v>
      </c>
    </row>
    <row r="195" spans="1:2" x14ac:dyDescent="0.25">
      <c r="A195" s="19" t="s">
        <v>630</v>
      </c>
      <c r="B195">
        <v>1</v>
      </c>
    </row>
    <row r="196" spans="1:2" x14ac:dyDescent="0.25">
      <c r="A196" s="19" t="s">
        <v>630</v>
      </c>
      <c r="B196">
        <v>1</v>
      </c>
    </row>
    <row r="197" spans="1:2" x14ac:dyDescent="0.25">
      <c r="A197" t="s">
        <v>630</v>
      </c>
      <c r="B197">
        <v>1</v>
      </c>
    </row>
    <row r="198" spans="1:2" x14ac:dyDescent="0.25">
      <c r="A198" s="19" t="s">
        <v>630</v>
      </c>
      <c r="B198">
        <v>1</v>
      </c>
    </row>
    <row r="199" spans="1:2" x14ac:dyDescent="0.25">
      <c r="A199" s="19" t="s">
        <v>1594</v>
      </c>
      <c r="B199">
        <v>1</v>
      </c>
    </row>
    <row r="200" spans="1:2" x14ac:dyDescent="0.25">
      <c r="A200" s="19" t="s">
        <v>38</v>
      </c>
      <c r="B200">
        <v>1</v>
      </c>
    </row>
    <row r="201" spans="1:2" x14ac:dyDescent="0.25">
      <c r="A201" s="19" t="s">
        <v>38</v>
      </c>
      <c r="B201">
        <v>1</v>
      </c>
    </row>
    <row r="202" spans="1:2" x14ac:dyDescent="0.25">
      <c r="A202" s="19" t="s">
        <v>38</v>
      </c>
      <c r="B202">
        <v>1</v>
      </c>
    </row>
    <row r="203" spans="1:2" x14ac:dyDescent="0.25">
      <c r="A203" s="19" t="s">
        <v>38</v>
      </c>
      <c r="B203">
        <v>1</v>
      </c>
    </row>
    <row r="204" spans="1:2" x14ac:dyDescent="0.25">
      <c r="A204" t="s">
        <v>38</v>
      </c>
      <c r="B204">
        <v>1</v>
      </c>
    </row>
    <row r="205" spans="1:2" x14ac:dyDescent="0.25">
      <c r="A205" s="19" t="s">
        <v>38</v>
      </c>
      <c r="B205">
        <v>1</v>
      </c>
    </row>
    <row r="206" spans="1:2" x14ac:dyDescent="0.25">
      <c r="A206" s="19" t="s">
        <v>1594</v>
      </c>
      <c r="B206">
        <v>1</v>
      </c>
    </row>
    <row r="207" spans="1:2" x14ac:dyDescent="0.25">
      <c r="A207" s="19" t="s">
        <v>549</v>
      </c>
      <c r="B207">
        <v>1</v>
      </c>
    </row>
    <row r="208" spans="1:2" x14ac:dyDescent="0.25">
      <c r="A208" s="19" t="s">
        <v>549</v>
      </c>
      <c r="B208">
        <v>1</v>
      </c>
    </row>
    <row r="209" spans="1:2" x14ac:dyDescent="0.25">
      <c r="A209" s="19" t="s">
        <v>549</v>
      </c>
      <c r="B209">
        <v>1</v>
      </c>
    </row>
    <row r="210" spans="1:2" x14ac:dyDescent="0.25">
      <c r="A210" t="s">
        <v>549</v>
      </c>
      <c r="B210">
        <v>1</v>
      </c>
    </row>
    <row r="211" spans="1:2" x14ac:dyDescent="0.25">
      <c r="A211" s="19" t="s">
        <v>549</v>
      </c>
      <c r="B211">
        <v>1</v>
      </c>
    </row>
    <row r="212" spans="1:2" x14ac:dyDescent="0.25">
      <c r="A212" s="19" t="s">
        <v>1594</v>
      </c>
      <c r="B212">
        <v>1</v>
      </c>
    </row>
    <row r="213" spans="1:2" x14ac:dyDescent="0.25">
      <c r="A213" s="19" t="s">
        <v>393</v>
      </c>
      <c r="B213">
        <v>1</v>
      </c>
    </row>
    <row r="214" spans="1:2" x14ac:dyDescent="0.25">
      <c r="A214" s="19" t="s">
        <v>393</v>
      </c>
      <c r="B214">
        <v>1</v>
      </c>
    </row>
    <row r="215" spans="1:2" x14ac:dyDescent="0.25">
      <c r="A215" s="19" t="s">
        <v>393</v>
      </c>
      <c r="B215">
        <v>1</v>
      </c>
    </row>
    <row r="216" spans="1:2" x14ac:dyDescent="0.25">
      <c r="A216" t="s">
        <v>393</v>
      </c>
      <c r="B216">
        <v>1</v>
      </c>
    </row>
    <row r="217" spans="1:2" x14ac:dyDescent="0.25">
      <c r="A217" s="19" t="s">
        <v>393</v>
      </c>
      <c r="B217">
        <v>1</v>
      </c>
    </row>
    <row r="218" spans="1:2" x14ac:dyDescent="0.25">
      <c r="A218" t="s">
        <v>1594</v>
      </c>
      <c r="B218">
        <v>1</v>
      </c>
    </row>
    <row r="219" spans="1:2" x14ac:dyDescent="0.25">
      <c r="A219" s="19" t="s">
        <v>738</v>
      </c>
      <c r="B219">
        <v>1</v>
      </c>
    </row>
    <row r="220" spans="1:2" x14ac:dyDescent="0.25">
      <c r="A220" t="s">
        <v>1594</v>
      </c>
      <c r="B220">
        <v>1</v>
      </c>
    </row>
    <row r="221" spans="1:2" x14ac:dyDescent="0.25">
      <c r="A221" s="19" t="s">
        <v>743</v>
      </c>
      <c r="B221">
        <v>1</v>
      </c>
    </row>
    <row r="222" spans="1:2" x14ac:dyDescent="0.25">
      <c r="A222" s="19" t="s">
        <v>1594</v>
      </c>
      <c r="B222">
        <v>1</v>
      </c>
    </row>
    <row r="223" spans="1:2" x14ac:dyDescent="0.25">
      <c r="A223" s="19" t="s">
        <v>748</v>
      </c>
      <c r="B223">
        <v>1</v>
      </c>
    </row>
    <row r="224" spans="1:2" x14ac:dyDescent="0.25">
      <c r="A224" s="19" t="s">
        <v>748</v>
      </c>
      <c r="B224">
        <v>1</v>
      </c>
    </row>
    <row r="225" spans="1:2" x14ac:dyDescent="0.25">
      <c r="A225" t="s">
        <v>748</v>
      </c>
      <c r="B225">
        <v>1</v>
      </c>
    </row>
    <row r="226" spans="1:2" x14ac:dyDescent="0.25">
      <c r="A226" s="19" t="s">
        <v>748</v>
      </c>
      <c r="B226">
        <v>1</v>
      </c>
    </row>
    <row r="227" spans="1:2" x14ac:dyDescent="0.25">
      <c r="A227" s="19" t="s">
        <v>1594</v>
      </c>
      <c r="B227">
        <v>1</v>
      </c>
    </row>
    <row r="228" spans="1:2" x14ac:dyDescent="0.25">
      <c r="A228" s="19" t="s">
        <v>748</v>
      </c>
      <c r="B228">
        <v>1</v>
      </c>
    </row>
    <row r="229" spans="1:2" x14ac:dyDescent="0.25">
      <c r="A229" t="s">
        <v>748</v>
      </c>
      <c r="B229">
        <v>1</v>
      </c>
    </row>
    <row r="230" spans="1:2" x14ac:dyDescent="0.25">
      <c r="A230" s="19" t="s">
        <v>748</v>
      </c>
      <c r="B230">
        <v>1</v>
      </c>
    </row>
    <row r="231" spans="1:2" x14ac:dyDescent="0.25">
      <c r="A231" t="s">
        <v>1594</v>
      </c>
      <c r="B231">
        <v>1</v>
      </c>
    </row>
    <row r="232" spans="1:2" x14ac:dyDescent="0.25">
      <c r="A232" s="19" t="s">
        <v>738</v>
      </c>
      <c r="B232">
        <v>1</v>
      </c>
    </row>
    <row r="233" spans="1:2" x14ac:dyDescent="0.25">
      <c r="A233" t="s">
        <v>1594</v>
      </c>
      <c r="B233">
        <v>1</v>
      </c>
    </row>
    <row r="234" spans="1:2" x14ac:dyDescent="0.25">
      <c r="A234" s="19" t="s">
        <v>738</v>
      </c>
      <c r="B234">
        <v>1</v>
      </c>
    </row>
    <row r="235" spans="1:2" x14ac:dyDescent="0.25">
      <c r="A235" t="s">
        <v>1594</v>
      </c>
      <c r="B235">
        <v>1</v>
      </c>
    </row>
    <row r="236" spans="1:2" x14ac:dyDescent="0.25">
      <c r="A236" s="19" t="s">
        <v>738</v>
      </c>
      <c r="B236">
        <v>1</v>
      </c>
    </row>
    <row r="237" spans="1:2" x14ac:dyDescent="0.25">
      <c r="A237" s="19" t="s">
        <v>1594</v>
      </c>
      <c r="B237">
        <v>1</v>
      </c>
    </row>
    <row r="238" spans="1:2" x14ac:dyDescent="0.25">
      <c r="A238" t="s">
        <v>748</v>
      </c>
      <c r="B238">
        <v>1</v>
      </c>
    </row>
    <row r="239" spans="1:2" x14ac:dyDescent="0.25">
      <c r="A239" s="19" t="s">
        <v>748</v>
      </c>
      <c r="B239">
        <v>1</v>
      </c>
    </row>
    <row r="240" spans="1:2" x14ac:dyDescent="0.25">
      <c r="A240" t="s">
        <v>1594</v>
      </c>
      <c r="B240">
        <v>1</v>
      </c>
    </row>
    <row r="241" spans="1:2" x14ac:dyDescent="0.25">
      <c r="A241" s="19" t="s">
        <v>738</v>
      </c>
      <c r="B241">
        <v>1</v>
      </c>
    </row>
    <row r="242" spans="1:2" x14ac:dyDescent="0.25">
      <c r="A242" t="s">
        <v>1594</v>
      </c>
      <c r="B242">
        <v>1</v>
      </c>
    </row>
    <row r="243" spans="1:2" x14ac:dyDescent="0.25">
      <c r="A243" s="19" t="s">
        <v>738</v>
      </c>
      <c r="B243">
        <v>1</v>
      </c>
    </row>
    <row r="244" spans="1:2" x14ac:dyDescent="0.25">
      <c r="A244" t="s">
        <v>1594</v>
      </c>
      <c r="B244">
        <v>1</v>
      </c>
    </row>
    <row r="245" spans="1:2" x14ac:dyDescent="0.25">
      <c r="A245" s="19" t="s">
        <v>738</v>
      </c>
      <c r="B245">
        <v>1</v>
      </c>
    </row>
    <row r="246" spans="1:2" x14ac:dyDescent="0.25">
      <c r="A246" t="s">
        <v>1594</v>
      </c>
      <c r="B246">
        <v>1</v>
      </c>
    </row>
    <row r="247" spans="1:2" x14ac:dyDescent="0.25">
      <c r="A247" s="19" t="s">
        <v>738</v>
      </c>
      <c r="B247">
        <v>1</v>
      </c>
    </row>
    <row r="248" spans="1:2" x14ac:dyDescent="0.25">
      <c r="A248" t="s">
        <v>1594</v>
      </c>
      <c r="B248">
        <v>1</v>
      </c>
    </row>
    <row r="249" spans="1:2" x14ac:dyDescent="0.25">
      <c r="A249" s="19" t="s">
        <v>788</v>
      </c>
      <c r="B249">
        <v>1</v>
      </c>
    </row>
    <row r="250" spans="1:2" x14ac:dyDescent="0.25">
      <c r="A250" s="19" t="s">
        <v>1594</v>
      </c>
      <c r="B250">
        <v>1</v>
      </c>
    </row>
    <row r="251" spans="1:2" x14ac:dyDescent="0.25">
      <c r="A251" s="19" t="s">
        <v>792</v>
      </c>
      <c r="B251">
        <v>1</v>
      </c>
    </row>
    <row r="252" spans="1:2" x14ac:dyDescent="0.25">
      <c r="A252" s="19" t="s">
        <v>792</v>
      </c>
      <c r="B252">
        <v>1</v>
      </c>
    </row>
    <row r="253" spans="1:2" x14ac:dyDescent="0.25">
      <c r="A253" t="s">
        <v>792</v>
      </c>
      <c r="B253">
        <v>1</v>
      </c>
    </row>
    <row r="254" spans="1:2" x14ac:dyDescent="0.25">
      <c r="A254" s="19" t="s">
        <v>792</v>
      </c>
      <c r="B254">
        <v>1</v>
      </c>
    </row>
    <row r="255" spans="1:2" x14ac:dyDescent="0.25">
      <c r="A255" s="19" t="s">
        <v>1594</v>
      </c>
      <c r="B255">
        <v>1</v>
      </c>
    </row>
    <row r="256" spans="1:2" x14ac:dyDescent="0.25">
      <c r="A256" t="s">
        <v>800</v>
      </c>
      <c r="B256">
        <v>1</v>
      </c>
    </row>
    <row r="257" spans="1:2" x14ac:dyDescent="0.25">
      <c r="A257" s="19" t="s">
        <v>800</v>
      </c>
      <c r="B257">
        <v>1</v>
      </c>
    </row>
    <row r="258" spans="1:2" x14ac:dyDescent="0.25">
      <c r="A258" s="19" t="s">
        <v>1594</v>
      </c>
      <c r="B258">
        <v>1</v>
      </c>
    </row>
    <row r="259" spans="1:2" x14ac:dyDescent="0.25">
      <c r="A259" t="s">
        <v>748</v>
      </c>
      <c r="B259">
        <v>1</v>
      </c>
    </row>
    <row r="260" spans="1:2" x14ac:dyDescent="0.25">
      <c r="A260" s="19" t="s">
        <v>748</v>
      </c>
      <c r="B260">
        <v>1</v>
      </c>
    </row>
    <row r="261" spans="1:2" x14ac:dyDescent="0.25">
      <c r="A261" t="s">
        <v>1594</v>
      </c>
      <c r="B261">
        <v>1</v>
      </c>
    </row>
    <row r="262" spans="1:2" x14ac:dyDescent="0.25">
      <c r="A262" s="19" t="s">
        <v>738</v>
      </c>
      <c r="B262">
        <v>1</v>
      </c>
    </row>
    <row r="263" spans="1:2" x14ac:dyDescent="0.25">
      <c r="A263" t="s">
        <v>1594</v>
      </c>
      <c r="B263">
        <v>1</v>
      </c>
    </row>
    <row r="264" spans="1:2" x14ac:dyDescent="0.25">
      <c r="A264" s="19" t="s">
        <v>738</v>
      </c>
      <c r="B264">
        <v>1</v>
      </c>
    </row>
    <row r="265" spans="1:2" x14ac:dyDescent="0.25">
      <c r="A265" t="s">
        <v>1594</v>
      </c>
      <c r="B265">
        <v>1</v>
      </c>
    </row>
    <row r="266" spans="1:2" x14ac:dyDescent="0.25">
      <c r="A266" s="19" t="s">
        <v>800</v>
      </c>
      <c r="B266">
        <v>1</v>
      </c>
    </row>
    <row r="267" spans="1:2" x14ac:dyDescent="0.25">
      <c r="A267" s="19" t="s">
        <v>1594</v>
      </c>
      <c r="B267">
        <v>1</v>
      </c>
    </row>
    <row r="268" spans="1:2" x14ac:dyDescent="0.25">
      <c r="A268" t="s">
        <v>549</v>
      </c>
      <c r="B268">
        <v>1</v>
      </c>
    </row>
    <row r="269" spans="1:2" x14ac:dyDescent="0.25">
      <c r="A269" s="19" t="s">
        <v>549</v>
      </c>
      <c r="B269">
        <v>1</v>
      </c>
    </row>
    <row r="270" spans="1:2" x14ac:dyDescent="0.25">
      <c r="A270" t="s">
        <v>1594</v>
      </c>
      <c r="B270">
        <v>1</v>
      </c>
    </row>
    <row r="271" spans="1:2" x14ac:dyDescent="0.25">
      <c r="A271" s="19" t="s">
        <v>541</v>
      </c>
      <c r="B271">
        <v>1</v>
      </c>
    </row>
    <row r="272" spans="1:2" x14ac:dyDescent="0.25">
      <c r="A272" t="s">
        <v>1594</v>
      </c>
      <c r="B272">
        <v>1</v>
      </c>
    </row>
    <row r="273" spans="1:2" x14ac:dyDescent="0.25">
      <c r="A273" s="19" t="s">
        <v>738</v>
      </c>
      <c r="B273">
        <v>1</v>
      </c>
    </row>
    <row r="274" spans="1:2" x14ac:dyDescent="0.25">
      <c r="A274" t="s">
        <v>1594</v>
      </c>
      <c r="B274">
        <v>1</v>
      </c>
    </row>
    <row r="275" spans="1:2" x14ac:dyDescent="0.25">
      <c r="A275" s="19" t="s">
        <v>829</v>
      </c>
      <c r="B275">
        <v>1</v>
      </c>
    </row>
    <row r="276" spans="1:2" x14ac:dyDescent="0.25">
      <c r="A276" t="s">
        <v>1594</v>
      </c>
      <c r="B276">
        <v>1</v>
      </c>
    </row>
    <row r="277" spans="1:2" x14ac:dyDescent="0.25">
      <c r="A277" s="19" t="s">
        <v>549</v>
      </c>
      <c r="B277">
        <v>1</v>
      </c>
    </row>
    <row r="278" spans="1:2" x14ac:dyDescent="0.25">
      <c r="A278" t="s">
        <v>1594</v>
      </c>
      <c r="B278">
        <v>1</v>
      </c>
    </row>
    <row r="279" spans="1:2" x14ac:dyDescent="0.25">
      <c r="A279" s="19" t="s">
        <v>829</v>
      </c>
      <c r="B279">
        <v>1</v>
      </c>
    </row>
    <row r="280" spans="1:2" x14ac:dyDescent="0.25">
      <c r="A280" s="19" t="s">
        <v>1594</v>
      </c>
      <c r="B280">
        <v>1</v>
      </c>
    </row>
    <row r="281" spans="1:2" x14ac:dyDescent="0.25">
      <c r="A281" t="s">
        <v>738</v>
      </c>
      <c r="B281">
        <v>1</v>
      </c>
    </row>
    <row r="282" spans="1:2" x14ac:dyDescent="0.25">
      <c r="A282" s="19" t="s">
        <v>800</v>
      </c>
      <c r="B282">
        <v>1</v>
      </c>
    </row>
    <row r="283" spans="1:2" x14ac:dyDescent="0.25">
      <c r="A283" t="s">
        <v>1594</v>
      </c>
      <c r="B283">
        <v>1</v>
      </c>
    </row>
    <row r="284" spans="1:2" x14ac:dyDescent="0.25">
      <c r="A284" s="19" t="s">
        <v>393</v>
      </c>
      <c r="B284">
        <v>1</v>
      </c>
    </row>
    <row r="285" spans="1:2" x14ac:dyDescent="0.25">
      <c r="A285" s="19" t="s">
        <v>1594</v>
      </c>
      <c r="B285">
        <v>1</v>
      </c>
    </row>
    <row r="286" spans="1:2" x14ac:dyDescent="0.25">
      <c r="A286" s="19" t="s">
        <v>792</v>
      </c>
      <c r="B286">
        <v>1</v>
      </c>
    </row>
    <row r="287" spans="1:2" x14ac:dyDescent="0.25">
      <c r="A287" s="19" t="s">
        <v>792</v>
      </c>
      <c r="B287">
        <v>1</v>
      </c>
    </row>
    <row r="288" spans="1:2" x14ac:dyDescent="0.25">
      <c r="A288" s="19" t="s">
        <v>792</v>
      </c>
      <c r="B288">
        <v>1</v>
      </c>
    </row>
    <row r="289" spans="1:2" x14ac:dyDescent="0.25">
      <c r="A289" s="19" t="s">
        <v>792</v>
      </c>
      <c r="B289">
        <v>1</v>
      </c>
    </row>
    <row r="290" spans="1:2" x14ac:dyDescent="0.25">
      <c r="A290" s="19" t="s">
        <v>792</v>
      </c>
      <c r="B290">
        <v>1</v>
      </c>
    </row>
    <row r="291" spans="1:2" x14ac:dyDescent="0.25">
      <c r="A291" s="19" t="s">
        <v>792</v>
      </c>
      <c r="B291">
        <v>1</v>
      </c>
    </row>
    <row r="292" spans="1:2" x14ac:dyDescent="0.25">
      <c r="A292" s="19" t="s">
        <v>792</v>
      </c>
      <c r="B292">
        <v>1</v>
      </c>
    </row>
    <row r="293" spans="1:2" x14ac:dyDescent="0.25">
      <c r="A293" t="s">
        <v>792</v>
      </c>
      <c r="B293">
        <v>1</v>
      </c>
    </row>
    <row r="294" spans="1:2" x14ac:dyDescent="0.25">
      <c r="A294" s="19" t="s">
        <v>792</v>
      </c>
      <c r="B294">
        <v>1</v>
      </c>
    </row>
    <row r="295" spans="1:2" x14ac:dyDescent="0.25">
      <c r="A295" s="19" t="s">
        <v>1594</v>
      </c>
      <c r="B295">
        <v>1</v>
      </c>
    </row>
    <row r="296" spans="1:2" x14ac:dyDescent="0.25">
      <c r="A296" t="s">
        <v>393</v>
      </c>
      <c r="B296">
        <v>1</v>
      </c>
    </row>
    <row r="297" spans="1:2" x14ac:dyDescent="0.25">
      <c r="A297" s="19" t="s">
        <v>393</v>
      </c>
      <c r="B297">
        <v>1</v>
      </c>
    </row>
    <row r="298" spans="1:2" x14ac:dyDescent="0.25">
      <c r="A298" s="19" t="s">
        <v>1594</v>
      </c>
      <c r="B298">
        <v>1</v>
      </c>
    </row>
    <row r="299" spans="1:2" x14ac:dyDescent="0.25">
      <c r="A299" t="s">
        <v>393</v>
      </c>
      <c r="B299">
        <v>1</v>
      </c>
    </row>
    <row r="300" spans="1:2" x14ac:dyDescent="0.25">
      <c r="A300" s="19" t="s">
        <v>393</v>
      </c>
      <c r="B300">
        <v>1</v>
      </c>
    </row>
    <row r="301" spans="1:2" x14ac:dyDescent="0.25">
      <c r="A301" t="s">
        <v>1594</v>
      </c>
      <c r="B301">
        <v>1</v>
      </c>
    </row>
    <row r="302" spans="1:2" x14ac:dyDescent="0.25">
      <c r="A302" s="19" t="s">
        <v>738</v>
      </c>
      <c r="B302">
        <v>1</v>
      </c>
    </row>
    <row r="303" spans="1:2" x14ac:dyDescent="0.25">
      <c r="A303" s="19" t="s">
        <v>1594</v>
      </c>
      <c r="B303">
        <v>1</v>
      </c>
    </row>
    <row r="304" spans="1:2" x14ac:dyDescent="0.25">
      <c r="A304" t="s">
        <v>888</v>
      </c>
      <c r="B304">
        <v>1</v>
      </c>
    </row>
    <row r="305" spans="1:2" x14ac:dyDescent="0.25">
      <c r="A305" s="19" t="s">
        <v>888</v>
      </c>
      <c r="B305">
        <v>1</v>
      </c>
    </row>
    <row r="306" spans="1:2" x14ac:dyDescent="0.25">
      <c r="A306" s="19" t="s">
        <v>1594</v>
      </c>
      <c r="B306">
        <v>1</v>
      </c>
    </row>
    <row r="307" spans="1:2" x14ac:dyDescent="0.25">
      <c r="A307" t="s">
        <v>800</v>
      </c>
      <c r="B307">
        <v>1</v>
      </c>
    </row>
    <row r="308" spans="1:2" x14ac:dyDescent="0.25">
      <c r="A308" s="19" t="s">
        <v>800</v>
      </c>
      <c r="B308">
        <v>1</v>
      </c>
    </row>
    <row r="309" spans="1:2" x14ac:dyDescent="0.25">
      <c r="A309" t="s">
        <v>1594</v>
      </c>
      <c r="B309">
        <v>1</v>
      </c>
    </row>
    <row r="310" spans="1:2" x14ac:dyDescent="0.25">
      <c r="A310" s="19" t="s">
        <v>393</v>
      </c>
      <c r="B310">
        <v>1</v>
      </c>
    </row>
    <row r="311" spans="1:2" x14ac:dyDescent="0.25">
      <c r="A311" s="19" t="s">
        <v>1594</v>
      </c>
      <c r="B311">
        <v>1</v>
      </c>
    </row>
    <row r="312" spans="1:2" x14ac:dyDescent="0.25">
      <c r="A312" s="19" t="s">
        <v>630</v>
      </c>
      <c r="B312">
        <v>1</v>
      </c>
    </row>
    <row r="313" spans="1:2" x14ac:dyDescent="0.25">
      <c r="A313" s="19" t="s">
        <v>630</v>
      </c>
      <c r="B313">
        <v>1</v>
      </c>
    </row>
    <row r="314" spans="1:2" x14ac:dyDescent="0.25">
      <c r="A314" s="19" t="s">
        <v>630</v>
      </c>
      <c r="B314">
        <v>1</v>
      </c>
    </row>
    <row r="315" spans="1:2" x14ac:dyDescent="0.25">
      <c r="A315" t="s">
        <v>630</v>
      </c>
      <c r="B315">
        <v>1</v>
      </c>
    </row>
    <row r="316" spans="1:2" x14ac:dyDescent="0.25">
      <c r="A316" s="19" t="s">
        <v>630</v>
      </c>
      <c r="B316">
        <v>1</v>
      </c>
    </row>
    <row r="317" spans="1:2" x14ac:dyDescent="0.25">
      <c r="A317" s="19" t="s">
        <v>1594</v>
      </c>
      <c r="B317">
        <v>1</v>
      </c>
    </row>
    <row r="318" spans="1:2" x14ac:dyDescent="0.25">
      <c r="A318" s="19" t="s">
        <v>630</v>
      </c>
      <c r="B318">
        <v>1</v>
      </c>
    </row>
    <row r="319" spans="1:2" x14ac:dyDescent="0.25">
      <c r="A319" s="19" t="s">
        <v>630</v>
      </c>
      <c r="B319">
        <v>1</v>
      </c>
    </row>
    <row r="320" spans="1:2" x14ac:dyDescent="0.25">
      <c r="A320" s="19" t="s">
        <v>630</v>
      </c>
      <c r="B320">
        <v>1</v>
      </c>
    </row>
    <row r="321" spans="1:2" x14ac:dyDescent="0.25">
      <c r="A321" s="19" t="s">
        <v>630</v>
      </c>
      <c r="B321">
        <v>1</v>
      </c>
    </row>
    <row r="322" spans="1:2" x14ac:dyDescent="0.25">
      <c r="A322" s="19" t="s">
        <v>630</v>
      </c>
      <c r="B322">
        <v>1</v>
      </c>
    </row>
    <row r="323" spans="1:2" x14ac:dyDescent="0.25">
      <c r="A323" s="19" t="s">
        <v>630</v>
      </c>
      <c r="B323">
        <v>1</v>
      </c>
    </row>
    <row r="324" spans="1:2" x14ac:dyDescent="0.25">
      <c r="A324" s="19" t="s">
        <v>630</v>
      </c>
      <c r="B324">
        <v>1</v>
      </c>
    </row>
    <row r="325" spans="1:2" x14ac:dyDescent="0.25">
      <c r="A325" t="s">
        <v>630</v>
      </c>
      <c r="B325">
        <v>1</v>
      </c>
    </row>
    <row r="326" spans="1:2" x14ac:dyDescent="0.25">
      <c r="A326" s="19" t="s">
        <v>630</v>
      </c>
      <c r="B326">
        <v>1</v>
      </c>
    </row>
    <row r="327" spans="1:2" x14ac:dyDescent="0.25">
      <c r="A327" t="s">
        <v>1594</v>
      </c>
      <c r="B327">
        <v>1</v>
      </c>
    </row>
    <row r="328" spans="1:2" x14ac:dyDescent="0.25">
      <c r="A328" s="19" t="s">
        <v>932</v>
      </c>
      <c r="B328">
        <v>1</v>
      </c>
    </row>
    <row r="329" spans="1:2" x14ac:dyDescent="0.25">
      <c r="A329" t="s">
        <v>1594</v>
      </c>
      <c r="B329">
        <v>1</v>
      </c>
    </row>
    <row r="330" spans="1:2" x14ac:dyDescent="0.25">
      <c r="A330" s="19" t="s">
        <v>393</v>
      </c>
      <c r="B330">
        <v>1</v>
      </c>
    </row>
    <row r="331" spans="1:2" x14ac:dyDescent="0.25">
      <c r="A331" t="s">
        <v>1594</v>
      </c>
      <c r="B331">
        <v>1</v>
      </c>
    </row>
    <row r="332" spans="1:2" x14ac:dyDescent="0.25">
      <c r="A332" s="19" t="s">
        <v>393</v>
      </c>
      <c r="B332">
        <v>1</v>
      </c>
    </row>
    <row r="333" spans="1:2" x14ac:dyDescent="0.25">
      <c r="A333" s="19" t="s">
        <v>1594</v>
      </c>
      <c r="B333">
        <v>1</v>
      </c>
    </row>
    <row r="334" spans="1:2" x14ac:dyDescent="0.25">
      <c r="A334" t="s">
        <v>748</v>
      </c>
      <c r="B334">
        <v>1</v>
      </c>
    </row>
    <row r="335" spans="1:2" x14ac:dyDescent="0.25">
      <c r="A335" s="19" t="s">
        <v>748</v>
      </c>
      <c r="B335">
        <v>1</v>
      </c>
    </row>
    <row r="336" spans="1:2" x14ac:dyDescent="0.25">
      <c r="A336" s="19" t="s">
        <v>1594</v>
      </c>
      <c r="B336">
        <v>1</v>
      </c>
    </row>
    <row r="337" spans="1:2" x14ac:dyDescent="0.25">
      <c r="A337" t="s">
        <v>947</v>
      </c>
      <c r="B337">
        <v>1</v>
      </c>
    </row>
    <row r="338" spans="1:2" x14ac:dyDescent="0.25">
      <c r="A338" s="19" t="s">
        <v>947</v>
      </c>
      <c r="B338">
        <v>1</v>
      </c>
    </row>
    <row r="339" spans="1:2" x14ac:dyDescent="0.25">
      <c r="A339" s="19" t="s">
        <v>1594</v>
      </c>
      <c r="B339">
        <v>1</v>
      </c>
    </row>
    <row r="340" spans="1:2" x14ac:dyDescent="0.25">
      <c r="A340" t="s">
        <v>947</v>
      </c>
      <c r="B340">
        <v>1</v>
      </c>
    </row>
    <row r="341" spans="1:2" x14ac:dyDescent="0.25">
      <c r="A341" s="19" t="s">
        <v>947</v>
      </c>
      <c r="B341">
        <v>1</v>
      </c>
    </row>
    <row r="342" spans="1:2" x14ac:dyDescent="0.25">
      <c r="A342" t="s">
        <v>1594</v>
      </c>
      <c r="B342">
        <v>1</v>
      </c>
    </row>
    <row r="343" spans="1:2" x14ac:dyDescent="0.25">
      <c r="A343" s="19" t="s">
        <v>393</v>
      </c>
      <c r="B343">
        <v>1</v>
      </c>
    </row>
    <row r="344" spans="1:2" x14ac:dyDescent="0.25">
      <c r="A344" t="s">
        <v>1594</v>
      </c>
      <c r="B344">
        <v>1</v>
      </c>
    </row>
    <row r="345" spans="1:2" x14ac:dyDescent="0.25">
      <c r="A345" s="19" t="s">
        <v>792</v>
      </c>
      <c r="B345">
        <v>1</v>
      </c>
    </row>
    <row r="346" spans="1:2" x14ac:dyDescent="0.25">
      <c r="A346" t="s">
        <v>1594</v>
      </c>
      <c r="B346">
        <v>1</v>
      </c>
    </row>
    <row r="347" spans="1:2" x14ac:dyDescent="0.25">
      <c r="A347" s="19" t="s">
        <v>393</v>
      </c>
      <c r="B347">
        <v>1</v>
      </c>
    </row>
    <row r="348" spans="1:2" x14ac:dyDescent="0.25">
      <c r="A348" s="19" t="s">
        <v>1594</v>
      </c>
      <c r="B348">
        <v>1</v>
      </c>
    </row>
    <row r="349" spans="1:2" x14ac:dyDescent="0.25">
      <c r="A349" t="s">
        <v>748</v>
      </c>
      <c r="B349">
        <v>1</v>
      </c>
    </row>
    <row r="350" spans="1:2" x14ac:dyDescent="0.25">
      <c r="A350" s="19" t="s">
        <v>748</v>
      </c>
      <c r="B350">
        <v>1</v>
      </c>
    </row>
    <row r="351" spans="1:2" x14ac:dyDescent="0.25">
      <c r="A351" s="19" t="s">
        <v>1594</v>
      </c>
      <c r="B351">
        <v>1</v>
      </c>
    </row>
    <row r="352" spans="1:2" x14ac:dyDescent="0.25">
      <c r="A352" t="s">
        <v>748</v>
      </c>
      <c r="B352">
        <v>1</v>
      </c>
    </row>
    <row r="353" spans="1:2" x14ac:dyDescent="0.25">
      <c r="A353" s="19" t="s">
        <v>748</v>
      </c>
      <c r="B353">
        <v>1</v>
      </c>
    </row>
    <row r="354" spans="1:2" x14ac:dyDescent="0.25">
      <c r="A354" s="19" t="s">
        <v>1594</v>
      </c>
      <c r="B354">
        <v>1</v>
      </c>
    </row>
    <row r="355" spans="1:2" x14ac:dyDescent="0.25">
      <c r="A355" t="s">
        <v>748</v>
      </c>
      <c r="B355">
        <v>1</v>
      </c>
    </row>
    <row r="356" spans="1:2" x14ac:dyDescent="0.25">
      <c r="A356" s="19" t="s">
        <v>748</v>
      </c>
      <c r="B356">
        <v>1</v>
      </c>
    </row>
    <row r="357" spans="1:2" x14ac:dyDescent="0.25">
      <c r="A357" t="s">
        <v>1594</v>
      </c>
      <c r="B357">
        <v>1</v>
      </c>
    </row>
    <row r="358" spans="1:2" x14ac:dyDescent="0.25">
      <c r="A358" s="19" t="s">
        <v>972</v>
      </c>
      <c r="B358">
        <v>1</v>
      </c>
    </row>
    <row r="359" spans="1:2" x14ac:dyDescent="0.25">
      <c r="A359" s="19" t="s">
        <v>1594</v>
      </c>
      <c r="B359">
        <v>1</v>
      </c>
    </row>
    <row r="360" spans="1:2" x14ac:dyDescent="0.25">
      <c r="A360" t="s">
        <v>738</v>
      </c>
      <c r="B360">
        <v>1</v>
      </c>
    </row>
    <row r="361" spans="1:2" x14ac:dyDescent="0.25">
      <c r="A361" s="19" t="s">
        <v>738</v>
      </c>
      <c r="B361">
        <v>1</v>
      </c>
    </row>
    <row r="362" spans="1:2" x14ac:dyDescent="0.25">
      <c r="A362" s="19" t="s">
        <v>1594</v>
      </c>
      <c r="B362">
        <v>1</v>
      </c>
    </row>
    <row r="363" spans="1:2" x14ac:dyDescent="0.25">
      <c r="A363" s="19" t="s">
        <v>982</v>
      </c>
      <c r="B363">
        <v>1</v>
      </c>
    </row>
    <row r="364" spans="1:2" x14ac:dyDescent="0.25">
      <c r="A364" s="19" t="s">
        <v>982</v>
      </c>
      <c r="B364">
        <v>1</v>
      </c>
    </row>
    <row r="365" spans="1:2" x14ac:dyDescent="0.25">
      <c r="A365" s="19" t="s">
        <v>982</v>
      </c>
      <c r="B365">
        <v>1</v>
      </c>
    </row>
    <row r="366" spans="1:2" x14ac:dyDescent="0.25">
      <c r="A366" s="19" t="s">
        <v>982</v>
      </c>
      <c r="B366">
        <v>1</v>
      </c>
    </row>
    <row r="367" spans="1:2" x14ac:dyDescent="0.25">
      <c r="A367" s="19" t="s">
        <v>982</v>
      </c>
      <c r="B367">
        <v>1</v>
      </c>
    </row>
    <row r="368" spans="1:2" x14ac:dyDescent="0.25">
      <c r="A368" s="19" t="s">
        <v>982</v>
      </c>
      <c r="B368">
        <v>1</v>
      </c>
    </row>
    <row r="369" spans="1:2" x14ac:dyDescent="0.25">
      <c r="A369" s="19" t="s">
        <v>982</v>
      </c>
      <c r="B369">
        <v>1</v>
      </c>
    </row>
    <row r="370" spans="1:2" x14ac:dyDescent="0.25">
      <c r="A370" s="19" t="s">
        <v>982</v>
      </c>
      <c r="B370">
        <v>1</v>
      </c>
    </row>
    <row r="371" spans="1:2" x14ac:dyDescent="0.25">
      <c r="A371" s="19" t="s">
        <v>982</v>
      </c>
      <c r="B371">
        <v>1</v>
      </c>
    </row>
    <row r="372" spans="1:2" x14ac:dyDescent="0.25">
      <c r="A372" s="19" t="s">
        <v>982</v>
      </c>
      <c r="B372">
        <v>1</v>
      </c>
    </row>
    <row r="373" spans="1:2" x14ac:dyDescent="0.25">
      <c r="A373" s="19" t="s">
        <v>982</v>
      </c>
      <c r="B373">
        <v>1</v>
      </c>
    </row>
    <row r="374" spans="1:2" x14ac:dyDescent="0.25">
      <c r="A374" s="19" t="s">
        <v>982</v>
      </c>
      <c r="B374">
        <v>1</v>
      </c>
    </row>
    <row r="375" spans="1:2" x14ac:dyDescent="0.25">
      <c r="A375" s="19" t="s">
        <v>982</v>
      </c>
      <c r="B375">
        <v>1</v>
      </c>
    </row>
    <row r="376" spans="1:2" x14ac:dyDescent="0.25">
      <c r="A376" s="19" t="s">
        <v>982</v>
      </c>
      <c r="B376">
        <v>1</v>
      </c>
    </row>
    <row r="377" spans="1:2" x14ac:dyDescent="0.25">
      <c r="A377" s="19" t="s">
        <v>982</v>
      </c>
      <c r="B377">
        <v>1</v>
      </c>
    </row>
    <row r="378" spans="1:2" x14ac:dyDescent="0.25">
      <c r="A378" s="19" t="s">
        <v>982</v>
      </c>
      <c r="B378">
        <v>1</v>
      </c>
    </row>
    <row r="379" spans="1:2" x14ac:dyDescent="0.25">
      <c r="A379" s="19" t="s">
        <v>982</v>
      </c>
      <c r="B379">
        <v>1</v>
      </c>
    </row>
    <row r="380" spans="1:2" x14ac:dyDescent="0.25">
      <c r="A380" s="19" t="s">
        <v>982</v>
      </c>
      <c r="B380">
        <v>1</v>
      </c>
    </row>
    <row r="381" spans="1:2" x14ac:dyDescent="0.25">
      <c r="A381" s="19" t="s">
        <v>982</v>
      </c>
      <c r="B381">
        <v>1</v>
      </c>
    </row>
    <row r="382" spans="1:2" x14ac:dyDescent="0.25">
      <c r="A382" s="19" t="s">
        <v>982</v>
      </c>
      <c r="B382">
        <v>1</v>
      </c>
    </row>
    <row r="383" spans="1:2" x14ac:dyDescent="0.25">
      <c r="A383" s="19" t="s">
        <v>982</v>
      </c>
      <c r="B383">
        <v>1</v>
      </c>
    </row>
    <row r="384" spans="1:2" x14ac:dyDescent="0.25">
      <c r="A384" s="19" t="s">
        <v>982</v>
      </c>
      <c r="B384">
        <v>1</v>
      </c>
    </row>
    <row r="385" spans="1:2" x14ac:dyDescent="0.25">
      <c r="A385" s="19" t="s">
        <v>982</v>
      </c>
      <c r="B385">
        <v>1</v>
      </c>
    </row>
    <row r="386" spans="1:2" x14ac:dyDescent="0.25">
      <c r="A386" s="19" t="s">
        <v>982</v>
      </c>
      <c r="B386">
        <v>1</v>
      </c>
    </row>
    <row r="387" spans="1:2" x14ac:dyDescent="0.25">
      <c r="A387" s="19" t="s">
        <v>982</v>
      </c>
      <c r="B387">
        <v>1</v>
      </c>
    </row>
    <row r="388" spans="1:2" x14ac:dyDescent="0.25">
      <c r="A388" s="19" t="s">
        <v>982</v>
      </c>
      <c r="B388">
        <v>1</v>
      </c>
    </row>
    <row r="389" spans="1:2" x14ac:dyDescent="0.25">
      <c r="A389" s="19" t="s">
        <v>982</v>
      </c>
      <c r="B389">
        <v>1</v>
      </c>
    </row>
    <row r="390" spans="1:2" x14ac:dyDescent="0.25">
      <c r="A390" s="19" t="s">
        <v>982</v>
      </c>
      <c r="B390">
        <v>1</v>
      </c>
    </row>
    <row r="391" spans="1:2" x14ac:dyDescent="0.25">
      <c r="A391" s="19" t="s">
        <v>982</v>
      </c>
      <c r="B391">
        <v>1</v>
      </c>
    </row>
    <row r="392" spans="1:2" x14ac:dyDescent="0.25">
      <c r="A392" s="19" t="s">
        <v>982</v>
      </c>
      <c r="B392">
        <v>1</v>
      </c>
    </row>
    <row r="393" spans="1:2" x14ac:dyDescent="0.25">
      <c r="A393" s="19" t="s">
        <v>982</v>
      </c>
      <c r="B393">
        <v>1</v>
      </c>
    </row>
    <row r="394" spans="1:2" x14ac:dyDescent="0.25">
      <c r="A394" s="19" t="s">
        <v>982</v>
      </c>
      <c r="B394">
        <v>1</v>
      </c>
    </row>
    <row r="395" spans="1:2" x14ac:dyDescent="0.25">
      <c r="A395" s="19" t="s">
        <v>982</v>
      </c>
      <c r="B395">
        <v>1</v>
      </c>
    </row>
    <row r="396" spans="1:2" x14ac:dyDescent="0.25">
      <c r="A396" s="19" t="s">
        <v>982</v>
      </c>
      <c r="B396">
        <v>1</v>
      </c>
    </row>
    <row r="397" spans="1:2" x14ac:dyDescent="0.25">
      <c r="A397" s="19" t="s">
        <v>982</v>
      </c>
      <c r="B397">
        <v>1</v>
      </c>
    </row>
    <row r="398" spans="1:2" x14ac:dyDescent="0.25">
      <c r="A398" s="19" t="s">
        <v>982</v>
      </c>
      <c r="B398">
        <v>1</v>
      </c>
    </row>
    <row r="399" spans="1:2" x14ac:dyDescent="0.25">
      <c r="A399" s="19" t="s">
        <v>982</v>
      </c>
      <c r="B399">
        <v>1</v>
      </c>
    </row>
    <row r="400" spans="1:2" x14ac:dyDescent="0.25">
      <c r="A400" s="19" t="s">
        <v>982</v>
      </c>
      <c r="B400">
        <v>1</v>
      </c>
    </row>
    <row r="401" spans="1:2" x14ac:dyDescent="0.25">
      <c r="A401" s="19" t="s">
        <v>982</v>
      </c>
      <c r="B401">
        <v>1</v>
      </c>
    </row>
    <row r="402" spans="1:2" x14ac:dyDescent="0.25">
      <c r="A402" s="19" t="s">
        <v>982</v>
      </c>
      <c r="B402">
        <v>1</v>
      </c>
    </row>
    <row r="403" spans="1:2" x14ac:dyDescent="0.25">
      <c r="A403" s="19" t="s">
        <v>982</v>
      </c>
      <c r="B403">
        <v>1</v>
      </c>
    </row>
    <row r="404" spans="1:2" x14ac:dyDescent="0.25">
      <c r="A404" s="19" t="s">
        <v>982</v>
      </c>
      <c r="B404">
        <v>1</v>
      </c>
    </row>
    <row r="405" spans="1:2" x14ac:dyDescent="0.25">
      <c r="A405" s="19" t="s">
        <v>982</v>
      </c>
      <c r="B405">
        <v>1</v>
      </c>
    </row>
    <row r="406" spans="1:2" x14ac:dyDescent="0.25">
      <c r="A406" s="19" t="s">
        <v>982</v>
      </c>
      <c r="B406">
        <v>1</v>
      </c>
    </row>
    <row r="407" spans="1:2" x14ac:dyDescent="0.25">
      <c r="A407" s="19" t="s">
        <v>982</v>
      </c>
      <c r="B407">
        <v>1</v>
      </c>
    </row>
    <row r="408" spans="1:2" x14ac:dyDescent="0.25">
      <c r="A408" s="19" t="s">
        <v>982</v>
      </c>
      <c r="B408">
        <v>1</v>
      </c>
    </row>
    <row r="409" spans="1:2" x14ac:dyDescent="0.25">
      <c r="A409" s="19" t="s">
        <v>982</v>
      </c>
      <c r="B409">
        <v>1</v>
      </c>
    </row>
    <row r="410" spans="1:2" x14ac:dyDescent="0.25">
      <c r="A410" s="19" t="s">
        <v>982</v>
      </c>
      <c r="B410">
        <v>1</v>
      </c>
    </row>
    <row r="411" spans="1:2" x14ac:dyDescent="0.25">
      <c r="A411" s="19" t="s">
        <v>982</v>
      </c>
      <c r="B411">
        <v>1</v>
      </c>
    </row>
    <row r="412" spans="1:2" x14ac:dyDescent="0.25">
      <c r="A412" s="19" t="s">
        <v>982</v>
      </c>
      <c r="B412">
        <v>1</v>
      </c>
    </row>
    <row r="413" spans="1:2" x14ac:dyDescent="0.25">
      <c r="A413" s="19" t="s">
        <v>982</v>
      </c>
      <c r="B413">
        <v>1</v>
      </c>
    </row>
    <row r="414" spans="1:2" x14ac:dyDescent="0.25">
      <c r="A414" s="19" t="s">
        <v>982</v>
      </c>
      <c r="B414">
        <v>1</v>
      </c>
    </row>
    <row r="415" spans="1:2" x14ac:dyDescent="0.25">
      <c r="A415" s="19" t="s">
        <v>982</v>
      </c>
      <c r="B415">
        <v>1</v>
      </c>
    </row>
    <row r="416" spans="1:2" x14ac:dyDescent="0.25">
      <c r="A416" s="19" t="s">
        <v>982</v>
      </c>
      <c r="B416">
        <v>1</v>
      </c>
    </row>
    <row r="417" spans="1:2" x14ac:dyDescent="0.25">
      <c r="A417" s="19" t="s">
        <v>982</v>
      </c>
      <c r="B417">
        <v>1</v>
      </c>
    </row>
    <row r="418" spans="1:2" x14ac:dyDescent="0.25">
      <c r="A418" s="19" t="s">
        <v>982</v>
      </c>
      <c r="B418">
        <v>1</v>
      </c>
    </row>
    <row r="419" spans="1:2" x14ac:dyDescent="0.25">
      <c r="A419" s="19" t="s">
        <v>982</v>
      </c>
      <c r="B419">
        <v>1</v>
      </c>
    </row>
    <row r="420" spans="1:2" x14ac:dyDescent="0.25">
      <c r="A420" s="19" t="s">
        <v>982</v>
      </c>
      <c r="B420">
        <v>1</v>
      </c>
    </row>
    <row r="421" spans="1:2" x14ac:dyDescent="0.25">
      <c r="A421" s="19" t="s">
        <v>982</v>
      </c>
      <c r="B421">
        <v>1</v>
      </c>
    </row>
    <row r="422" spans="1:2" x14ac:dyDescent="0.25">
      <c r="A422" s="19" t="s">
        <v>982</v>
      </c>
      <c r="B422">
        <v>1</v>
      </c>
    </row>
    <row r="423" spans="1:2" x14ac:dyDescent="0.25">
      <c r="A423" s="19" t="s">
        <v>982</v>
      </c>
      <c r="B423">
        <v>1</v>
      </c>
    </row>
    <row r="424" spans="1:2" x14ac:dyDescent="0.25">
      <c r="A424" s="19" t="s">
        <v>982</v>
      </c>
      <c r="B424">
        <v>1</v>
      </c>
    </row>
    <row r="425" spans="1:2" x14ac:dyDescent="0.25">
      <c r="A425" s="19" t="s">
        <v>982</v>
      </c>
      <c r="B425">
        <v>1</v>
      </c>
    </row>
    <row r="426" spans="1:2" x14ac:dyDescent="0.25">
      <c r="A426" s="19" t="s">
        <v>982</v>
      </c>
      <c r="B426">
        <v>1</v>
      </c>
    </row>
    <row r="427" spans="1:2" x14ac:dyDescent="0.25">
      <c r="A427" s="19" t="s">
        <v>982</v>
      </c>
      <c r="B427">
        <v>1</v>
      </c>
    </row>
    <row r="428" spans="1:2" x14ac:dyDescent="0.25">
      <c r="A428" s="19" t="s">
        <v>982</v>
      </c>
      <c r="B428">
        <v>1</v>
      </c>
    </row>
    <row r="429" spans="1:2" x14ac:dyDescent="0.25">
      <c r="A429" s="19" t="s">
        <v>982</v>
      </c>
      <c r="B429">
        <v>1</v>
      </c>
    </row>
    <row r="430" spans="1:2" x14ac:dyDescent="0.25">
      <c r="A430" s="19" t="s">
        <v>982</v>
      </c>
      <c r="B430">
        <v>1</v>
      </c>
    </row>
    <row r="431" spans="1:2" x14ac:dyDescent="0.25">
      <c r="A431" s="19" t="s">
        <v>982</v>
      </c>
      <c r="B431">
        <v>1</v>
      </c>
    </row>
    <row r="432" spans="1:2" x14ac:dyDescent="0.25">
      <c r="A432" s="19" t="s">
        <v>982</v>
      </c>
      <c r="B432">
        <v>1</v>
      </c>
    </row>
    <row r="433" spans="1:2" x14ac:dyDescent="0.25">
      <c r="A433" s="19" t="s">
        <v>982</v>
      </c>
      <c r="B433">
        <v>1</v>
      </c>
    </row>
    <row r="434" spans="1:2" x14ac:dyDescent="0.25">
      <c r="A434" s="19" t="s">
        <v>982</v>
      </c>
      <c r="B434">
        <v>1</v>
      </c>
    </row>
    <row r="435" spans="1:2" x14ac:dyDescent="0.25">
      <c r="A435" s="19" t="s">
        <v>982</v>
      </c>
      <c r="B435">
        <v>1</v>
      </c>
    </row>
    <row r="436" spans="1:2" x14ac:dyDescent="0.25">
      <c r="A436" s="19" t="s">
        <v>982</v>
      </c>
      <c r="B436">
        <v>1</v>
      </c>
    </row>
    <row r="437" spans="1:2" x14ac:dyDescent="0.25">
      <c r="A437" s="19" t="s">
        <v>982</v>
      </c>
      <c r="B437">
        <v>1</v>
      </c>
    </row>
    <row r="438" spans="1:2" x14ac:dyDescent="0.25">
      <c r="A438" s="19" t="s">
        <v>982</v>
      </c>
      <c r="B438">
        <v>1</v>
      </c>
    </row>
    <row r="439" spans="1:2" x14ac:dyDescent="0.25">
      <c r="A439" s="19" t="s">
        <v>982</v>
      </c>
      <c r="B439">
        <v>1</v>
      </c>
    </row>
    <row r="440" spans="1:2" x14ac:dyDescent="0.25">
      <c r="A440" s="19" t="s">
        <v>982</v>
      </c>
      <c r="B440">
        <v>1</v>
      </c>
    </row>
    <row r="441" spans="1:2" x14ac:dyDescent="0.25">
      <c r="A441" s="19" t="s">
        <v>982</v>
      </c>
      <c r="B441">
        <v>1</v>
      </c>
    </row>
    <row r="442" spans="1:2" x14ac:dyDescent="0.25">
      <c r="A442" s="19" t="s">
        <v>982</v>
      </c>
      <c r="B442">
        <v>1</v>
      </c>
    </row>
    <row r="443" spans="1:2" x14ac:dyDescent="0.25">
      <c r="A443" s="19" t="s">
        <v>982</v>
      </c>
      <c r="B443">
        <v>1</v>
      </c>
    </row>
    <row r="444" spans="1:2" x14ac:dyDescent="0.25">
      <c r="A444" s="19" t="s">
        <v>982</v>
      </c>
      <c r="B444">
        <v>1</v>
      </c>
    </row>
    <row r="445" spans="1:2" x14ac:dyDescent="0.25">
      <c r="A445" s="19" t="s">
        <v>982</v>
      </c>
      <c r="B445">
        <v>1</v>
      </c>
    </row>
    <row r="446" spans="1:2" x14ac:dyDescent="0.25">
      <c r="A446" s="19" t="s">
        <v>982</v>
      </c>
      <c r="B446">
        <v>1</v>
      </c>
    </row>
    <row r="447" spans="1:2" x14ac:dyDescent="0.25">
      <c r="A447" s="19" t="s">
        <v>982</v>
      </c>
      <c r="B447">
        <v>1</v>
      </c>
    </row>
    <row r="448" spans="1:2" x14ac:dyDescent="0.25">
      <c r="A448" s="19" t="s">
        <v>982</v>
      </c>
      <c r="B448">
        <v>1</v>
      </c>
    </row>
    <row r="449" spans="1:2" x14ac:dyDescent="0.25">
      <c r="A449" s="19" t="s">
        <v>982</v>
      </c>
      <c r="B449">
        <v>1</v>
      </c>
    </row>
    <row r="450" spans="1:2" x14ac:dyDescent="0.25">
      <c r="A450" s="19" t="s">
        <v>982</v>
      </c>
      <c r="B450">
        <v>1</v>
      </c>
    </row>
    <row r="451" spans="1:2" x14ac:dyDescent="0.25">
      <c r="A451" s="19" t="s">
        <v>982</v>
      </c>
      <c r="B451">
        <v>1</v>
      </c>
    </row>
    <row r="452" spans="1:2" x14ac:dyDescent="0.25">
      <c r="A452" s="19" t="s">
        <v>982</v>
      </c>
      <c r="B452">
        <v>1</v>
      </c>
    </row>
    <row r="453" spans="1:2" x14ac:dyDescent="0.25">
      <c r="A453" s="19" t="s">
        <v>982</v>
      </c>
      <c r="B453">
        <v>1</v>
      </c>
    </row>
    <row r="454" spans="1:2" x14ac:dyDescent="0.25">
      <c r="A454" s="19" t="s">
        <v>982</v>
      </c>
      <c r="B454">
        <v>1</v>
      </c>
    </row>
    <row r="455" spans="1:2" x14ac:dyDescent="0.25">
      <c r="A455" s="19" t="s">
        <v>982</v>
      </c>
      <c r="B455">
        <v>1</v>
      </c>
    </row>
    <row r="456" spans="1:2" x14ac:dyDescent="0.25">
      <c r="A456" s="19" t="s">
        <v>982</v>
      </c>
      <c r="B456">
        <v>1</v>
      </c>
    </row>
    <row r="457" spans="1:2" x14ac:dyDescent="0.25">
      <c r="A457" s="19" t="s">
        <v>982</v>
      </c>
      <c r="B457">
        <v>1</v>
      </c>
    </row>
    <row r="458" spans="1:2" x14ac:dyDescent="0.25">
      <c r="A458" s="19" t="s">
        <v>982</v>
      </c>
      <c r="B458">
        <v>1</v>
      </c>
    </row>
    <row r="459" spans="1:2" x14ac:dyDescent="0.25">
      <c r="A459" s="19" t="s">
        <v>982</v>
      </c>
      <c r="B459">
        <v>1</v>
      </c>
    </row>
    <row r="460" spans="1:2" x14ac:dyDescent="0.25">
      <c r="A460" s="19" t="s">
        <v>982</v>
      </c>
      <c r="B460">
        <v>1</v>
      </c>
    </row>
    <row r="461" spans="1:2" x14ac:dyDescent="0.25">
      <c r="A461" s="19" t="s">
        <v>982</v>
      </c>
      <c r="B461">
        <v>1</v>
      </c>
    </row>
    <row r="462" spans="1:2" x14ac:dyDescent="0.25">
      <c r="A462" s="95" t="s">
        <v>982</v>
      </c>
      <c r="B462">
        <v>1</v>
      </c>
    </row>
    <row r="463" spans="1:2" x14ac:dyDescent="0.25">
      <c r="A463" s="95" t="s">
        <v>982</v>
      </c>
      <c r="B463">
        <v>1</v>
      </c>
    </row>
    <row r="464" spans="1:2" x14ac:dyDescent="0.25">
      <c r="A464" t="s">
        <v>982</v>
      </c>
      <c r="B464">
        <v>1</v>
      </c>
    </row>
    <row r="465" spans="1:2" x14ac:dyDescent="0.25">
      <c r="A465" s="19" t="s">
        <v>982</v>
      </c>
      <c r="B465">
        <v>1</v>
      </c>
    </row>
    <row r="466" spans="1:2" x14ac:dyDescent="0.25">
      <c r="A466" s="19" t="s">
        <v>1594</v>
      </c>
      <c r="B466">
        <v>1</v>
      </c>
    </row>
    <row r="467" spans="1:2" x14ac:dyDescent="0.25">
      <c r="A467" s="19" t="s">
        <v>1080</v>
      </c>
      <c r="B467">
        <v>1</v>
      </c>
    </row>
    <row r="468" spans="1:2" x14ac:dyDescent="0.25">
      <c r="A468" s="19" t="s">
        <v>1087</v>
      </c>
      <c r="B468">
        <v>1</v>
      </c>
    </row>
    <row r="469" spans="1:2" x14ac:dyDescent="0.25">
      <c r="A469" t="s">
        <v>1092</v>
      </c>
      <c r="B469">
        <v>1</v>
      </c>
    </row>
    <row r="470" spans="1:2" x14ac:dyDescent="0.25">
      <c r="A470" s="29" t="s">
        <v>1077</v>
      </c>
      <c r="B470">
        <v>1</v>
      </c>
    </row>
    <row r="471" spans="1:2" x14ac:dyDescent="0.25">
      <c r="A471" s="29" t="s">
        <v>1594</v>
      </c>
      <c r="B471">
        <v>1</v>
      </c>
    </row>
    <row r="472" spans="1:2" x14ac:dyDescent="0.25">
      <c r="A472" s="29" t="s">
        <v>1077</v>
      </c>
      <c r="B472">
        <v>1</v>
      </c>
    </row>
    <row r="473" spans="1:2" x14ac:dyDescent="0.25">
      <c r="A473" t="s">
        <v>1077</v>
      </c>
      <c r="B473">
        <v>1</v>
      </c>
    </row>
    <row r="474" spans="1:2" x14ac:dyDescent="0.25">
      <c r="A474" s="29" t="s">
        <v>1077</v>
      </c>
      <c r="B474">
        <v>1</v>
      </c>
    </row>
    <row r="475" spans="1:2" x14ac:dyDescent="0.25">
      <c r="A475" s="29" t="s">
        <v>1594</v>
      </c>
      <c r="B475">
        <v>1</v>
      </c>
    </row>
    <row r="476" spans="1:2" x14ac:dyDescent="0.25">
      <c r="A476" s="29" t="s">
        <v>1077</v>
      </c>
      <c r="B476">
        <v>1</v>
      </c>
    </row>
    <row r="477" spans="1:2" x14ac:dyDescent="0.25">
      <c r="A477" s="29" t="s">
        <v>1077</v>
      </c>
      <c r="B477">
        <v>1</v>
      </c>
    </row>
    <row r="478" spans="1:2" x14ac:dyDescent="0.25">
      <c r="A478" t="s">
        <v>1077</v>
      </c>
      <c r="B478">
        <v>1</v>
      </c>
    </row>
    <row r="479" spans="1:2" x14ac:dyDescent="0.25">
      <c r="A479" s="29" t="s">
        <v>1077</v>
      </c>
      <c r="B479">
        <v>1</v>
      </c>
    </row>
    <row r="480" spans="1:2" x14ac:dyDescent="0.25">
      <c r="A480" s="29" t="s">
        <v>1594</v>
      </c>
      <c r="B480">
        <v>1</v>
      </c>
    </row>
    <row r="481" spans="1:2" x14ac:dyDescent="0.25">
      <c r="A481" s="29" t="s">
        <v>1092</v>
      </c>
      <c r="B481">
        <v>1</v>
      </c>
    </row>
    <row r="482" spans="1:2" x14ac:dyDescent="0.25">
      <c r="A482" s="29" t="s">
        <v>1092</v>
      </c>
      <c r="B482">
        <v>1</v>
      </c>
    </row>
    <row r="483" spans="1:2" x14ac:dyDescent="0.25">
      <c r="A483" t="s">
        <v>1092</v>
      </c>
      <c r="B483">
        <v>1</v>
      </c>
    </row>
    <row r="484" spans="1:2" x14ac:dyDescent="0.25">
      <c r="A484" s="19" t="s">
        <v>1092</v>
      </c>
      <c r="B484">
        <v>1</v>
      </c>
    </row>
    <row r="485" spans="1:2" x14ac:dyDescent="0.25">
      <c r="A485" s="19" t="s">
        <v>1594</v>
      </c>
      <c r="B485">
        <v>1</v>
      </c>
    </row>
    <row r="486" spans="1:2" x14ac:dyDescent="0.25">
      <c r="A486" s="19" t="s">
        <v>1135</v>
      </c>
      <c r="B486">
        <v>1</v>
      </c>
    </row>
    <row r="487" spans="1:2" x14ac:dyDescent="0.25">
      <c r="A487" s="19" t="s">
        <v>1135</v>
      </c>
      <c r="B487">
        <v>1</v>
      </c>
    </row>
    <row r="488" spans="1:2" x14ac:dyDescent="0.25">
      <c r="A488" t="s">
        <v>1135</v>
      </c>
      <c r="B488">
        <v>1</v>
      </c>
    </row>
    <row r="489" spans="1:2" x14ac:dyDescent="0.25">
      <c r="A489" s="19" t="s">
        <v>1080</v>
      </c>
      <c r="B489">
        <v>1</v>
      </c>
    </row>
    <row r="490" spans="1:2" x14ac:dyDescent="0.25">
      <c r="A490" s="19" t="s">
        <v>1594</v>
      </c>
      <c r="B490">
        <v>1</v>
      </c>
    </row>
    <row r="491" spans="1:2" x14ac:dyDescent="0.25">
      <c r="A491" s="19" t="s">
        <v>1080</v>
      </c>
      <c r="B491">
        <v>1</v>
      </c>
    </row>
    <row r="492" spans="1:2" x14ac:dyDescent="0.25">
      <c r="A492" s="19" t="s">
        <v>1080</v>
      </c>
      <c r="B492">
        <v>1</v>
      </c>
    </row>
    <row r="493" spans="1:2" x14ac:dyDescent="0.25">
      <c r="A493" t="s">
        <v>1080</v>
      </c>
      <c r="B493">
        <v>1</v>
      </c>
    </row>
    <row r="494" spans="1:2" x14ac:dyDescent="0.25">
      <c r="A494" s="19" t="s">
        <v>1080</v>
      </c>
      <c r="B494">
        <v>1</v>
      </c>
    </row>
    <row r="495" spans="1:2" x14ac:dyDescent="0.25">
      <c r="A495" s="19" t="s">
        <v>1594</v>
      </c>
      <c r="B495">
        <v>1</v>
      </c>
    </row>
    <row r="496" spans="1:2" x14ac:dyDescent="0.25">
      <c r="A496" s="19" t="s">
        <v>1135</v>
      </c>
      <c r="B496">
        <v>1</v>
      </c>
    </row>
    <row r="497" spans="1:2" x14ac:dyDescent="0.25">
      <c r="A497" s="19" t="s">
        <v>1135</v>
      </c>
      <c r="B497">
        <v>1</v>
      </c>
    </row>
    <row r="498" spans="1:2" x14ac:dyDescent="0.25">
      <c r="A498" t="s">
        <v>1135</v>
      </c>
      <c r="B498">
        <v>1</v>
      </c>
    </row>
    <row r="499" spans="1:2" x14ac:dyDescent="0.25">
      <c r="A499" s="19" t="s">
        <v>1135</v>
      </c>
      <c r="B499">
        <v>1</v>
      </c>
    </row>
    <row r="500" spans="1:2" x14ac:dyDescent="0.25">
      <c r="A500" s="19" t="s">
        <v>1594</v>
      </c>
      <c r="B500">
        <v>1</v>
      </c>
    </row>
    <row r="501" spans="1:2" x14ac:dyDescent="0.25">
      <c r="A501" s="19" t="s">
        <v>1135</v>
      </c>
      <c r="B501">
        <v>1</v>
      </c>
    </row>
    <row r="502" spans="1:2" x14ac:dyDescent="0.25">
      <c r="A502" t="s">
        <v>1135</v>
      </c>
      <c r="B502">
        <v>1</v>
      </c>
    </row>
    <row r="503" spans="1:2" x14ac:dyDescent="0.25">
      <c r="A503" s="19" t="s">
        <v>1135</v>
      </c>
      <c r="B503">
        <v>1</v>
      </c>
    </row>
    <row r="504" spans="1:2" x14ac:dyDescent="0.25">
      <c r="A504" s="19" t="s">
        <v>1594</v>
      </c>
      <c r="B504">
        <v>1</v>
      </c>
    </row>
    <row r="505" spans="1:2" x14ac:dyDescent="0.25">
      <c r="A505" s="19" t="s">
        <v>1135</v>
      </c>
      <c r="B505">
        <v>1</v>
      </c>
    </row>
    <row r="506" spans="1:2" x14ac:dyDescent="0.25">
      <c r="A506" t="s">
        <v>1135</v>
      </c>
      <c r="B506">
        <v>1</v>
      </c>
    </row>
    <row r="507" spans="1:2" x14ac:dyDescent="0.25">
      <c r="A507" s="19" t="s">
        <v>1135</v>
      </c>
      <c r="B507">
        <v>1</v>
      </c>
    </row>
    <row r="508" spans="1:2" x14ac:dyDescent="0.25">
      <c r="A508" s="19" t="s">
        <v>1594</v>
      </c>
      <c r="B508">
        <v>1</v>
      </c>
    </row>
    <row r="509" spans="1:2" x14ac:dyDescent="0.25">
      <c r="A509" s="19" t="s">
        <v>1092</v>
      </c>
      <c r="B509">
        <v>1</v>
      </c>
    </row>
    <row r="510" spans="1:2" x14ac:dyDescent="0.25">
      <c r="A510" s="19" t="s">
        <v>1092</v>
      </c>
      <c r="B510">
        <v>1</v>
      </c>
    </row>
    <row r="511" spans="1:2" x14ac:dyDescent="0.25">
      <c r="A511" s="19" t="s">
        <v>1092</v>
      </c>
      <c r="B511">
        <v>1</v>
      </c>
    </row>
    <row r="512" spans="1:2" x14ac:dyDescent="0.25">
      <c r="A512" s="19" t="s">
        <v>1092</v>
      </c>
      <c r="B512">
        <v>1</v>
      </c>
    </row>
    <row r="513" spans="1:2" x14ac:dyDescent="0.25">
      <c r="A513" t="s">
        <v>1092</v>
      </c>
      <c r="B513">
        <v>1</v>
      </c>
    </row>
    <row r="514" spans="1:2" x14ac:dyDescent="0.25">
      <c r="A514" s="19" t="s">
        <v>1092</v>
      </c>
      <c r="B514">
        <v>1</v>
      </c>
    </row>
    <row r="515" spans="1:2" x14ac:dyDescent="0.25">
      <c r="A515" s="19" t="s">
        <v>1594</v>
      </c>
      <c r="B515">
        <v>1</v>
      </c>
    </row>
    <row r="516" spans="1:2" x14ac:dyDescent="0.25">
      <c r="A516" s="19" t="s">
        <v>1217</v>
      </c>
      <c r="B516">
        <v>1</v>
      </c>
    </row>
    <row r="517" spans="1:2" x14ac:dyDescent="0.25">
      <c r="A517" s="19" t="s">
        <v>1217</v>
      </c>
      <c r="B517">
        <v>1</v>
      </c>
    </row>
    <row r="518" spans="1:2" x14ac:dyDescent="0.25">
      <c r="A518" s="19" t="s">
        <v>1217</v>
      </c>
      <c r="B518">
        <v>1</v>
      </c>
    </row>
    <row r="519" spans="1:2" x14ac:dyDescent="0.25">
      <c r="A519" s="19" t="s">
        <v>1217</v>
      </c>
      <c r="B519">
        <v>1</v>
      </c>
    </row>
    <row r="520" spans="1:2" x14ac:dyDescent="0.25">
      <c r="A520" s="19" t="s">
        <v>1217</v>
      </c>
      <c r="B520">
        <v>1</v>
      </c>
    </row>
    <row r="521" spans="1:2" x14ac:dyDescent="0.25">
      <c r="A521" s="19" t="s">
        <v>1217</v>
      </c>
      <c r="B521">
        <v>1</v>
      </c>
    </row>
    <row r="522" spans="1:2" x14ac:dyDescent="0.25">
      <c r="A522" s="19" t="s">
        <v>1217</v>
      </c>
      <c r="B522">
        <v>1</v>
      </c>
    </row>
    <row r="523" spans="1:2" x14ac:dyDescent="0.25">
      <c r="A523" s="19" t="s">
        <v>1217</v>
      </c>
      <c r="B523">
        <v>1</v>
      </c>
    </row>
    <row r="524" spans="1:2" x14ac:dyDescent="0.25">
      <c r="A524" s="19" t="s">
        <v>1217</v>
      </c>
      <c r="B524">
        <v>1</v>
      </c>
    </row>
    <row r="525" spans="1:2" x14ac:dyDescent="0.25">
      <c r="A525" s="19" t="s">
        <v>1217</v>
      </c>
      <c r="B525">
        <v>1</v>
      </c>
    </row>
    <row r="526" spans="1:2" x14ac:dyDescent="0.25">
      <c r="A526" s="19" t="s">
        <v>1217</v>
      </c>
      <c r="B526">
        <v>1</v>
      </c>
    </row>
    <row r="527" spans="1:2" x14ac:dyDescent="0.25">
      <c r="A527" s="19" t="s">
        <v>1217</v>
      </c>
      <c r="B527">
        <v>1</v>
      </c>
    </row>
    <row r="528" spans="1:2" x14ac:dyDescent="0.25">
      <c r="A528" s="19" t="s">
        <v>1217</v>
      </c>
      <c r="B528">
        <v>1</v>
      </c>
    </row>
    <row r="529" spans="1:2" x14ac:dyDescent="0.25">
      <c r="A529" s="19" t="s">
        <v>1217</v>
      </c>
      <c r="B529">
        <v>1</v>
      </c>
    </row>
    <row r="530" spans="1:2" x14ac:dyDescent="0.25">
      <c r="A530" s="19" t="s">
        <v>1217</v>
      </c>
      <c r="B530">
        <v>1</v>
      </c>
    </row>
    <row r="531" spans="1:2" x14ac:dyDescent="0.25">
      <c r="A531" s="19" t="s">
        <v>1217</v>
      </c>
      <c r="B531">
        <v>1</v>
      </c>
    </row>
    <row r="532" spans="1:2" x14ac:dyDescent="0.25">
      <c r="A532" s="19" t="s">
        <v>1217</v>
      </c>
      <c r="B532">
        <v>1</v>
      </c>
    </row>
    <row r="533" spans="1:2" x14ac:dyDescent="0.25">
      <c r="A533" s="19" t="s">
        <v>1217</v>
      </c>
      <c r="B533">
        <v>1</v>
      </c>
    </row>
    <row r="534" spans="1:2" x14ac:dyDescent="0.25">
      <c r="A534" s="19" t="s">
        <v>1217</v>
      </c>
      <c r="B534">
        <v>1</v>
      </c>
    </row>
    <row r="535" spans="1:2" x14ac:dyDescent="0.25">
      <c r="A535" s="19" t="s">
        <v>1217</v>
      </c>
      <c r="B535">
        <v>1</v>
      </c>
    </row>
    <row r="536" spans="1:2" x14ac:dyDescent="0.25">
      <c r="A536" s="19" t="s">
        <v>1217</v>
      </c>
      <c r="B536">
        <v>1</v>
      </c>
    </row>
    <row r="537" spans="1:2" x14ac:dyDescent="0.25">
      <c r="A537" s="19" t="s">
        <v>1217</v>
      </c>
      <c r="B537">
        <v>1</v>
      </c>
    </row>
    <row r="538" spans="1:2" x14ac:dyDescent="0.25">
      <c r="A538" s="19" t="s">
        <v>1217</v>
      </c>
      <c r="B538">
        <v>1</v>
      </c>
    </row>
    <row r="539" spans="1:2" x14ac:dyDescent="0.25">
      <c r="A539" s="19" t="s">
        <v>1217</v>
      </c>
      <c r="B539">
        <v>1</v>
      </c>
    </row>
    <row r="540" spans="1:2" x14ac:dyDescent="0.25">
      <c r="A540" s="19" t="s">
        <v>1217</v>
      </c>
      <c r="B540">
        <v>1</v>
      </c>
    </row>
    <row r="541" spans="1:2" x14ac:dyDescent="0.25">
      <c r="A541" s="19" t="s">
        <v>1217</v>
      </c>
      <c r="B541">
        <v>1</v>
      </c>
    </row>
    <row r="542" spans="1:2" x14ac:dyDescent="0.25">
      <c r="A542" s="19" t="s">
        <v>1217</v>
      </c>
      <c r="B542">
        <v>1</v>
      </c>
    </row>
    <row r="543" spans="1:2" x14ac:dyDescent="0.25">
      <c r="A543" s="19" t="s">
        <v>1217</v>
      </c>
      <c r="B543">
        <v>1</v>
      </c>
    </row>
    <row r="544" spans="1:2" x14ac:dyDescent="0.25">
      <c r="A544" s="19" t="s">
        <v>1217</v>
      </c>
      <c r="B544">
        <v>1</v>
      </c>
    </row>
    <row r="545" spans="1:2" x14ac:dyDescent="0.25">
      <c r="A545" s="19" t="s">
        <v>1217</v>
      </c>
      <c r="B545">
        <v>1</v>
      </c>
    </row>
    <row r="546" spans="1:2" x14ac:dyDescent="0.25">
      <c r="A546" s="19" t="s">
        <v>1217</v>
      </c>
      <c r="B546">
        <v>1</v>
      </c>
    </row>
    <row r="547" spans="1:2" x14ac:dyDescent="0.25">
      <c r="A547" s="19" t="s">
        <v>1217</v>
      </c>
      <c r="B547">
        <v>1</v>
      </c>
    </row>
    <row r="548" spans="1:2" x14ac:dyDescent="0.25">
      <c r="A548" s="19" t="s">
        <v>1217</v>
      </c>
      <c r="B548">
        <v>1</v>
      </c>
    </row>
    <row r="549" spans="1:2" x14ac:dyDescent="0.25">
      <c r="A549" s="19" t="s">
        <v>1217</v>
      </c>
      <c r="B549">
        <v>1</v>
      </c>
    </row>
    <row r="550" spans="1:2" x14ac:dyDescent="0.25">
      <c r="A550" s="19" t="s">
        <v>1217</v>
      </c>
      <c r="B550">
        <v>1</v>
      </c>
    </row>
    <row r="551" spans="1:2" x14ac:dyDescent="0.25">
      <c r="A551" s="19" t="s">
        <v>1217</v>
      </c>
      <c r="B551">
        <v>1</v>
      </c>
    </row>
    <row r="552" spans="1:2" x14ac:dyDescent="0.25">
      <c r="A552" s="19" t="s">
        <v>1217</v>
      </c>
      <c r="B552">
        <v>1</v>
      </c>
    </row>
    <row r="553" spans="1:2" x14ac:dyDescent="0.25">
      <c r="A553" s="19" t="s">
        <v>1217</v>
      </c>
      <c r="B553">
        <v>1</v>
      </c>
    </row>
    <row r="554" spans="1:2" x14ac:dyDescent="0.25">
      <c r="A554" t="s">
        <v>1217</v>
      </c>
      <c r="B554">
        <v>1</v>
      </c>
    </row>
    <row r="555" spans="1:2" x14ac:dyDescent="0.25">
      <c r="A555" s="19" t="s">
        <v>1217</v>
      </c>
      <c r="B555">
        <v>1</v>
      </c>
    </row>
    <row r="556" spans="1:2" x14ac:dyDescent="0.25">
      <c r="A556" s="19" t="s">
        <v>1594</v>
      </c>
      <c r="B556">
        <v>1</v>
      </c>
    </row>
    <row r="557" spans="1:2" x14ac:dyDescent="0.25">
      <c r="A557" s="19" t="s">
        <v>1217</v>
      </c>
      <c r="B557">
        <v>1</v>
      </c>
    </row>
    <row r="558" spans="1:2" x14ac:dyDescent="0.25">
      <c r="A558" s="19" t="s">
        <v>1217</v>
      </c>
      <c r="B558">
        <v>1</v>
      </c>
    </row>
    <row r="559" spans="1:2" x14ac:dyDescent="0.25">
      <c r="A559" s="19" t="s">
        <v>1217</v>
      </c>
      <c r="B559">
        <v>1</v>
      </c>
    </row>
    <row r="560" spans="1:2" x14ac:dyDescent="0.25">
      <c r="A560" s="19" t="s">
        <v>1217</v>
      </c>
      <c r="B560">
        <v>1</v>
      </c>
    </row>
    <row r="561" spans="1:2" x14ac:dyDescent="0.25">
      <c r="A561" s="19" t="s">
        <v>1217</v>
      </c>
      <c r="B561">
        <v>1</v>
      </c>
    </row>
    <row r="562" spans="1:2" x14ac:dyDescent="0.25">
      <c r="A562" s="19" t="s">
        <v>1217</v>
      </c>
      <c r="B562">
        <v>1</v>
      </c>
    </row>
    <row r="563" spans="1:2" x14ac:dyDescent="0.25">
      <c r="A563" s="19" t="s">
        <v>1217</v>
      </c>
      <c r="B563">
        <v>1</v>
      </c>
    </row>
    <row r="564" spans="1:2" x14ac:dyDescent="0.25">
      <c r="A564" s="19" t="s">
        <v>1217</v>
      </c>
      <c r="B564">
        <v>1</v>
      </c>
    </row>
    <row r="565" spans="1:2" x14ac:dyDescent="0.25">
      <c r="A565" s="19" t="s">
        <v>1217</v>
      </c>
      <c r="B565">
        <v>1</v>
      </c>
    </row>
    <row r="566" spans="1:2" x14ac:dyDescent="0.25">
      <c r="A566" s="19" t="s">
        <v>1217</v>
      </c>
      <c r="B566">
        <v>1</v>
      </c>
    </row>
    <row r="567" spans="1:2" x14ac:dyDescent="0.25">
      <c r="A567" s="19" t="s">
        <v>1217</v>
      </c>
      <c r="B567">
        <v>1</v>
      </c>
    </row>
    <row r="568" spans="1:2" x14ac:dyDescent="0.25">
      <c r="A568" s="19" t="s">
        <v>1217</v>
      </c>
      <c r="B568">
        <v>1</v>
      </c>
    </row>
    <row r="569" spans="1:2" x14ac:dyDescent="0.25">
      <c r="A569" s="19" t="s">
        <v>1217</v>
      </c>
      <c r="B569">
        <v>1</v>
      </c>
    </row>
    <row r="570" spans="1:2" x14ac:dyDescent="0.25">
      <c r="A570" s="19" t="s">
        <v>1217</v>
      </c>
      <c r="B570">
        <v>1</v>
      </c>
    </row>
    <row r="571" spans="1:2" x14ac:dyDescent="0.25">
      <c r="A571" s="19" t="s">
        <v>1217</v>
      </c>
      <c r="B571">
        <v>1</v>
      </c>
    </row>
    <row r="572" spans="1:2" x14ac:dyDescent="0.25">
      <c r="A572" s="19" t="s">
        <v>1217</v>
      </c>
      <c r="B572">
        <v>1</v>
      </c>
    </row>
    <row r="573" spans="1:2" x14ac:dyDescent="0.25">
      <c r="A573" s="19" t="s">
        <v>1217</v>
      </c>
      <c r="B573">
        <v>1</v>
      </c>
    </row>
    <row r="574" spans="1:2" x14ac:dyDescent="0.25">
      <c r="A574" s="19" t="s">
        <v>1217</v>
      </c>
      <c r="B574">
        <v>1</v>
      </c>
    </row>
    <row r="575" spans="1:2" x14ac:dyDescent="0.25">
      <c r="A575" s="19" t="s">
        <v>1217</v>
      </c>
      <c r="B575">
        <v>1</v>
      </c>
    </row>
    <row r="576" spans="1:2" x14ac:dyDescent="0.25">
      <c r="A576" s="19" t="s">
        <v>1217</v>
      </c>
      <c r="B576">
        <v>1</v>
      </c>
    </row>
    <row r="577" spans="1:2" x14ac:dyDescent="0.25">
      <c r="A577" s="19" t="s">
        <v>1217</v>
      </c>
      <c r="B577">
        <v>1</v>
      </c>
    </row>
    <row r="578" spans="1:2" x14ac:dyDescent="0.25">
      <c r="A578" s="19" t="s">
        <v>1217</v>
      </c>
      <c r="B578">
        <v>1</v>
      </c>
    </row>
    <row r="579" spans="1:2" x14ac:dyDescent="0.25">
      <c r="A579" s="19" t="s">
        <v>1217</v>
      </c>
      <c r="B579">
        <v>1</v>
      </c>
    </row>
    <row r="580" spans="1:2" x14ac:dyDescent="0.25">
      <c r="A580" s="19" t="s">
        <v>1217</v>
      </c>
      <c r="B580">
        <v>1</v>
      </c>
    </row>
    <row r="581" spans="1:2" x14ac:dyDescent="0.25">
      <c r="A581" s="19" t="s">
        <v>1217</v>
      </c>
      <c r="B581">
        <v>1</v>
      </c>
    </row>
    <row r="582" spans="1:2" x14ac:dyDescent="0.25">
      <c r="A582" s="19" t="s">
        <v>1217</v>
      </c>
      <c r="B582">
        <v>1</v>
      </c>
    </row>
    <row r="583" spans="1:2" x14ac:dyDescent="0.25">
      <c r="A583" s="19" t="s">
        <v>1217</v>
      </c>
      <c r="B583">
        <v>1</v>
      </c>
    </row>
    <row r="584" spans="1:2" x14ac:dyDescent="0.25">
      <c r="A584" s="19" t="s">
        <v>1217</v>
      </c>
      <c r="B584">
        <v>1</v>
      </c>
    </row>
    <row r="585" spans="1:2" x14ac:dyDescent="0.25">
      <c r="A585" s="19" t="s">
        <v>1217</v>
      </c>
      <c r="B585">
        <v>1</v>
      </c>
    </row>
    <row r="586" spans="1:2" x14ac:dyDescent="0.25">
      <c r="A586" s="19" t="s">
        <v>1217</v>
      </c>
      <c r="B586">
        <v>1</v>
      </c>
    </row>
    <row r="587" spans="1:2" x14ac:dyDescent="0.25">
      <c r="A587" s="19" t="s">
        <v>1217</v>
      </c>
      <c r="B587">
        <v>1</v>
      </c>
    </row>
    <row r="588" spans="1:2" x14ac:dyDescent="0.25">
      <c r="A588" s="19" t="s">
        <v>1217</v>
      </c>
      <c r="B588">
        <v>1</v>
      </c>
    </row>
    <row r="589" spans="1:2" x14ac:dyDescent="0.25">
      <c r="A589" s="19" t="s">
        <v>1217</v>
      </c>
      <c r="B589">
        <v>1</v>
      </c>
    </row>
    <row r="590" spans="1:2" x14ac:dyDescent="0.25">
      <c r="A590" s="19" t="s">
        <v>1217</v>
      </c>
      <c r="B590">
        <v>1</v>
      </c>
    </row>
    <row r="591" spans="1:2" x14ac:dyDescent="0.25">
      <c r="A591" s="19" t="s">
        <v>1217</v>
      </c>
      <c r="B591">
        <v>1</v>
      </c>
    </row>
    <row r="592" spans="1:2" x14ac:dyDescent="0.25">
      <c r="A592" s="19" t="s">
        <v>1217</v>
      </c>
      <c r="B592">
        <v>1</v>
      </c>
    </row>
    <row r="593" spans="1:2" x14ac:dyDescent="0.25">
      <c r="A593" s="19" t="s">
        <v>1217</v>
      </c>
      <c r="B593">
        <v>1</v>
      </c>
    </row>
    <row r="594" spans="1:2" x14ac:dyDescent="0.25">
      <c r="A594" s="19" t="s">
        <v>1217</v>
      </c>
      <c r="B594">
        <v>1</v>
      </c>
    </row>
    <row r="595" spans="1:2" x14ac:dyDescent="0.25">
      <c r="A595" t="s">
        <v>1217</v>
      </c>
      <c r="B595">
        <v>1</v>
      </c>
    </row>
    <row r="596" spans="1:2" x14ac:dyDescent="0.25">
      <c r="A596" s="19" t="s">
        <v>1217</v>
      </c>
      <c r="B596">
        <v>1</v>
      </c>
    </row>
    <row r="597" spans="1:2" x14ac:dyDescent="0.25">
      <c r="A597" s="19" t="s">
        <v>1594</v>
      </c>
      <c r="B597">
        <v>1</v>
      </c>
    </row>
    <row r="598" spans="1:2" x14ac:dyDescent="0.25">
      <c r="A598" s="19" t="s">
        <v>1217</v>
      </c>
      <c r="B598">
        <v>1</v>
      </c>
    </row>
    <row r="599" spans="1:2" x14ac:dyDescent="0.25">
      <c r="A599" s="19" t="s">
        <v>1217</v>
      </c>
      <c r="B599">
        <v>1</v>
      </c>
    </row>
    <row r="600" spans="1:2" x14ac:dyDescent="0.25">
      <c r="A600" s="19" t="s">
        <v>1217</v>
      </c>
      <c r="B600">
        <v>1</v>
      </c>
    </row>
    <row r="601" spans="1:2" x14ac:dyDescent="0.25">
      <c r="A601" s="19" t="s">
        <v>1217</v>
      </c>
      <c r="B601">
        <v>1</v>
      </c>
    </row>
    <row r="602" spans="1:2" x14ac:dyDescent="0.25">
      <c r="A602" s="19" t="s">
        <v>1217</v>
      </c>
      <c r="B602">
        <v>1</v>
      </c>
    </row>
    <row r="603" spans="1:2" x14ac:dyDescent="0.25">
      <c r="A603" s="19" t="s">
        <v>1217</v>
      </c>
      <c r="B603">
        <v>1</v>
      </c>
    </row>
    <row r="604" spans="1:2" x14ac:dyDescent="0.25">
      <c r="A604" s="19" t="s">
        <v>1217</v>
      </c>
      <c r="B604">
        <v>1</v>
      </c>
    </row>
    <row r="605" spans="1:2" x14ac:dyDescent="0.25">
      <c r="A605" s="19" t="s">
        <v>1217</v>
      </c>
      <c r="B605">
        <v>1</v>
      </c>
    </row>
    <row r="606" spans="1:2" x14ac:dyDescent="0.25">
      <c r="A606" t="s">
        <v>1217</v>
      </c>
      <c r="B606">
        <v>1</v>
      </c>
    </row>
    <row r="607" spans="1:2" x14ac:dyDescent="0.25">
      <c r="A607" s="19" t="s">
        <v>1217</v>
      </c>
      <c r="B607">
        <v>1</v>
      </c>
    </row>
    <row r="608" spans="1:2" x14ac:dyDescent="0.25">
      <c r="A608" s="19" t="s">
        <v>1594</v>
      </c>
      <c r="B608">
        <v>1</v>
      </c>
    </row>
    <row r="609" spans="1:2" x14ac:dyDescent="0.25">
      <c r="A609" s="19" t="s">
        <v>1217</v>
      </c>
      <c r="B609">
        <v>1</v>
      </c>
    </row>
    <row r="610" spans="1:2" x14ac:dyDescent="0.25">
      <c r="A610" s="19" t="s">
        <v>1217</v>
      </c>
      <c r="B610">
        <v>1</v>
      </c>
    </row>
    <row r="611" spans="1:2" x14ac:dyDescent="0.25">
      <c r="A611" s="19" t="s">
        <v>1217</v>
      </c>
      <c r="B611">
        <v>1</v>
      </c>
    </row>
    <row r="612" spans="1:2" x14ac:dyDescent="0.25">
      <c r="A612" s="19" t="s">
        <v>1217</v>
      </c>
      <c r="B612">
        <v>1</v>
      </c>
    </row>
    <row r="613" spans="1:2" x14ac:dyDescent="0.25">
      <c r="A613" s="19" t="s">
        <v>1217</v>
      </c>
      <c r="B613">
        <v>1</v>
      </c>
    </row>
    <row r="614" spans="1:2" x14ac:dyDescent="0.25">
      <c r="A614" s="19" t="s">
        <v>1217</v>
      </c>
      <c r="B614">
        <v>1</v>
      </c>
    </row>
    <row r="615" spans="1:2" x14ac:dyDescent="0.25">
      <c r="A615" s="19" t="s">
        <v>1217</v>
      </c>
      <c r="B615">
        <v>1</v>
      </c>
    </row>
    <row r="616" spans="1:2" x14ac:dyDescent="0.25">
      <c r="A616" s="19" t="s">
        <v>1217</v>
      </c>
      <c r="B616">
        <v>1</v>
      </c>
    </row>
    <row r="617" spans="1:2" x14ac:dyDescent="0.25">
      <c r="A617" s="19" t="s">
        <v>1217</v>
      </c>
      <c r="B617">
        <v>1</v>
      </c>
    </row>
    <row r="618" spans="1:2" x14ac:dyDescent="0.25">
      <c r="A618" s="19" t="s">
        <v>1217</v>
      </c>
      <c r="B618">
        <v>1</v>
      </c>
    </row>
    <row r="619" spans="1:2" x14ac:dyDescent="0.25">
      <c r="A619" s="19" t="s">
        <v>1217</v>
      </c>
      <c r="B619">
        <v>1</v>
      </c>
    </row>
    <row r="620" spans="1:2" x14ac:dyDescent="0.25">
      <c r="A620" s="19" t="s">
        <v>1217</v>
      </c>
      <c r="B620">
        <v>1</v>
      </c>
    </row>
    <row r="621" spans="1:2" x14ac:dyDescent="0.25">
      <c r="A621" s="19" t="s">
        <v>1217</v>
      </c>
      <c r="B621">
        <v>1</v>
      </c>
    </row>
    <row r="622" spans="1:2" x14ac:dyDescent="0.25">
      <c r="A622" s="19" t="s">
        <v>1217</v>
      </c>
      <c r="B622">
        <v>1</v>
      </c>
    </row>
    <row r="623" spans="1:2" x14ac:dyDescent="0.25">
      <c r="A623" s="19" t="s">
        <v>1217</v>
      </c>
      <c r="B623">
        <v>1</v>
      </c>
    </row>
    <row r="624" spans="1:2" x14ac:dyDescent="0.25">
      <c r="A624" s="19" t="s">
        <v>1217</v>
      </c>
      <c r="B624">
        <v>1</v>
      </c>
    </row>
    <row r="625" spans="1:2" x14ac:dyDescent="0.25">
      <c r="A625" s="19" t="s">
        <v>1217</v>
      </c>
      <c r="B625">
        <v>1</v>
      </c>
    </row>
    <row r="626" spans="1:2" x14ac:dyDescent="0.25">
      <c r="A626" s="19" t="s">
        <v>1217</v>
      </c>
      <c r="B626">
        <v>1</v>
      </c>
    </row>
    <row r="627" spans="1:2" x14ac:dyDescent="0.25">
      <c r="A627" s="19" t="s">
        <v>1217</v>
      </c>
      <c r="B627">
        <v>1</v>
      </c>
    </row>
    <row r="628" spans="1:2" x14ac:dyDescent="0.25">
      <c r="A628" s="19" t="s">
        <v>1217</v>
      </c>
      <c r="B628">
        <v>1</v>
      </c>
    </row>
    <row r="629" spans="1:2" x14ac:dyDescent="0.25">
      <c r="A629" s="19" t="s">
        <v>1217</v>
      </c>
      <c r="B629">
        <v>1</v>
      </c>
    </row>
    <row r="630" spans="1:2" x14ac:dyDescent="0.25">
      <c r="A630" s="19" t="s">
        <v>1217</v>
      </c>
      <c r="B630">
        <v>1</v>
      </c>
    </row>
    <row r="631" spans="1:2" x14ac:dyDescent="0.25">
      <c r="A631" s="19" t="s">
        <v>1217</v>
      </c>
      <c r="B631">
        <v>1</v>
      </c>
    </row>
    <row r="632" spans="1:2" x14ac:dyDescent="0.25">
      <c r="A632" s="19" t="s">
        <v>1217</v>
      </c>
      <c r="B632">
        <v>1</v>
      </c>
    </row>
    <row r="633" spans="1:2" x14ac:dyDescent="0.25">
      <c r="A633" s="19" t="s">
        <v>1217</v>
      </c>
      <c r="B633">
        <v>1</v>
      </c>
    </row>
    <row r="634" spans="1:2" x14ac:dyDescent="0.25">
      <c r="A634" s="19" t="s">
        <v>1217</v>
      </c>
      <c r="B634">
        <v>1</v>
      </c>
    </row>
    <row r="635" spans="1:2" x14ac:dyDescent="0.25">
      <c r="A635" s="19" t="s">
        <v>1217</v>
      </c>
      <c r="B635">
        <v>1</v>
      </c>
    </row>
    <row r="636" spans="1:2" x14ac:dyDescent="0.25">
      <c r="A636" s="19" t="s">
        <v>1217</v>
      </c>
      <c r="B636">
        <v>1</v>
      </c>
    </row>
    <row r="637" spans="1:2" x14ac:dyDescent="0.25">
      <c r="A637" s="19" t="s">
        <v>1217</v>
      </c>
      <c r="B637">
        <v>1</v>
      </c>
    </row>
    <row r="638" spans="1:2" x14ac:dyDescent="0.25">
      <c r="A638" s="19" t="s">
        <v>1217</v>
      </c>
      <c r="B638">
        <v>1</v>
      </c>
    </row>
    <row r="639" spans="1:2" x14ac:dyDescent="0.25">
      <c r="A639" s="19" t="s">
        <v>1217</v>
      </c>
      <c r="B639">
        <v>1</v>
      </c>
    </row>
    <row r="640" spans="1:2" x14ac:dyDescent="0.25">
      <c r="A640" s="19" t="s">
        <v>1217</v>
      </c>
      <c r="B640">
        <v>1</v>
      </c>
    </row>
    <row r="641" spans="1:2" x14ac:dyDescent="0.25">
      <c r="A641" s="19" t="s">
        <v>1217</v>
      </c>
      <c r="B641">
        <v>1</v>
      </c>
    </row>
    <row r="642" spans="1:2" x14ac:dyDescent="0.25">
      <c r="A642" s="19" t="s">
        <v>1217</v>
      </c>
      <c r="B642">
        <v>1</v>
      </c>
    </row>
    <row r="643" spans="1:2" x14ac:dyDescent="0.25">
      <c r="A643" s="19" t="s">
        <v>1217</v>
      </c>
      <c r="B643">
        <v>1</v>
      </c>
    </row>
    <row r="644" spans="1:2" x14ac:dyDescent="0.25">
      <c r="A644" s="19" t="s">
        <v>1217</v>
      </c>
      <c r="B644">
        <v>1</v>
      </c>
    </row>
    <row r="645" spans="1:2" x14ac:dyDescent="0.25">
      <c r="A645" s="19" t="s">
        <v>1217</v>
      </c>
      <c r="B645">
        <v>1</v>
      </c>
    </row>
    <row r="646" spans="1:2" x14ac:dyDescent="0.25">
      <c r="A646" s="19" t="s">
        <v>1217</v>
      </c>
      <c r="B646">
        <v>1</v>
      </c>
    </row>
    <row r="647" spans="1:2" x14ac:dyDescent="0.25">
      <c r="A647" s="19" t="s">
        <v>1217</v>
      </c>
      <c r="B647">
        <v>1</v>
      </c>
    </row>
    <row r="648" spans="1:2" x14ac:dyDescent="0.25">
      <c r="A648" s="19" t="s">
        <v>1217</v>
      </c>
      <c r="B648">
        <v>1</v>
      </c>
    </row>
    <row r="649" spans="1:2" x14ac:dyDescent="0.25">
      <c r="A649" s="19" t="s">
        <v>1217</v>
      </c>
      <c r="B649">
        <v>1</v>
      </c>
    </row>
    <row r="650" spans="1:2" x14ac:dyDescent="0.25">
      <c r="A650" s="19" t="s">
        <v>1217</v>
      </c>
      <c r="B650">
        <v>1</v>
      </c>
    </row>
    <row r="651" spans="1:2" x14ac:dyDescent="0.25">
      <c r="A651" t="s">
        <v>1217</v>
      </c>
      <c r="B651">
        <v>1</v>
      </c>
    </row>
    <row r="652" spans="1:2" x14ac:dyDescent="0.25">
      <c r="A652" s="19" t="s">
        <v>1217</v>
      </c>
      <c r="B652">
        <v>1</v>
      </c>
    </row>
    <row r="653" spans="1:2" x14ac:dyDescent="0.25">
      <c r="A653" s="19" t="s">
        <v>1594</v>
      </c>
      <c r="B653">
        <v>1</v>
      </c>
    </row>
    <row r="654" spans="1:2" x14ac:dyDescent="0.25">
      <c r="A654" s="19" t="s">
        <v>1217</v>
      </c>
      <c r="B654">
        <v>1</v>
      </c>
    </row>
    <row r="655" spans="1:2" x14ac:dyDescent="0.25">
      <c r="A655" s="19" t="s">
        <v>1217</v>
      </c>
      <c r="B655">
        <v>1</v>
      </c>
    </row>
    <row r="656" spans="1:2" x14ac:dyDescent="0.25">
      <c r="A656" s="19" t="s">
        <v>1217</v>
      </c>
      <c r="B656">
        <v>1</v>
      </c>
    </row>
    <row r="657" spans="1:2" x14ac:dyDescent="0.25">
      <c r="A657" s="19" t="s">
        <v>1217</v>
      </c>
      <c r="B657">
        <v>1</v>
      </c>
    </row>
    <row r="658" spans="1:2" x14ac:dyDescent="0.25">
      <c r="A658" s="19" t="s">
        <v>1217</v>
      </c>
      <c r="B658">
        <v>1</v>
      </c>
    </row>
    <row r="659" spans="1:2" x14ac:dyDescent="0.25">
      <c r="A659" s="19" t="s">
        <v>1217</v>
      </c>
      <c r="B659">
        <v>1</v>
      </c>
    </row>
    <row r="660" spans="1:2" x14ac:dyDescent="0.25">
      <c r="A660" s="19" t="s">
        <v>1217</v>
      </c>
      <c r="B660">
        <v>1</v>
      </c>
    </row>
    <row r="661" spans="1:2" x14ac:dyDescent="0.25">
      <c r="A661" s="19" t="s">
        <v>1217</v>
      </c>
      <c r="B661">
        <v>1</v>
      </c>
    </row>
    <row r="662" spans="1:2" x14ac:dyDescent="0.25">
      <c r="A662" s="19" t="s">
        <v>1217</v>
      </c>
      <c r="B662">
        <v>1</v>
      </c>
    </row>
    <row r="663" spans="1:2" x14ac:dyDescent="0.25">
      <c r="A663" s="19" t="s">
        <v>1217</v>
      </c>
      <c r="B663">
        <v>1</v>
      </c>
    </row>
    <row r="664" spans="1:2" x14ac:dyDescent="0.25">
      <c r="A664" s="19" t="s">
        <v>1217</v>
      </c>
      <c r="B664">
        <v>1</v>
      </c>
    </row>
    <row r="665" spans="1:2" x14ac:dyDescent="0.25">
      <c r="A665" s="19" t="s">
        <v>1217</v>
      </c>
      <c r="B665">
        <v>1</v>
      </c>
    </row>
    <row r="666" spans="1:2" x14ac:dyDescent="0.25">
      <c r="A666" s="19" t="s">
        <v>1217</v>
      </c>
      <c r="B666">
        <v>1</v>
      </c>
    </row>
    <row r="667" spans="1:2" x14ac:dyDescent="0.25">
      <c r="A667" s="19" t="s">
        <v>1217</v>
      </c>
      <c r="B667">
        <v>1</v>
      </c>
    </row>
    <row r="668" spans="1:2" x14ac:dyDescent="0.25">
      <c r="A668" s="19" t="s">
        <v>1217</v>
      </c>
      <c r="B668">
        <v>1</v>
      </c>
    </row>
    <row r="669" spans="1:2" x14ac:dyDescent="0.25">
      <c r="A669" s="19" t="s">
        <v>1217</v>
      </c>
      <c r="B669">
        <v>1</v>
      </c>
    </row>
    <row r="670" spans="1:2" x14ac:dyDescent="0.25">
      <c r="A670" s="19" t="s">
        <v>1217</v>
      </c>
      <c r="B670">
        <v>1</v>
      </c>
    </row>
    <row r="671" spans="1:2" x14ac:dyDescent="0.25">
      <c r="A671" s="19" t="s">
        <v>1217</v>
      </c>
      <c r="B671">
        <v>1</v>
      </c>
    </row>
    <row r="672" spans="1:2" x14ac:dyDescent="0.25">
      <c r="A672" s="19" t="s">
        <v>1217</v>
      </c>
      <c r="B672">
        <v>1</v>
      </c>
    </row>
    <row r="673" spans="1:2" x14ac:dyDescent="0.25">
      <c r="A673" s="19" t="s">
        <v>1217</v>
      </c>
      <c r="B673">
        <v>1</v>
      </c>
    </row>
    <row r="674" spans="1:2" x14ac:dyDescent="0.25">
      <c r="A674" s="19" t="s">
        <v>1217</v>
      </c>
      <c r="B674">
        <v>1</v>
      </c>
    </row>
    <row r="675" spans="1:2" x14ac:dyDescent="0.25">
      <c r="A675" s="19" t="s">
        <v>1217</v>
      </c>
      <c r="B675">
        <v>1</v>
      </c>
    </row>
    <row r="676" spans="1:2" x14ac:dyDescent="0.25">
      <c r="A676" s="19" t="s">
        <v>1217</v>
      </c>
      <c r="B676">
        <v>1</v>
      </c>
    </row>
    <row r="677" spans="1:2" x14ac:dyDescent="0.25">
      <c r="A677" s="19" t="s">
        <v>1217</v>
      </c>
      <c r="B677">
        <v>1</v>
      </c>
    </row>
    <row r="678" spans="1:2" x14ac:dyDescent="0.25">
      <c r="A678" s="19" t="s">
        <v>1217</v>
      </c>
      <c r="B678">
        <v>1</v>
      </c>
    </row>
    <row r="679" spans="1:2" x14ac:dyDescent="0.25">
      <c r="A679" s="19" t="s">
        <v>1217</v>
      </c>
      <c r="B679">
        <v>1</v>
      </c>
    </row>
    <row r="680" spans="1:2" x14ac:dyDescent="0.25">
      <c r="A680" s="19" t="s">
        <v>1217</v>
      </c>
      <c r="B680">
        <v>1</v>
      </c>
    </row>
    <row r="681" spans="1:2" x14ac:dyDescent="0.25">
      <c r="A681" s="19" t="s">
        <v>1217</v>
      </c>
      <c r="B681">
        <v>1</v>
      </c>
    </row>
    <row r="682" spans="1:2" x14ac:dyDescent="0.25">
      <c r="A682" s="19" t="s">
        <v>1217</v>
      </c>
      <c r="B682">
        <v>1</v>
      </c>
    </row>
    <row r="683" spans="1:2" x14ac:dyDescent="0.25">
      <c r="A683" s="19" t="s">
        <v>1217</v>
      </c>
      <c r="B683">
        <v>1</v>
      </c>
    </row>
    <row r="684" spans="1:2" x14ac:dyDescent="0.25">
      <c r="A684" s="19" t="s">
        <v>1217</v>
      </c>
      <c r="B684">
        <v>1</v>
      </c>
    </row>
    <row r="685" spans="1:2" x14ac:dyDescent="0.25">
      <c r="A685" s="19" t="s">
        <v>1217</v>
      </c>
      <c r="B685">
        <v>1</v>
      </c>
    </row>
    <row r="686" spans="1:2" x14ac:dyDescent="0.25">
      <c r="A686" s="19" t="s">
        <v>1217</v>
      </c>
      <c r="B686">
        <v>1</v>
      </c>
    </row>
    <row r="687" spans="1:2" x14ac:dyDescent="0.25">
      <c r="A687" s="19" t="s">
        <v>1217</v>
      </c>
      <c r="B687">
        <v>1</v>
      </c>
    </row>
    <row r="688" spans="1:2" x14ac:dyDescent="0.25">
      <c r="A688" s="19" t="s">
        <v>1217</v>
      </c>
      <c r="B688">
        <v>1</v>
      </c>
    </row>
    <row r="689" spans="1:2" x14ac:dyDescent="0.25">
      <c r="A689" s="19" t="s">
        <v>1217</v>
      </c>
      <c r="B689">
        <v>1</v>
      </c>
    </row>
    <row r="690" spans="1:2" x14ac:dyDescent="0.25">
      <c r="A690" s="19" t="s">
        <v>1217</v>
      </c>
      <c r="B690">
        <v>1</v>
      </c>
    </row>
    <row r="691" spans="1:2" x14ac:dyDescent="0.25">
      <c r="A691" s="19" t="s">
        <v>1217</v>
      </c>
      <c r="B691">
        <v>1</v>
      </c>
    </row>
    <row r="692" spans="1:2" x14ac:dyDescent="0.25">
      <c r="A692" s="19" t="s">
        <v>1217</v>
      </c>
      <c r="B692">
        <v>1</v>
      </c>
    </row>
    <row r="693" spans="1:2" x14ac:dyDescent="0.25">
      <c r="A693" s="19" t="s">
        <v>1217</v>
      </c>
      <c r="B693">
        <v>1</v>
      </c>
    </row>
    <row r="694" spans="1:2" x14ac:dyDescent="0.25">
      <c r="A694" s="19" t="s">
        <v>1217</v>
      </c>
      <c r="B694">
        <v>1</v>
      </c>
    </row>
    <row r="695" spans="1:2" x14ac:dyDescent="0.25">
      <c r="A695" s="19" t="s">
        <v>1217</v>
      </c>
      <c r="B695">
        <v>1</v>
      </c>
    </row>
    <row r="696" spans="1:2" x14ac:dyDescent="0.25">
      <c r="A696" t="s">
        <v>1217</v>
      </c>
      <c r="B696">
        <v>1</v>
      </c>
    </row>
    <row r="697" spans="1:2" x14ac:dyDescent="0.25">
      <c r="A697" s="19" t="s">
        <v>1217</v>
      </c>
      <c r="B697">
        <v>1</v>
      </c>
    </row>
    <row r="698" spans="1:2" x14ac:dyDescent="0.25">
      <c r="A698" s="19" t="s">
        <v>1594</v>
      </c>
      <c r="B698">
        <v>1</v>
      </c>
    </row>
    <row r="699" spans="1:2" x14ac:dyDescent="0.25">
      <c r="A699" s="19" t="s">
        <v>1217</v>
      </c>
      <c r="B699">
        <v>1</v>
      </c>
    </row>
    <row r="700" spans="1:2" x14ac:dyDescent="0.25">
      <c r="A700" s="19" t="s">
        <v>1217</v>
      </c>
      <c r="B700">
        <v>1</v>
      </c>
    </row>
    <row r="701" spans="1:2" x14ac:dyDescent="0.25">
      <c r="A701" s="19" t="s">
        <v>1217</v>
      </c>
      <c r="B701">
        <v>1</v>
      </c>
    </row>
    <row r="702" spans="1:2" x14ac:dyDescent="0.25">
      <c r="A702" s="19" t="s">
        <v>1217</v>
      </c>
      <c r="B702">
        <v>1</v>
      </c>
    </row>
    <row r="703" spans="1:2" x14ac:dyDescent="0.25">
      <c r="A703" s="19" t="s">
        <v>1217</v>
      </c>
      <c r="B703">
        <v>1</v>
      </c>
    </row>
    <row r="704" spans="1:2" x14ac:dyDescent="0.25">
      <c r="A704" s="19" t="s">
        <v>1217</v>
      </c>
      <c r="B704">
        <v>1</v>
      </c>
    </row>
    <row r="705" spans="1:2" x14ac:dyDescent="0.25">
      <c r="A705" s="19" t="s">
        <v>1217</v>
      </c>
      <c r="B705">
        <v>1</v>
      </c>
    </row>
    <row r="706" spans="1:2" x14ac:dyDescent="0.25">
      <c r="A706" s="19" t="s">
        <v>1217</v>
      </c>
      <c r="B706">
        <v>1</v>
      </c>
    </row>
    <row r="707" spans="1:2" x14ac:dyDescent="0.25">
      <c r="A707" t="s">
        <v>1217</v>
      </c>
      <c r="B707">
        <v>1</v>
      </c>
    </row>
    <row r="708" spans="1:2" x14ac:dyDescent="0.25">
      <c r="A708" s="19" t="s">
        <v>1217</v>
      </c>
      <c r="B708">
        <v>1</v>
      </c>
    </row>
    <row r="709" spans="1:2" x14ac:dyDescent="0.25">
      <c r="A709" s="19" t="s">
        <v>1594</v>
      </c>
      <c r="B709">
        <v>1</v>
      </c>
    </row>
    <row r="710" spans="1:2" x14ac:dyDescent="0.25">
      <c r="A710" s="19" t="s">
        <v>1217</v>
      </c>
      <c r="B710">
        <v>1</v>
      </c>
    </row>
    <row r="711" spans="1:2" x14ac:dyDescent="0.25">
      <c r="A711" s="19" t="s">
        <v>1217</v>
      </c>
      <c r="B711">
        <v>1</v>
      </c>
    </row>
    <row r="712" spans="1:2" x14ac:dyDescent="0.25">
      <c r="A712" s="19" t="s">
        <v>1217</v>
      </c>
      <c r="B712">
        <v>1</v>
      </c>
    </row>
    <row r="713" spans="1:2" x14ac:dyDescent="0.25">
      <c r="A713" s="19" t="s">
        <v>1217</v>
      </c>
      <c r="B713">
        <v>1</v>
      </c>
    </row>
    <row r="714" spans="1:2" x14ac:dyDescent="0.25">
      <c r="A714" s="19" t="s">
        <v>1217</v>
      </c>
      <c r="B714">
        <v>1</v>
      </c>
    </row>
    <row r="715" spans="1:2" x14ac:dyDescent="0.25">
      <c r="A715" s="19" t="s">
        <v>1217</v>
      </c>
      <c r="B715">
        <v>1</v>
      </c>
    </row>
    <row r="716" spans="1:2" x14ac:dyDescent="0.25">
      <c r="A716" s="19" t="s">
        <v>1217</v>
      </c>
      <c r="B716">
        <v>1</v>
      </c>
    </row>
    <row r="717" spans="1:2" x14ac:dyDescent="0.25">
      <c r="A717" s="19" t="s">
        <v>1217</v>
      </c>
      <c r="B717">
        <v>1</v>
      </c>
    </row>
    <row r="718" spans="1:2" x14ac:dyDescent="0.25">
      <c r="A718" s="19" t="s">
        <v>1217</v>
      </c>
      <c r="B718">
        <v>1</v>
      </c>
    </row>
    <row r="719" spans="1:2" x14ac:dyDescent="0.25">
      <c r="A719" s="19" t="s">
        <v>1217</v>
      </c>
      <c r="B719">
        <v>1</v>
      </c>
    </row>
    <row r="720" spans="1:2" x14ac:dyDescent="0.25">
      <c r="A720" s="19" t="s">
        <v>1217</v>
      </c>
      <c r="B720">
        <v>1</v>
      </c>
    </row>
    <row r="721" spans="1:2" x14ac:dyDescent="0.25">
      <c r="A721" s="19" t="s">
        <v>1217</v>
      </c>
      <c r="B721">
        <v>1</v>
      </c>
    </row>
    <row r="722" spans="1:2" x14ac:dyDescent="0.25">
      <c r="A722" s="19" t="s">
        <v>1217</v>
      </c>
      <c r="B722">
        <v>1</v>
      </c>
    </row>
    <row r="723" spans="1:2" x14ac:dyDescent="0.25">
      <c r="A723" s="19" t="s">
        <v>1217</v>
      </c>
      <c r="B723">
        <v>1</v>
      </c>
    </row>
    <row r="724" spans="1:2" x14ac:dyDescent="0.25">
      <c r="A724" s="19" t="s">
        <v>1217</v>
      </c>
      <c r="B724">
        <v>1</v>
      </c>
    </row>
    <row r="725" spans="1:2" x14ac:dyDescent="0.25">
      <c r="A725" s="19" t="s">
        <v>1217</v>
      </c>
      <c r="B725">
        <v>1</v>
      </c>
    </row>
    <row r="726" spans="1:2" x14ac:dyDescent="0.25">
      <c r="A726" s="19" t="s">
        <v>1217</v>
      </c>
      <c r="B726">
        <v>1</v>
      </c>
    </row>
    <row r="727" spans="1:2" x14ac:dyDescent="0.25">
      <c r="A727" s="19" t="s">
        <v>1217</v>
      </c>
      <c r="B727">
        <v>1</v>
      </c>
    </row>
    <row r="728" spans="1:2" x14ac:dyDescent="0.25">
      <c r="A728" s="19" t="s">
        <v>1217</v>
      </c>
      <c r="B728">
        <v>1</v>
      </c>
    </row>
    <row r="729" spans="1:2" x14ac:dyDescent="0.25">
      <c r="A729" s="19" t="s">
        <v>1217</v>
      </c>
      <c r="B729">
        <v>1</v>
      </c>
    </row>
    <row r="730" spans="1:2" x14ac:dyDescent="0.25">
      <c r="A730" s="19" t="s">
        <v>1217</v>
      </c>
      <c r="B730">
        <v>1</v>
      </c>
    </row>
    <row r="731" spans="1:2" x14ac:dyDescent="0.25">
      <c r="A731" s="19" t="s">
        <v>1217</v>
      </c>
      <c r="B731">
        <v>1</v>
      </c>
    </row>
    <row r="732" spans="1:2" x14ac:dyDescent="0.25">
      <c r="A732" s="19" t="s">
        <v>1217</v>
      </c>
      <c r="B732">
        <v>1</v>
      </c>
    </row>
    <row r="733" spans="1:2" x14ac:dyDescent="0.25">
      <c r="A733" s="19" t="s">
        <v>1217</v>
      </c>
      <c r="B733">
        <v>1</v>
      </c>
    </row>
    <row r="734" spans="1:2" x14ac:dyDescent="0.25">
      <c r="A734" s="19" t="s">
        <v>1217</v>
      </c>
      <c r="B734">
        <v>1</v>
      </c>
    </row>
    <row r="735" spans="1:2" x14ac:dyDescent="0.25">
      <c r="A735" s="19" t="s">
        <v>1217</v>
      </c>
      <c r="B735">
        <v>1</v>
      </c>
    </row>
    <row r="736" spans="1:2" x14ac:dyDescent="0.25">
      <c r="A736" s="19" t="s">
        <v>1217</v>
      </c>
      <c r="B736">
        <v>1</v>
      </c>
    </row>
    <row r="737" spans="1:2" x14ac:dyDescent="0.25">
      <c r="A737" s="19" t="s">
        <v>1217</v>
      </c>
      <c r="B737">
        <v>1</v>
      </c>
    </row>
    <row r="738" spans="1:2" x14ac:dyDescent="0.25">
      <c r="A738" s="19" t="s">
        <v>1217</v>
      </c>
      <c r="B738">
        <v>1</v>
      </c>
    </row>
    <row r="739" spans="1:2" x14ac:dyDescent="0.25">
      <c r="A739" s="19" t="s">
        <v>1217</v>
      </c>
      <c r="B739">
        <v>1</v>
      </c>
    </row>
    <row r="740" spans="1:2" x14ac:dyDescent="0.25">
      <c r="A740" s="19" t="s">
        <v>1217</v>
      </c>
      <c r="B740">
        <v>1</v>
      </c>
    </row>
    <row r="741" spans="1:2" x14ac:dyDescent="0.25">
      <c r="A741" s="19" t="s">
        <v>1217</v>
      </c>
      <c r="B741">
        <v>1</v>
      </c>
    </row>
    <row r="742" spans="1:2" x14ac:dyDescent="0.25">
      <c r="A742" s="19" t="s">
        <v>1217</v>
      </c>
      <c r="B742">
        <v>1</v>
      </c>
    </row>
    <row r="743" spans="1:2" x14ac:dyDescent="0.25">
      <c r="A743" s="19" t="s">
        <v>1217</v>
      </c>
      <c r="B743">
        <v>1</v>
      </c>
    </row>
    <row r="744" spans="1:2" x14ac:dyDescent="0.25">
      <c r="A744" s="19" t="s">
        <v>1217</v>
      </c>
      <c r="B744">
        <v>1</v>
      </c>
    </row>
    <row r="745" spans="1:2" x14ac:dyDescent="0.25">
      <c r="A745" s="19" t="s">
        <v>1217</v>
      </c>
      <c r="B745">
        <v>1</v>
      </c>
    </row>
    <row r="746" spans="1:2" x14ac:dyDescent="0.25">
      <c r="A746" s="19" t="s">
        <v>1217</v>
      </c>
      <c r="B746">
        <v>1</v>
      </c>
    </row>
    <row r="747" spans="1:2" x14ac:dyDescent="0.25">
      <c r="A747" s="19" t="s">
        <v>1217</v>
      </c>
      <c r="B747">
        <v>1</v>
      </c>
    </row>
    <row r="748" spans="1:2" x14ac:dyDescent="0.25">
      <c r="A748" t="s">
        <v>1217</v>
      </c>
      <c r="B748">
        <v>1</v>
      </c>
    </row>
    <row r="749" spans="1:2" x14ac:dyDescent="0.25">
      <c r="A749" s="19" t="s">
        <v>1217</v>
      </c>
      <c r="B749">
        <v>1</v>
      </c>
    </row>
    <row r="750" spans="1:2" x14ac:dyDescent="0.25">
      <c r="A750" s="19" t="s">
        <v>1594</v>
      </c>
      <c r="B750">
        <v>1</v>
      </c>
    </row>
    <row r="751" spans="1:2" x14ac:dyDescent="0.25">
      <c r="A751" s="19" t="s">
        <v>1217</v>
      </c>
      <c r="B751">
        <v>1</v>
      </c>
    </row>
    <row r="752" spans="1:2" x14ac:dyDescent="0.25">
      <c r="A752" s="19" t="s">
        <v>1217</v>
      </c>
      <c r="B752">
        <v>1</v>
      </c>
    </row>
    <row r="753" spans="1:2" x14ac:dyDescent="0.25">
      <c r="A753" s="19" t="s">
        <v>1217</v>
      </c>
      <c r="B753">
        <v>1</v>
      </c>
    </row>
    <row r="754" spans="1:2" x14ac:dyDescent="0.25">
      <c r="A754" s="19" t="s">
        <v>1217</v>
      </c>
      <c r="B754">
        <v>1</v>
      </c>
    </row>
    <row r="755" spans="1:2" x14ac:dyDescent="0.25">
      <c r="A755" s="19" t="s">
        <v>1217</v>
      </c>
      <c r="B755">
        <v>1</v>
      </c>
    </row>
    <row r="756" spans="1:2" x14ac:dyDescent="0.25">
      <c r="A756" s="19" t="s">
        <v>1217</v>
      </c>
      <c r="B756">
        <v>1</v>
      </c>
    </row>
    <row r="757" spans="1:2" x14ac:dyDescent="0.25">
      <c r="A757" s="19" t="s">
        <v>1217</v>
      </c>
      <c r="B757">
        <v>1</v>
      </c>
    </row>
    <row r="758" spans="1:2" x14ac:dyDescent="0.25">
      <c r="A758" s="19" t="s">
        <v>1217</v>
      </c>
      <c r="B758">
        <v>1</v>
      </c>
    </row>
    <row r="759" spans="1:2" x14ac:dyDescent="0.25">
      <c r="A759" t="s">
        <v>1217</v>
      </c>
      <c r="B759">
        <v>1</v>
      </c>
    </row>
    <row r="760" spans="1:2" x14ac:dyDescent="0.25">
      <c r="A760" s="19" t="s">
        <v>1217</v>
      </c>
      <c r="B760">
        <v>1</v>
      </c>
    </row>
    <row r="761" spans="1:2" x14ac:dyDescent="0.25">
      <c r="A761" s="19" t="s">
        <v>1594</v>
      </c>
      <c r="B761">
        <v>1</v>
      </c>
    </row>
    <row r="762" spans="1:2" x14ac:dyDescent="0.25">
      <c r="A762" s="19" t="s">
        <v>1217</v>
      </c>
      <c r="B762">
        <v>1</v>
      </c>
    </row>
    <row r="763" spans="1:2" x14ac:dyDescent="0.25">
      <c r="A763" s="19" t="s">
        <v>1217</v>
      </c>
      <c r="B763">
        <v>1</v>
      </c>
    </row>
    <row r="764" spans="1:2" x14ac:dyDescent="0.25">
      <c r="A764" s="19" t="s">
        <v>1217</v>
      </c>
      <c r="B764">
        <v>1</v>
      </c>
    </row>
    <row r="765" spans="1:2" x14ac:dyDescent="0.25">
      <c r="A765" s="19" t="s">
        <v>1217</v>
      </c>
      <c r="B765">
        <v>1</v>
      </c>
    </row>
    <row r="766" spans="1:2" x14ac:dyDescent="0.25">
      <c r="A766" s="19" t="s">
        <v>1217</v>
      </c>
      <c r="B766">
        <v>1</v>
      </c>
    </row>
    <row r="767" spans="1:2" x14ac:dyDescent="0.25">
      <c r="A767" s="19" t="s">
        <v>1217</v>
      </c>
      <c r="B767">
        <v>1</v>
      </c>
    </row>
    <row r="768" spans="1:2" x14ac:dyDescent="0.25">
      <c r="A768" s="19" t="s">
        <v>1217</v>
      </c>
      <c r="B768">
        <v>1</v>
      </c>
    </row>
    <row r="769" spans="1:2" x14ac:dyDescent="0.25">
      <c r="A769" s="19" t="s">
        <v>1217</v>
      </c>
      <c r="B769">
        <v>1</v>
      </c>
    </row>
    <row r="770" spans="1:2" x14ac:dyDescent="0.25">
      <c r="A770" t="s">
        <v>1217</v>
      </c>
      <c r="B770">
        <v>1</v>
      </c>
    </row>
    <row r="771" spans="1:2" x14ac:dyDescent="0.25">
      <c r="A771" s="19" t="s">
        <v>1217</v>
      </c>
      <c r="B771">
        <v>1</v>
      </c>
    </row>
    <row r="772" spans="1:2" x14ac:dyDescent="0.25">
      <c r="A772" s="19" t="s">
        <v>1594</v>
      </c>
      <c r="B772">
        <v>1</v>
      </c>
    </row>
    <row r="773" spans="1:2" x14ac:dyDescent="0.25">
      <c r="A773" s="19" t="s">
        <v>1217</v>
      </c>
      <c r="B773">
        <v>1</v>
      </c>
    </row>
    <row r="774" spans="1:2" x14ac:dyDescent="0.25">
      <c r="A774" s="19" t="s">
        <v>1217</v>
      </c>
      <c r="B774">
        <v>1</v>
      </c>
    </row>
    <row r="775" spans="1:2" x14ac:dyDescent="0.25">
      <c r="A775" s="19" t="s">
        <v>1217</v>
      </c>
      <c r="B775">
        <v>1</v>
      </c>
    </row>
    <row r="776" spans="1:2" x14ac:dyDescent="0.25">
      <c r="A776" s="19" t="s">
        <v>1217</v>
      </c>
      <c r="B776">
        <v>1</v>
      </c>
    </row>
    <row r="777" spans="1:2" x14ac:dyDescent="0.25">
      <c r="A777" s="19" t="s">
        <v>1217</v>
      </c>
      <c r="B777">
        <v>1</v>
      </c>
    </row>
    <row r="778" spans="1:2" x14ac:dyDescent="0.25">
      <c r="A778" s="19" t="s">
        <v>1217</v>
      </c>
      <c r="B778">
        <v>1</v>
      </c>
    </row>
    <row r="779" spans="1:2" x14ac:dyDescent="0.25">
      <c r="A779" t="s">
        <v>1217</v>
      </c>
      <c r="B779">
        <v>1</v>
      </c>
    </row>
    <row r="780" spans="1:2" x14ac:dyDescent="0.25">
      <c r="A780" s="19" t="s">
        <v>1217</v>
      </c>
      <c r="B780">
        <v>1</v>
      </c>
    </row>
    <row r="781" spans="1:2" x14ac:dyDescent="0.25">
      <c r="A781" s="19" t="s">
        <v>1594</v>
      </c>
      <c r="B781">
        <v>1</v>
      </c>
    </row>
    <row r="782" spans="1:2" x14ac:dyDescent="0.25">
      <c r="A782" s="19" t="s">
        <v>1217</v>
      </c>
      <c r="B782">
        <v>1</v>
      </c>
    </row>
    <row r="783" spans="1:2" x14ac:dyDescent="0.25">
      <c r="A783" s="19" t="s">
        <v>1217</v>
      </c>
      <c r="B783">
        <v>1</v>
      </c>
    </row>
    <row r="784" spans="1:2" x14ac:dyDescent="0.25">
      <c r="A784" s="19" t="s">
        <v>1217</v>
      </c>
      <c r="B784">
        <v>1</v>
      </c>
    </row>
    <row r="785" spans="1:2" x14ac:dyDescent="0.25">
      <c r="A785" s="19" t="s">
        <v>1217</v>
      </c>
      <c r="B785">
        <v>1</v>
      </c>
    </row>
    <row r="786" spans="1:2" x14ac:dyDescent="0.25">
      <c r="A786" s="19" t="s">
        <v>1217</v>
      </c>
      <c r="B786">
        <v>1</v>
      </c>
    </row>
    <row r="787" spans="1:2" x14ac:dyDescent="0.25">
      <c r="A787" s="19" t="s">
        <v>1217</v>
      </c>
      <c r="B787">
        <v>1</v>
      </c>
    </row>
    <row r="788" spans="1:2" x14ac:dyDescent="0.25">
      <c r="A788" t="s">
        <v>1217</v>
      </c>
      <c r="B788">
        <v>1</v>
      </c>
    </row>
    <row r="789" spans="1:2" x14ac:dyDescent="0.25">
      <c r="A789" s="19" t="s">
        <v>1217</v>
      </c>
      <c r="B789">
        <v>1</v>
      </c>
    </row>
    <row r="790" spans="1:2" x14ac:dyDescent="0.25">
      <c r="A790" s="19" t="s">
        <v>1594</v>
      </c>
      <c r="B790">
        <v>1</v>
      </c>
    </row>
    <row r="791" spans="1:2" x14ac:dyDescent="0.25">
      <c r="A791" s="19" t="s">
        <v>1217</v>
      </c>
      <c r="B791">
        <v>1</v>
      </c>
    </row>
    <row r="792" spans="1:2" x14ac:dyDescent="0.25">
      <c r="A792" s="19" t="s">
        <v>1217</v>
      </c>
      <c r="B792">
        <v>1</v>
      </c>
    </row>
    <row r="793" spans="1:2" x14ac:dyDescent="0.25">
      <c r="A793" s="19" t="s">
        <v>1217</v>
      </c>
      <c r="B793">
        <v>1</v>
      </c>
    </row>
    <row r="794" spans="1:2" x14ac:dyDescent="0.25">
      <c r="A794" s="19" t="s">
        <v>1217</v>
      </c>
      <c r="B794">
        <v>1</v>
      </c>
    </row>
    <row r="795" spans="1:2" x14ac:dyDescent="0.25">
      <c r="A795" s="19" t="s">
        <v>1217</v>
      </c>
      <c r="B795">
        <v>1</v>
      </c>
    </row>
    <row r="796" spans="1:2" x14ac:dyDescent="0.25">
      <c r="A796" s="19" t="s">
        <v>1217</v>
      </c>
      <c r="B796">
        <v>1</v>
      </c>
    </row>
    <row r="797" spans="1:2" x14ac:dyDescent="0.25">
      <c r="A797" s="19" t="s">
        <v>1217</v>
      </c>
      <c r="B797">
        <v>1</v>
      </c>
    </row>
    <row r="798" spans="1:2" x14ac:dyDescent="0.25">
      <c r="A798" s="19" t="s">
        <v>1217</v>
      </c>
      <c r="B798">
        <v>1</v>
      </c>
    </row>
    <row r="799" spans="1:2" x14ac:dyDescent="0.25">
      <c r="A799" t="s">
        <v>1217</v>
      </c>
      <c r="B799">
        <v>1</v>
      </c>
    </row>
    <row r="800" spans="1:2" x14ac:dyDescent="0.25">
      <c r="A800" s="19" t="s">
        <v>1217</v>
      </c>
      <c r="B800">
        <v>1</v>
      </c>
    </row>
    <row r="801" spans="1:2" x14ac:dyDescent="0.25">
      <c r="A801" s="19" t="s">
        <v>1594</v>
      </c>
      <c r="B801">
        <v>1</v>
      </c>
    </row>
    <row r="802" spans="1:2" x14ac:dyDescent="0.25">
      <c r="A802" s="19" t="s">
        <v>1217</v>
      </c>
      <c r="B802">
        <v>1</v>
      </c>
    </row>
    <row r="803" spans="1:2" x14ac:dyDescent="0.25">
      <c r="A803" s="19" t="s">
        <v>1217</v>
      </c>
      <c r="B803">
        <v>1</v>
      </c>
    </row>
    <row r="804" spans="1:2" x14ac:dyDescent="0.25">
      <c r="A804" s="19" t="s">
        <v>1217</v>
      </c>
      <c r="B804">
        <v>1</v>
      </c>
    </row>
    <row r="805" spans="1:2" x14ac:dyDescent="0.25">
      <c r="A805" s="19" t="s">
        <v>1217</v>
      </c>
      <c r="B805">
        <v>1</v>
      </c>
    </row>
    <row r="806" spans="1:2" x14ac:dyDescent="0.25">
      <c r="A806" s="19" t="s">
        <v>1217</v>
      </c>
      <c r="B806">
        <v>1</v>
      </c>
    </row>
    <row r="807" spans="1:2" x14ac:dyDescent="0.25">
      <c r="A807" s="19" t="s">
        <v>1217</v>
      </c>
      <c r="B807">
        <v>1</v>
      </c>
    </row>
    <row r="808" spans="1:2" x14ac:dyDescent="0.25">
      <c r="A808" s="19" t="s">
        <v>1217</v>
      </c>
      <c r="B808">
        <v>1</v>
      </c>
    </row>
    <row r="809" spans="1:2" x14ac:dyDescent="0.25">
      <c r="A809" s="19" t="s">
        <v>1217</v>
      </c>
      <c r="B809">
        <v>1</v>
      </c>
    </row>
    <row r="810" spans="1:2" x14ac:dyDescent="0.25">
      <c r="A810" s="19" t="s">
        <v>1217</v>
      </c>
      <c r="B810">
        <v>1</v>
      </c>
    </row>
    <row r="811" spans="1:2" x14ac:dyDescent="0.25">
      <c r="A811" s="19" t="s">
        <v>1217</v>
      </c>
      <c r="B811">
        <v>1</v>
      </c>
    </row>
    <row r="812" spans="1:2" x14ac:dyDescent="0.25">
      <c r="A812" s="19" t="s">
        <v>1217</v>
      </c>
      <c r="B812">
        <v>1</v>
      </c>
    </row>
    <row r="813" spans="1:2" x14ac:dyDescent="0.25">
      <c r="A813" s="19" t="s">
        <v>1217</v>
      </c>
      <c r="B813">
        <v>1</v>
      </c>
    </row>
    <row r="814" spans="1:2" x14ac:dyDescent="0.25">
      <c r="A814" s="19" t="s">
        <v>1217</v>
      </c>
      <c r="B814">
        <v>1</v>
      </c>
    </row>
    <row r="815" spans="1:2" x14ac:dyDescent="0.25">
      <c r="A815" t="s">
        <v>1217</v>
      </c>
      <c r="B815">
        <v>1</v>
      </c>
    </row>
    <row r="816" spans="1:2" x14ac:dyDescent="0.25">
      <c r="A816" s="19" t="s">
        <v>1217</v>
      </c>
      <c r="B816">
        <v>1</v>
      </c>
    </row>
    <row r="817" spans="1:2" x14ac:dyDescent="0.25">
      <c r="A817" s="19" t="s">
        <v>1594</v>
      </c>
      <c r="B817">
        <v>1</v>
      </c>
    </row>
    <row r="818" spans="1:2" x14ac:dyDescent="0.25">
      <c r="A818" s="19" t="s">
        <v>1337</v>
      </c>
      <c r="B818">
        <v>1</v>
      </c>
    </row>
    <row r="819" spans="1:2" x14ac:dyDescent="0.25">
      <c r="A819" s="19" t="s">
        <v>1337</v>
      </c>
      <c r="B819">
        <v>1</v>
      </c>
    </row>
    <row r="820" spans="1:2" x14ac:dyDescent="0.25">
      <c r="A820" s="19" t="s">
        <v>1337</v>
      </c>
      <c r="B820">
        <v>1</v>
      </c>
    </row>
    <row r="821" spans="1:2" x14ac:dyDescent="0.25">
      <c r="A821" s="19" t="s">
        <v>1337</v>
      </c>
      <c r="B821">
        <v>1</v>
      </c>
    </row>
    <row r="822" spans="1:2" x14ac:dyDescent="0.25">
      <c r="A822" s="19" t="s">
        <v>1337</v>
      </c>
      <c r="B822">
        <v>1</v>
      </c>
    </row>
    <row r="823" spans="1:2" x14ac:dyDescent="0.25">
      <c r="A823" s="19" t="s">
        <v>1337</v>
      </c>
      <c r="B823">
        <v>1</v>
      </c>
    </row>
    <row r="824" spans="1:2" x14ac:dyDescent="0.25">
      <c r="A824" s="19" t="s">
        <v>1337</v>
      </c>
      <c r="B824">
        <v>1</v>
      </c>
    </row>
    <row r="825" spans="1:2" x14ac:dyDescent="0.25">
      <c r="A825" s="19" t="s">
        <v>1337</v>
      </c>
      <c r="B825">
        <v>1</v>
      </c>
    </row>
    <row r="826" spans="1:2" x14ac:dyDescent="0.25">
      <c r="A826" s="19" t="s">
        <v>1337</v>
      </c>
      <c r="B826">
        <v>1</v>
      </c>
    </row>
    <row r="827" spans="1:2" x14ac:dyDescent="0.25">
      <c r="A827" s="19" t="s">
        <v>1337</v>
      </c>
      <c r="B827">
        <v>1</v>
      </c>
    </row>
    <row r="828" spans="1:2" x14ac:dyDescent="0.25">
      <c r="A828" s="19" t="s">
        <v>1337</v>
      </c>
      <c r="B828">
        <v>1</v>
      </c>
    </row>
    <row r="829" spans="1:2" x14ac:dyDescent="0.25">
      <c r="A829" s="19" t="s">
        <v>1337</v>
      </c>
      <c r="B829">
        <v>1</v>
      </c>
    </row>
    <row r="830" spans="1:2" x14ac:dyDescent="0.25">
      <c r="A830" s="19" t="s">
        <v>1337</v>
      </c>
      <c r="B830">
        <v>1</v>
      </c>
    </row>
    <row r="831" spans="1:2" x14ac:dyDescent="0.25">
      <c r="A831" s="19" t="s">
        <v>1337</v>
      </c>
      <c r="B831">
        <v>1</v>
      </c>
    </row>
    <row r="832" spans="1:2" x14ac:dyDescent="0.25">
      <c r="A832" s="19" t="s">
        <v>1337</v>
      </c>
      <c r="B832">
        <v>1</v>
      </c>
    </row>
    <row r="833" spans="1:2" x14ac:dyDescent="0.25">
      <c r="A833" s="19" t="s">
        <v>1337</v>
      </c>
      <c r="B833">
        <v>1</v>
      </c>
    </row>
    <row r="834" spans="1:2" x14ac:dyDescent="0.25">
      <c r="A834" s="19" t="s">
        <v>1337</v>
      </c>
      <c r="B834">
        <v>1</v>
      </c>
    </row>
    <row r="835" spans="1:2" x14ac:dyDescent="0.25">
      <c r="A835" s="19" t="s">
        <v>1337</v>
      </c>
      <c r="B835">
        <v>1</v>
      </c>
    </row>
    <row r="836" spans="1:2" x14ac:dyDescent="0.25">
      <c r="A836" s="19" t="s">
        <v>1337</v>
      </c>
      <c r="B836">
        <v>1</v>
      </c>
    </row>
    <row r="837" spans="1:2" x14ac:dyDescent="0.25">
      <c r="A837" s="19" t="s">
        <v>1337</v>
      </c>
      <c r="B837">
        <v>1</v>
      </c>
    </row>
    <row r="838" spans="1:2" x14ac:dyDescent="0.25">
      <c r="A838" s="19" t="s">
        <v>1337</v>
      </c>
      <c r="B838">
        <v>1</v>
      </c>
    </row>
    <row r="839" spans="1:2" x14ac:dyDescent="0.25">
      <c r="A839" s="19" t="s">
        <v>1337</v>
      </c>
      <c r="B839">
        <v>1</v>
      </c>
    </row>
    <row r="840" spans="1:2" x14ac:dyDescent="0.25">
      <c r="A840" t="s">
        <v>1337</v>
      </c>
      <c r="B840">
        <v>1</v>
      </c>
    </row>
    <row r="841" spans="1:2" x14ac:dyDescent="0.25">
      <c r="A841" s="19" t="s">
        <v>1337</v>
      </c>
      <c r="B841">
        <v>1</v>
      </c>
    </row>
    <row r="842" spans="1:2" x14ac:dyDescent="0.25">
      <c r="A842" t="s">
        <v>1594</v>
      </c>
      <c r="B842">
        <v>1</v>
      </c>
    </row>
    <row r="843" spans="1:2" x14ac:dyDescent="0.25">
      <c r="A843" s="19" t="s">
        <v>1381</v>
      </c>
      <c r="B843">
        <v>1</v>
      </c>
    </row>
    <row r="844" spans="1:2" x14ac:dyDescent="0.25">
      <c r="A844" s="19" t="s">
        <v>1594</v>
      </c>
      <c r="B844">
        <v>1</v>
      </c>
    </row>
    <row r="845" spans="1:2" x14ac:dyDescent="0.25">
      <c r="A845" s="19" t="s">
        <v>1381</v>
      </c>
      <c r="B845">
        <v>1</v>
      </c>
    </row>
    <row r="846" spans="1:2" x14ac:dyDescent="0.25">
      <c r="A846" s="19" t="s">
        <v>1381</v>
      </c>
      <c r="B846">
        <v>1</v>
      </c>
    </row>
    <row r="847" spans="1:2" x14ac:dyDescent="0.25">
      <c r="A847" s="19" t="s">
        <v>1391</v>
      </c>
      <c r="B847">
        <v>1</v>
      </c>
    </row>
    <row r="848" spans="1:2" x14ac:dyDescent="0.25">
      <c r="A848" s="19" t="s">
        <v>1391</v>
      </c>
      <c r="B848">
        <v>1</v>
      </c>
    </row>
    <row r="849" spans="1:2" x14ac:dyDescent="0.25">
      <c r="A849" s="19" t="s">
        <v>1391</v>
      </c>
      <c r="B849">
        <v>1</v>
      </c>
    </row>
    <row r="850" spans="1:2" x14ac:dyDescent="0.25">
      <c r="A850" s="19" t="s">
        <v>1391</v>
      </c>
      <c r="B850">
        <v>1</v>
      </c>
    </row>
    <row r="851" spans="1:2" x14ac:dyDescent="0.25">
      <c r="A851" s="19" t="s">
        <v>1391</v>
      </c>
      <c r="B851">
        <v>1</v>
      </c>
    </row>
    <row r="852" spans="1:2" x14ac:dyDescent="0.25">
      <c r="A852" s="19" t="s">
        <v>1391</v>
      </c>
      <c r="B852">
        <v>1</v>
      </c>
    </row>
    <row r="853" spans="1:2" x14ac:dyDescent="0.25">
      <c r="A853" s="19" t="s">
        <v>1391</v>
      </c>
      <c r="B853">
        <v>1</v>
      </c>
    </row>
    <row r="854" spans="1:2" x14ac:dyDescent="0.25">
      <c r="A854" s="19" t="s">
        <v>1391</v>
      </c>
      <c r="B854">
        <v>1</v>
      </c>
    </row>
    <row r="855" spans="1:2" x14ac:dyDescent="0.25">
      <c r="A855" s="19" t="s">
        <v>1391</v>
      </c>
      <c r="B855">
        <v>1</v>
      </c>
    </row>
    <row r="856" spans="1:2" x14ac:dyDescent="0.25">
      <c r="A856" s="19" t="s">
        <v>1391</v>
      </c>
      <c r="B856">
        <v>1</v>
      </c>
    </row>
    <row r="857" spans="1:2" x14ac:dyDescent="0.25">
      <c r="A857" s="19" t="s">
        <v>1391</v>
      </c>
      <c r="B857">
        <v>1</v>
      </c>
    </row>
    <row r="858" spans="1:2" x14ac:dyDescent="0.25">
      <c r="A858" s="19" t="s">
        <v>1391</v>
      </c>
      <c r="B858">
        <v>1</v>
      </c>
    </row>
    <row r="859" spans="1:2" x14ac:dyDescent="0.25">
      <c r="A859" s="19" t="s">
        <v>1391</v>
      </c>
      <c r="B859">
        <v>1</v>
      </c>
    </row>
    <row r="860" spans="1:2" x14ac:dyDescent="0.25">
      <c r="A860" s="19" t="s">
        <v>1391</v>
      </c>
      <c r="B860">
        <v>1</v>
      </c>
    </row>
    <row r="861" spans="1:2" x14ac:dyDescent="0.25">
      <c r="A861" s="19" t="s">
        <v>1391</v>
      </c>
      <c r="B861">
        <v>1</v>
      </c>
    </row>
    <row r="862" spans="1:2" x14ac:dyDescent="0.25">
      <c r="A862" s="19" t="s">
        <v>1391</v>
      </c>
      <c r="B862">
        <v>1</v>
      </c>
    </row>
    <row r="863" spans="1:2" x14ac:dyDescent="0.25">
      <c r="A863" s="19" t="s">
        <v>1391</v>
      </c>
      <c r="B863">
        <v>1</v>
      </c>
    </row>
    <row r="864" spans="1:2" x14ac:dyDescent="0.25">
      <c r="A864" s="19" t="s">
        <v>1391</v>
      </c>
      <c r="B864">
        <v>1</v>
      </c>
    </row>
    <row r="865" spans="1:2" x14ac:dyDescent="0.25">
      <c r="A865" s="19" t="s">
        <v>1391</v>
      </c>
      <c r="B865">
        <v>1</v>
      </c>
    </row>
    <row r="866" spans="1:2" x14ac:dyDescent="0.25">
      <c r="A866" s="19" t="s">
        <v>1391</v>
      </c>
      <c r="B866">
        <v>1</v>
      </c>
    </row>
    <row r="867" spans="1:2" x14ac:dyDescent="0.25">
      <c r="A867" s="19" t="s">
        <v>1391</v>
      </c>
      <c r="B867">
        <v>1</v>
      </c>
    </row>
    <row r="868" spans="1:2" x14ac:dyDescent="0.25">
      <c r="A868" s="19" t="s">
        <v>1391</v>
      </c>
      <c r="B868">
        <v>1</v>
      </c>
    </row>
    <row r="869" spans="1:2" x14ac:dyDescent="0.25">
      <c r="A869" s="19" t="s">
        <v>1391</v>
      </c>
      <c r="B869">
        <v>1</v>
      </c>
    </row>
    <row r="870" spans="1:2" x14ac:dyDescent="0.25">
      <c r="A870" s="19" t="s">
        <v>1391</v>
      </c>
      <c r="B870">
        <v>1</v>
      </c>
    </row>
    <row r="871" spans="1:2" x14ac:dyDescent="0.25">
      <c r="A871" s="19" t="s">
        <v>1391</v>
      </c>
      <c r="B871">
        <v>1</v>
      </c>
    </row>
    <row r="872" spans="1:2" x14ac:dyDescent="0.25">
      <c r="A872" s="19" t="s">
        <v>1391</v>
      </c>
      <c r="B872">
        <v>1</v>
      </c>
    </row>
    <row r="873" spans="1:2" x14ac:dyDescent="0.25">
      <c r="A873" s="19" t="s">
        <v>1391</v>
      </c>
      <c r="B873">
        <v>1</v>
      </c>
    </row>
    <row r="874" spans="1:2" x14ac:dyDescent="0.25">
      <c r="A874" s="19" t="s">
        <v>1391</v>
      </c>
      <c r="B874">
        <v>1</v>
      </c>
    </row>
    <row r="875" spans="1:2" x14ac:dyDescent="0.25">
      <c r="A875" s="19" t="s">
        <v>1391</v>
      </c>
      <c r="B875">
        <v>1</v>
      </c>
    </row>
    <row r="876" spans="1:2" x14ac:dyDescent="0.25">
      <c r="A876" s="19" t="s">
        <v>1391</v>
      </c>
      <c r="B876">
        <v>1</v>
      </c>
    </row>
    <row r="877" spans="1:2" x14ac:dyDescent="0.25">
      <c r="A877" s="19" t="s">
        <v>1391</v>
      </c>
      <c r="B877">
        <v>1</v>
      </c>
    </row>
    <row r="878" spans="1:2" x14ac:dyDescent="0.25">
      <c r="A878" s="19" t="s">
        <v>1391</v>
      </c>
      <c r="B878">
        <v>1</v>
      </c>
    </row>
    <row r="879" spans="1:2" x14ac:dyDescent="0.25">
      <c r="A879" s="19" t="s">
        <v>1391</v>
      </c>
      <c r="B879">
        <v>1</v>
      </c>
    </row>
    <row r="880" spans="1:2" x14ac:dyDescent="0.25">
      <c r="A880" s="19" t="s">
        <v>1391</v>
      </c>
      <c r="B880">
        <v>1</v>
      </c>
    </row>
    <row r="881" spans="1:2" x14ac:dyDescent="0.25">
      <c r="A881" s="19" t="s">
        <v>1391</v>
      </c>
      <c r="B881">
        <v>1</v>
      </c>
    </row>
    <row r="882" spans="1:2" x14ac:dyDescent="0.25">
      <c r="A882" s="19" t="s">
        <v>1391</v>
      </c>
      <c r="B882">
        <v>1</v>
      </c>
    </row>
    <row r="883" spans="1:2" x14ac:dyDescent="0.25">
      <c r="A883" s="19" t="s">
        <v>1391</v>
      </c>
      <c r="B883">
        <v>1</v>
      </c>
    </row>
    <row r="884" spans="1:2" x14ac:dyDescent="0.25">
      <c r="A884" s="19" t="s">
        <v>1391</v>
      </c>
      <c r="B884">
        <v>1</v>
      </c>
    </row>
    <row r="885" spans="1:2" x14ac:dyDescent="0.25">
      <c r="A885" s="19" t="s">
        <v>1391</v>
      </c>
      <c r="B885">
        <v>1</v>
      </c>
    </row>
    <row r="886" spans="1:2" x14ac:dyDescent="0.25">
      <c r="A886" s="19" t="s">
        <v>1391</v>
      </c>
      <c r="B886">
        <v>1</v>
      </c>
    </row>
    <row r="887" spans="1:2" x14ac:dyDescent="0.25">
      <c r="A887" s="19" t="s">
        <v>1437</v>
      </c>
      <c r="B887">
        <v>1</v>
      </c>
    </row>
    <row r="888" spans="1:2" x14ac:dyDescent="0.25">
      <c r="A888" s="19" t="s">
        <v>1441</v>
      </c>
      <c r="B888">
        <v>1</v>
      </c>
    </row>
    <row r="889" spans="1:2" x14ac:dyDescent="0.25">
      <c r="A889" s="19" t="s">
        <v>1437</v>
      </c>
      <c r="B889">
        <v>1</v>
      </c>
    </row>
    <row r="890" spans="1:2" x14ac:dyDescent="0.25">
      <c r="A890" s="19" t="s">
        <v>1441</v>
      </c>
      <c r="B890">
        <v>1</v>
      </c>
    </row>
    <row r="891" spans="1:2" x14ac:dyDescent="0.25">
      <c r="A891" s="19" t="s">
        <v>1437</v>
      </c>
      <c r="B891">
        <v>1</v>
      </c>
    </row>
    <row r="892" spans="1:2" x14ac:dyDescent="0.25">
      <c r="A892" s="19" t="s">
        <v>1441</v>
      </c>
      <c r="B892">
        <v>1</v>
      </c>
    </row>
    <row r="893" spans="1:2" x14ac:dyDescent="0.25">
      <c r="A893" s="19" t="s">
        <v>1381</v>
      </c>
      <c r="B893">
        <v>1</v>
      </c>
    </row>
    <row r="894" spans="1:2" x14ac:dyDescent="0.25">
      <c r="A894" s="19" t="s">
        <v>1381</v>
      </c>
      <c r="B894">
        <v>1</v>
      </c>
    </row>
    <row r="895" spans="1:2" x14ac:dyDescent="0.25">
      <c r="A895" s="19" t="s">
        <v>1391</v>
      </c>
      <c r="B895">
        <v>1</v>
      </c>
    </row>
    <row r="896" spans="1:2" x14ac:dyDescent="0.25">
      <c r="A896" s="19" t="s">
        <v>1391</v>
      </c>
      <c r="B896">
        <v>1</v>
      </c>
    </row>
    <row r="897" spans="1:2" x14ac:dyDescent="0.25">
      <c r="A897" s="19" t="s">
        <v>1391</v>
      </c>
      <c r="B897">
        <v>1</v>
      </c>
    </row>
    <row r="898" spans="1:2" x14ac:dyDescent="0.25">
      <c r="A898" s="19" t="s">
        <v>1391</v>
      </c>
      <c r="B898">
        <v>1</v>
      </c>
    </row>
    <row r="899" spans="1:2" x14ac:dyDescent="0.25">
      <c r="A899" s="19" t="s">
        <v>1391</v>
      </c>
      <c r="B899">
        <v>1</v>
      </c>
    </row>
    <row r="900" spans="1:2" x14ac:dyDescent="0.25">
      <c r="A900" s="19" t="s">
        <v>1391</v>
      </c>
      <c r="B900">
        <v>1</v>
      </c>
    </row>
    <row r="901" spans="1:2" x14ac:dyDescent="0.25">
      <c r="A901" t="s">
        <v>1391</v>
      </c>
      <c r="B901">
        <v>1</v>
      </c>
    </row>
    <row r="902" spans="1:2" x14ac:dyDescent="0.25">
      <c r="A902" s="19" t="s">
        <v>1391</v>
      </c>
      <c r="B902">
        <v>1</v>
      </c>
    </row>
    <row r="903" spans="1:2" x14ac:dyDescent="0.25">
      <c r="A903" s="19" t="s">
        <v>1594</v>
      </c>
      <c r="B903">
        <v>1</v>
      </c>
    </row>
    <row r="904" spans="1:2" x14ac:dyDescent="0.25">
      <c r="A904" s="19" t="s">
        <v>800</v>
      </c>
      <c r="B904">
        <v>1</v>
      </c>
    </row>
    <row r="905" spans="1:2" x14ac:dyDescent="0.25">
      <c r="A905" s="19" t="s">
        <v>800</v>
      </c>
      <c r="B905">
        <v>1</v>
      </c>
    </row>
    <row r="906" spans="1:2" x14ac:dyDescent="0.25">
      <c r="A906" s="19" t="s">
        <v>800</v>
      </c>
      <c r="B906">
        <v>1</v>
      </c>
    </row>
    <row r="907" spans="1:2" x14ac:dyDescent="0.25">
      <c r="A907" s="19" t="s">
        <v>800</v>
      </c>
      <c r="B907">
        <v>1</v>
      </c>
    </row>
    <row r="908" spans="1:2" x14ac:dyDescent="0.25">
      <c r="A908" s="29" t="s">
        <v>800</v>
      </c>
      <c r="B908">
        <v>1</v>
      </c>
    </row>
    <row r="909" spans="1:2" x14ac:dyDescent="0.25">
      <c r="A909" t="s">
        <v>743</v>
      </c>
      <c r="B909">
        <v>1</v>
      </c>
    </row>
    <row r="910" spans="1:2" x14ac:dyDescent="0.25">
      <c r="A910" s="19" t="s">
        <v>743</v>
      </c>
      <c r="B910">
        <v>1</v>
      </c>
    </row>
    <row r="911" spans="1:2" x14ac:dyDescent="0.25">
      <c r="A911" s="19" t="s">
        <v>1594</v>
      </c>
      <c r="B911">
        <v>1</v>
      </c>
    </row>
    <row r="912" spans="1:2" x14ac:dyDescent="0.25">
      <c r="A912" s="19" t="s">
        <v>1480</v>
      </c>
      <c r="B912">
        <v>1</v>
      </c>
    </row>
    <row r="913" spans="1:2" x14ac:dyDescent="0.25">
      <c r="A913" t="s">
        <v>1484</v>
      </c>
      <c r="B913">
        <v>1</v>
      </c>
    </row>
    <row r="914" spans="1:2" x14ac:dyDescent="0.25">
      <c r="A914" s="19" t="s">
        <v>1484</v>
      </c>
      <c r="B914">
        <v>1</v>
      </c>
    </row>
    <row r="915" spans="1:2" x14ac:dyDescent="0.25">
      <c r="A915" s="19" t="s">
        <v>1594</v>
      </c>
      <c r="B915">
        <v>1</v>
      </c>
    </row>
    <row r="916" spans="1:2" x14ac:dyDescent="0.25">
      <c r="A916" s="19" t="s">
        <v>1488</v>
      </c>
      <c r="B916">
        <v>1</v>
      </c>
    </row>
    <row r="917" spans="1:2" x14ac:dyDescent="0.25">
      <c r="A917" s="19" t="s">
        <v>1488</v>
      </c>
      <c r="B917">
        <v>1</v>
      </c>
    </row>
    <row r="918" spans="1:2" x14ac:dyDescent="0.25">
      <c r="A918" s="19" t="s">
        <v>1488</v>
      </c>
      <c r="B918">
        <v>1</v>
      </c>
    </row>
    <row r="919" spans="1:2" x14ac:dyDescent="0.25">
      <c r="A919" s="19" t="s">
        <v>1488</v>
      </c>
      <c r="B919">
        <v>1</v>
      </c>
    </row>
    <row r="920" spans="1:2" x14ac:dyDescent="0.25">
      <c r="A920" s="19" t="s">
        <v>1488</v>
      </c>
      <c r="B920">
        <v>1</v>
      </c>
    </row>
    <row r="921" spans="1:2" x14ac:dyDescent="0.25">
      <c r="A921" s="19" t="s">
        <v>1488</v>
      </c>
      <c r="B921">
        <v>1</v>
      </c>
    </row>
    <row r="922" spans="1:2" x14ac:dyDescent="0.25">
      <c r="A922" s="19" t="s">
        <v>1488</v>
      </c>
      <c r="B922">
        <v>1</v>
      </c>
    </row>
    <row r="923" spans="1:2" x14ac:dyDescent="0.25">
      <c r="A923" s="19" t="s">
        <v>1488</v>
      </c>
      <c r="B923">
        <v>1</v>
      </c>
    </row>
    <row r="924" spans="1:2" x14ac:dyDescent="0.25">
      <c r="A924" s="19" t="s">
        <v>1488</v>
      </c>
      <c r="B924">
        <v>1</v>
      </c>
    </row>
    <row r="925" spans="1:2" x14ac:dyDescent="0.25">
      <c r="A925" s="19" t="s">
        <v>1488</v>
      </c>
      <c r="B925">
        <v>1</v>
      </c>
    </row>
    <row r="926" spans="1:2" x14ac:dyDescent="0.25">
      <c r="A926" s="19" t="s">
        <v>1488</v>
      </c>
      <c r="B926">
        <v>1</v>
      </c>
    </row>
    <row r="927" spans="1:2" x14ac:dyDescent="0.25">
      <c r="A927" s="19" t="s">
        <v>1488</v>
      </c>
      <c r="B927">
        <v>1</v>
      </c>
    </row>
    <row r="928" spans="1:2" x14ac:dyDescent="0.25">
      <c r="A928" s="19" t="s">
        <v>1488</v>
      </c>
      <c r="B928">
        <v>1</v>
      </c>
    </row>
    <row r="929" spans="1:2" x14ac:dyDescent="0.25">
      <c r="A929" t="s">
        <v>1488</v>
      </c>
      <c r="B929">
        <v>1</v>
      </c>
    </row>
    <row r="930" spans="1:2" x14ac:dyDescent="0.25">
      <c r="A930" s="19" t="s">
        <v>1488</v>
      </c>
      <c r="B930">
        <v>1</v>
      </c>
    </row>
    <row r="931" spans="1:2" x14ac:dyDescent="0.25">
      <c r="A931" s="19" t="s">
        <v>1594</v>
      </c>
      <c r="B931">
        <v>1</v>
      </c>
    </row>
    <row r="932" spans="1:2" x14ac:dyDescent="0.25">
      <c r="A932" s="19" t="s">
        <v>1515</v>
      </c>
      <c r="B932">
        <v>1</v>
      </c>
    </row>
    <row r="933" spans="1:2" x14ac:dyDescent="0.25">
      <c r="A933" s="19" t="s">
        <v>1515</v>
      </c>
      <c r="B933">
        <v>1</v>
      </c>
    </row>
    <row r="934" spans="1:2" x14ac:dyDescent="0.25">
      <c r="A934" s="19" t="s">
        <v>1515</v>
      </c>
      <c r="B934">
        <v>1</v>
      </c>
    </row>
    <row r="935" spans="1:2" x14ac:dyDescent="0.25">
      <c r="A935" s="19" t="s">
        <v>1515</v>
      </c>
      <c r="B935">
        <v>1</v>
      </c>
    </row>
    <row r="936" spans="1:2" x14ac:dyDescent="0.25">
      <c r="A936" s="19" t="s">
        <v>1515</v>
      </c>
      <c r="B936">
        <v>1</v>
      </c>
    </row>
    <row r="937" spans="1:2" x14ac:dyDescent="0.25">
      <c r="A937" s="19" t="s">
        <v>1515</v>
      </c>
      <c r="B937">
        <v>1</v>
      </c>
    </row>
    <row r="938" spans="1:2" x14ac:dyDescent="0.25">
      <c r="A938" s="19" t="s">
        <v>1515</v>
      </c>
      <c r="B938">
        <v>1</v>
      </c>
    </row>
    <row r="939" spans="1:2" x14ac:dyDescent="0.25">
      <c r="A939" s="19" t="s">
        <v>1515</v>
      </c>
      <c r="B939">
        <v>1</v>
      </c>
    </row>
    <row r="940" spans="1:2" x14ac:dyDescent="0.25">
      <c r="A940" s="19" t="s">
        <v>1515</v>
      </c>
      <c r="B940">
        <v>1</v>
      </c>
    </row>
    <row r="941" spans="1:2" x14ac:dyDescent="0.25">
      <c r="A941" s="19" t="s">
        <v>1515</v>
      </c>
      <c r="B941">
        <v>1</v>
      </c>
    </row>
    <row r="942" spans="1:2" x14ac:dyDescent="0.25">
      <c r="A942" s="19" t="s">
        <v>1515</v>
      </c>
      <c r="B942">
        <v>1</v>
      </c>
    </row>
    <row r="943" spans="1:2" x14ac:dyDescent="0.25">
      <c r="A943" s="19" t="s">
        <v>1515</v>
      </c>
      <c r="B943">
        <v>1</v>
      </c>
    </row>
    <row r="944" spans="1:2" x14ac:dyDescent="0.25">
      <c r="A944" s="19" t="s">
        <v>1515</v>
      </c>
      <c r="B944">
        <v>1</v>
      </c>
    </row>
    <row r="945" spans="1:2" x14ac:dyDescent="0.25">
      <c r="A945" s="19" t="s">
        <v>1515</v>
      </c>
      <c r="B945">
        <v>1</v>
      </c>
    </row>
    <row r="946" spans="1:2" x14ac:dyDescent="0.25">
      <c r="A946" s="19" t="s">
        <v>1515</v>
      </c>
      <c r="B946">
        <v>1</v>
      </c>
    </row>
    <row r="947" spans="1:2" x14ac:dyDescent="0.25">
      <c r="A947" s="19" t="s">
        <v>1515</v>
      </c>
      <c r="B947">
        <v>1</v>
      </c>
    </row>
    <row r="948" spans="1:2" x14ac:dyDescent="0.25">
      <c r="A948" s="19" t="s">
        <v>1515</v>
      </c>
      <c r="B948">
        <v>1</v>
      </c>
    </row>
    <row r="949" spans="1:2" x14ac:dyDescent="0.25">
      <c r="A949" s="19" t="s">
        <v>1515</v>
      </c>
      <c r="B949">
        <v>1</v>
      </c>
    </row>
    <row r="950" spans="1:2" x14ac:dyDescent="0.25">
      <c r="A950" s="19" t="s">
        <v>1515</v>
      </c>
      <c r="B950">
        <v>1</v>
      </c>
    </row>
    <row r="951" spans="1:2" x14ac:dyDescent="0.25">
      <c r="A951" s="19" t="s">
        <v>1515</v>
      </c>
      <c r="B951">
        <v>1</v>
      </c>
    </row>
    <row r="952" spans="1:2" x14ac:dyDescent="0.25">
      <c r="A952" s="19" t="s">
        <v>1515</v>
      </c>
      <c r="B952">
        <v>1</v>
      </c>
    </row>
    <row r="953" spans="1:2" x14ac:dyDescent="0.25">
      <c r="A953" s="19" t="s">
        <v>1515</v>
      </c>
      <c r="B953">
        <v>1</v>
      </c>
    </row>
    <row r="954" spans="1:2" x14ac:dyDescent="0.25">
      <c r="A954" s="19" t="s">
        <v>1515</v>
      </c>
      <c r="B954">
        <v>1</v>
      </c>
    </row>
    <row r="955" spans="1:2" x14ac:dyDescent="0.25">
      <c r="A955" s="19" t="s">
        <v>1515</v>
      </c>
      <c r="B955">
        <v>1</v>
      </c>
    </row>
    <row r="956" spans="1:2" x14ac:dyDescent="0.25">
      <c r="A956" s="19" t="s">
        <v>1515</v>
      </c>
      <c r="B956">
        <v>1</v>
      </c>
    </row>
    <row r="957" spans="1:2" x14ac:dyDescent="0.25">
      <c r="A957" s="19" t="s">
        <v>1515</v>
      </c>
      <c r="B957">
        <v>1</v>
      </c>
    </row>
    <row r="958" spans="1:2" x14ac:dyDescent="0.25">
      <c r="A958" s="19" t="s">
        <v>1515</v>
      </c>
      <c r="B958">
        <v>1</v>
      </c>
    </row>
    <row r="959" spans="1:2" x14ac:dyDescent="0.25">
      <c r="A959" s="19" t="s">
        <v>1515</v>
      </c>
      <c r="B959">
        <v>1</v>
      </c>
    </row>
    <row r="960" spans="1:2" x14ac:dyDescent="0.25">
      <c r="A960" t="s">
        <v>1515</v>
      </c>
      <c r="B960">
        <v>1</v>
      </c>
    </row>
    <row r="961" spans="1:2" x14ac:dyDescent="0.25">
      <c r="A961" s="19" t="s">
        <v>1515</v>
      </c>
      <c r="B961">
        <v>1</v>
      </c>
    </row>
    <row r="962" spans="1:2" x14ac:dyDescent="0.25">
      <c r="A962" s="19" t="s">
        <v>1594</v>
      </c>
      <c r="B962">
        <v>1</v>
      </c>
    </row>
    <row r="963" spans="1:2" x14ac:dyDescent="0.25">
      <c r="A963" s="19" t="s">
        <v>1526</v>
      </c>
      <c r="B963">
        <v>1</v>
      </c>
    </row>
    <row r="964" spans="1:2" x14ac:dyDescent="0.25">
      <c r="A964" s="19" t="s">
        <v>1526</v>
      </c>
      <c r="B964">
        <v>1</v>
      </c>
    </row>
    <row r="965" spans="1:2" x14ac:dyDescent="0.25">
      <c r="A965" s="19" t="s">
        <v>1526</v>
      </c>
      <c r="B965">
        <v>1</v>
      </c>
    </row>
    <row r="966" spans="1:2" x14ac:dyDescent="0.25">
      <c r="A966" s="19" t="s">
        <v>1526</v>
      </c>
      <c r="B966">
        <v>1</v>
      </c>
    </row>
    <row r="967" spans="1:2" x14ac:dyDescent="0.25">
      <c r="A967" s="19" t="s">
        <v>1526</v>
      </c>
      <c r="B967">
        <v>1</v>
      </c>
    </row>
    <row r="968" spans="1:2" x14ac:dyDescent="0.25">
      <c r="A968" s="19" t="s">
        <v>1526</v>
      </c>
      <c r="B968">
        <v>1</v>
      </c>
    </row>
    <row r="969" spans="1:2" x14ac:dyDescent="0.25">
      <c r="A969" s="19" t="s">
        <v>1526</v>
      </c>
      <c r="B969">
        <v>1</v>
      </c>
    </row>
    <row r="970" spans="1:2" x14ac:dyDescent="0.25">
      <c r="A970" s="19" t="s">
        <v>1526</v>
      </c>
      <c r="B970">
        <v>1</v>
      </c>
    </row>
    <row r="971" spans="1:2" x14ac:dyDescent="0.25">
      <c r="A971" s="19" t="s">
        <v>1526</v>
      </c>
      <c r="B971">
        <v>1</v>
      </c>
    </row>
    <row r="972" spans="1:2" x14ac:dyDescent="0.25">
      <c r="A972" s="19" t="s">
        <v>1526</v>
      </c>
      <c r="B972">
        <v>1</v>
      </c>
    </row>
    <row r="973" spans="1:2" x14ac:dyDescent="0.25">
      <c r="A973" s="19" t="s">
        <v>1526</v>
      </c>
      <c r="B973">
        <v>1</v>
      </c>
    </row>
    <row r="974" spans="1:2" x14ac:dyDescent="0.25">
      <c r="A974" s="19" t="s">
        <v>1526</v>
      </c>
      <c r="B974">
        <v>1</v>
      </c>
    </row>
    <row r="975" spans="1:2" x14ac:dyDescent="0.25">
      <c r="A975" s="19" t="s">
        <v>1526</v>
      </c>
      <c r="B975">
        <v>1</v>
      </c>
    </row>
    <row r="976" spans="1:2" x14ac:dyDescent="0.25">
      <c r="A976" s="19" t="s">
        <v>1526</v>
      </c>
      <c r="B976">
        <v>1</v>
      </c>
    </row>
    <row r="977" spans="1:2" x14ac:dyDescent="0.25">
      <c r="A977" s="19" t="s">
        <v>1526</v>
      </c>
      <c r="B977">
        <v>1</v>
      </c>
    </row>
    <row r="978" spans="1:2" x14ac:dyDescent="0.25">
      <c r="A978" s="19" t="s">
        <v>1526</v>
      </c>
      <c r="B978">
        <v>1</v>
      </c>
    </row>
    <row r="979" spans="1:2" x14ac:dyDescent="0.25">
      <c r="A979" s="19" t="s">
        <v>1526</v>
      </c>
      <c r="B979">
        <v>1</v>
      </c>
    </row>
    <row r="980" spans="1:2" x14ac:dyDescent="0.25">
      <c r="A980" t="s">
        <v>1526</v>
      </c>
      <c r="B980">
        <v>1</v>
      </c>
    </row>
    <row r="981" spans="1:2" x14ac:dyDescent="0.25">
      <c r="A981" s="19" t="s">
        <v>1526</v>
      </c>
      <c r="B981">
        <v>1</v>
      </c>
    </row>
    <row r="982" spans="1:2" x14ac:dyDescent="0.25">
      <c r="A982" s="19" t="s">
        <v>1594</v>
      </c>
      <c r="B982">
        <v>1</v>
      </c>
    </row>
    <row r="983" spans="1:2" x14ac:dyDescent="0.25">
      <c r="A983" s="19" t="s">
        <v>1592</v>
      </c>
      <c r="B983">
        <v>1</v>
      </c>
    </row>
    <row r="984" spans="1:2" x14ac:dyDescent="0.25">
      <c r="A984" s="19" t="s">
        <v>1592</v>
      </c>
      <c r="B984">
        <v>1</v>
      </c>
    </row>
    <row r="985" spans="1:2" x14ac:dyDescent="0.25">
      <c r="A985" s="19" t="s">
        <v>1592</v>
      </c>
      <c r="B985">
        <v>1</v>
      </c>
    </row>
    <row r="986" spans="1:2" x14ac:dyDescent="0.25">
      <c r="A986" s="19" t="s">
        <v>1592</v>
      </c>
      <c r="B986">
        <v>1</v>
      </c>
    </row>
    <row r="987" spans="1:2" x14ac:dyDescent="0.25">
      <c r="A987" s="19" t="s">
        <v>1592</v>
      </c>
      <c r="B987">
        <v>1</v>
      </c>
    </row>
    <row r="988" spans="1:2" x14ac:dyDescent="0.25">
      <c r="A988" t="s">
        <v>1592</v>
      </c>
      <c r="B988">
        <v>1</v>
      </c>
    </row>
    <row r="989" spans="1:2" x14ac:dyDescent="0.25">
      <c r="A989" s="19" t="s">
        <v>1592</v>
      </c>
      <c r="B989">
        <v>1</v>
      </c>
    </row>
    <row r="990" spans="1:2" x14ac:dyDescent="0.25">
      <c r="A990" s="19" t="s">
        <v>1594</v>
      </c>
      <c r="B990">
        <v>1</v>
      </c>
    </row>
    <row r="991" spans="1:2" x14ac:dyDescent="0.25">
      <c r="A991" s="19" t="s">
        <v>1559</v>
      </c>
      <c r="B991">
        <v>1</v>
      </c>
    </row>
    <row r="992" spans="1:2" x14ac:dyDescent="0.25">
      <c r="A992" s="19" t="s">
        <v>1559</v>
      </c>
      <c r="B992">
        <v>1</v>
      </c>
    </row>
    <row r="993" spans="1:2" x14ac:dyDescent="0.25">
      <c r="A993" s="19" t="s">
        <v>1559</v>
      </c>
      <c r="B993">
        <v>1</v>
      </c>
    </row>
    <row r="994" spans="1:2" x14ac:dyDescent="0.25">
      <c r="A994" s="19" t="s">
        <v>1559</v>
      </c>
      <c r="B994">
        <v>1</v>
      </c>
    </row>
    <row r="995" spans="1:2" x14ac:dyDescent="0.25">
      <c r="A995" s="19" t="s">
        <v>1559</v>
      </c>
      <c r="B995">
        <v>1</v>
      </c>
    </row>
    <row r="996" spans="1:2" x14ac:dyDescent="0.25">
      <c r="A996" s="19" t="s">
        <v>1559</v>
      </c>
      <c r="B996">
        <v>1</v>
      </c>
    </row>
    <row r="997" spans="1:2" x14ac:dyDescent="0.25">
      <c r="A997" s="19" t="s">
        <v>1559</v>
      </c>
      <c r="B997">
        <v>1</v>
      </c>
    </row>
    <row r="998" spans="1:2" x14ac:dyDescent="0.25">
      <c r="A998" s="19" t="s">
        <v>1559</v>
      </c>
      <c r="B998">
        <v>1</v>
      </c>
    </row>
    <row r="999" spans="1:2" x14ac:dyDescent="0.25">
      <c r="A999" s="19" t="s">
        <v>1559</v>
      </c>
      <c r="B999">
        <v>1</v>
      </c>
    </row>
    <row r="1000" spans="1:2" x14ac:dyDescent="0.25">
      <c r="A1000" s="19" t="s">
        <v>1559</v>
      </c>
      <c r="B1000">
        <v>1</v>
      </c>
    </row>
    <row r="1001" spans="1:2" x14ac:dyDescent="0.25">
      <c r="A1001" s="19" t="s">
        <v>1559</v>
      </c>
      <c r="B1001">
        <v>1</v>
      </c>
    </row>
    <row r="1002" spans="1:2" x14ac:dyDescent="0.25">
      <c r="A1002" s="19" t="s">
        <v>1559</v>
      </c>
      <c r="B1002">
        <v>1</v>
      </c>
    </row>
    <row r="1003" spans="1:2" x14ac:dyDescent="0.25">
      <c r="A1003" s="19" t="s">
        <v>1559</v>
      </c>
      <c r="B1003">
        <v>1</v>
      </c>
    </row>
    <row r="1004" spans="1:2" x14ac:dyDescent="0.25">
      <c r="A1004" s="19" t="s">
        <v>1559</v>
      </c>
      <c r="B1004">
        <v>1</v>
      </c>
    </row>
    <row r="1005" spans="1:2" x14ac:dyDescent="0.25">
      <c r="A1005" s="19" t="s">
        <v>1559</v>
      </c>
      <c r="B1005">
        <v>1</v>
      </c>
    </row>
    <row r="1006" spans="1:2" x14ac:dyDescent="0.25">
      <c r="A1006" s="19" t="s">
        <v>1559</v>
      </c>
      <c r="B1006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FFC85-75F3-4CF8-AC7C-02E640E11976}">
  <sheetPr codeName="Sheet11"/>
  <dimension ref="A1:N18"/>
  <sheetViews>
    <sheetView zoomScale="115" zoomScaleNormal="115" workbookViewId="0">
      <selection activeCell="N15" sqref="N15"/>
    </sheetView>
  </sheetViews>
  <sheetFormatPr defaultRowHeight="15" x14ac:dyDescent="0.25"/>
  <cols>
    <col min="13" max="13" width="17.5703125" bestFit="1" customWidth="1"/>
    <col min="14" max="14" width="9.140625" bestFit="1" customWidth="1"/>
  </cols>
  <sheetData>
    <row r="1" spans="1:14" x14ac:dyDescent="0.25">
      <c r="B1" t="s">
        <v>1</v>
      </c>
      <c r="C1" t="s">
        <v>2</v>
      </c>
      <c r="D1" t="s">
        <v>1595</v>
      </c>
      <c r="E1" t="s">
        <v>1596</v>
      </c>
      <c r="F1" t="s">
        <v>5</v>
      </c>
      <c r="G1" t="s">
        <v>6</v>
      </c>
      <c r="H1" t="s">
        <v>7</v>
      </c>
      <c r="I1" t="s">
        <v>1597</v>
      </c>
      <c r="J1" t="s">
        <v>9</v>
      </c>
      <c r="K1" t="s">
        <v>10</v>
      </c>
      <c r="M1" t="s">
        <v>71</v>
      </c>
    </row>
    <row r="2" spans="1:14" x14ac:dyDescent="0.25">
      <c r="A2" t="s">
        <v>14</v>
      </c>
      <c r="B2" t="s">
        <v>98</v>
      </c>
      <c r="C2">
        <v>48</v>
      </c>
      <c r="D2" t="s">
        <v>118</v>
      </c>
      <c r="E2" t="s">
        <v>126</v>
      </c>
      <c r="F2" t="s">
        <v>129</v>
      </c>
      <c r="G2" t="s">
        <v>118</v>
      </c>
      <c r="H2" t="s">
        <v>118</v>
      </c>
      <c r="I2" t="s">
        <v>22</v>
      </c>
      <c r="J2">
        <v>9</v>
      </c>
      <c r="K2">
        <v>30</v>
      </c>
      <c r="L2">
        <v>0</v>
      </c>
      <c r="M2" t="str">
        <f>_xlfn.CONCAT(A2:L2)</f>
        <v>BIWR48BMUBBW9300</v>
      </c>
      <c r="N2" s="75">
        <v>88</v>
      </c>
    </row>
    <row r="3" spans="1:14" x14ac:dyDescent="0.25">
      <c r="A3" t="s">
        <v>14</v>
      </c>
      <c r="B3" t="s">
        <v>122</v>
      </c>
      <c r="C3">
        <v>48</v>
      </c>
      <c r="D3" t="s">
        <v>118</v>
      </c>
      <c r="E3" t="s">
        <v>126</v>
      </c>
      <c r="F3" t="s">
        <v>129</v>
      </c>
      <c r="G3" t="s">
        <v>118</v>
      </c>
      <c r="H3" t="s">
        <v>118</v>
      </c>
      <c r="I3" t="s">
        <v>22</v>
      </c>
      <c r="J3">
        <v>9</v>
      </c>
      <c r="K3">
        <v>30</v>
      </c>
      <c r="L3">
        <v>0</v>
      </c>
      <c r="M3" t="str">
        <f>_xlfn.CONCAT(A3:L3)</f>
        <v>BIWT48BMUBBW9300</v>
      </c>
      <c r="N3" s="75">
        <v>92</v>
      </c>
    </row>
    <row r="4" spans="1:14" x14ac:dyDescent="0.25">
      <c r="A4" t="s">
        <v>14</v>
      </c>
      <c r="B4" t="s">
        <v>110</v>
      </c>
      <c r="C4">
        <v>48</v>
      </c>
      <c r="D4" t="s">
        <v>118</v>
      </c>
      <c r="E4" t="s">
        <v>126</v>
      </c>
      <c r="F4" t="s">
        <v>129</v>
      </c>
      <c r="G4" t="s">
        <v>118</v>
      </c>
      <c r="H4" t="s">
        <v>118</v>
      </c>
      <c r="I4" t="s">
        <v>22</v>
      </c>
      <c r="J4">
        <v>9</v>
      </c>
      <c r="K4">
        <v>30</v>
      </c>
      <c r="L4">
        <v>0</v>
      </c>
      <c r="M4" t="str">
        <f>_xlfn.CONCAT(A4:L4)</f>
        <v>BIWS48BMUBBW9300</v>
      </c>
      <c r="N4" s="75">
        <v>81</v>
      </c>
    </row>
    <row r="5" spans="1:14" x14ac:dyDescent="0.25">
      <c r="A5" t="s">
        <v>14</v>
      </c>
      <c r="B5" t="s">
        <v>161</v>
      </c>
      <c r="C5">
        <v>48</v>
      </c>
      <c r="D5" t="s">
        <v>118</v>
      </c>
      <c r="E5" t="s">
        <v>126</v>
      </c>
      <c r="F5" t="s">
        <v>129</v>
      </c>
      <c r="G5" t="s">
        <v>118</v>
      </c>
      <c r="H5" t="s">
        <v>118</v>
      </c>
      <c r="I5" t="s">
        <v>22</v>
      </c>
      <c r="J5">
        <v>9</v>
      </c>
      <c r="K5">
        <v>30</v>
      </c>
      <c r="L5">
        <v>0</v>
      </c>
      <c r="M5" t="str">
        <f>_xlfn.CONCAT(A5:L5)</f>
        <v>BIWP48BMUBBW9300</v>
      </c>
      <c r="N5" s="75">
        <v>83</v>
      </c>
    </row>
    <row r="7" spans="1:14" x14ac:dyDescent="0.25">
      <c r="A7" t="s">
        <v>238</v>
      </c>
      <c r="F7" t="s">
        <v>129</v>
      </c>
      <c r="J7">
        <v>9</v>
      </c>
      <c r="L7">
        <v>0</v>
      </c>
      <c r="M7" t="str">
        <f>_xlfn.CONCAT(A7:L7)</f>
        <v>BIKU90</v>
      </c>
    </row>
    <row r="8" spans="1:14" x14ac:dyDescent="0.25">
      <c r="A8" t="s">
        <v>30</v>
      </c>
      <c r="F8" t="s">
        <v>129</v>
      </c>
      <c r="J8">
        <v>9</v>
      </c>
      <c r="L8">
        <v>0</v>
      </c>
      <c r="M8" t="str">
        <f>_xlfn.CONCAT(A8:L8)</f>
        <v>BISU90</v>
      </c>
    </row>
    <row r="9" spans="1:14" x14ac:dyDescent="0.25">
      <c r="A9" t="s">
        <v>34</v>
      </c>
      <c r="F9" t="s">
        <v>129</v>
      </c>
      <c r="J9">
        <v>9</v>
      </c>
      <c r="L9">
        <v>0</v>
      </c>
      <c r="M9" t="str">
        <f>_xlfn.CONCAT(A9:L9)</f>
        <v>BXHU90</v>
      </c>
    </row>
    <row r="10" spans="1:14" x14ac:dyDescent="0.25">
      <c r="A10" t="s">
        <v>94</v>
      </c>
      <c r="F10" t="s">
        <v>129</v>
      </c>
      <c r="J10">
        <v>9</v>
      </c>
      <c r="L10">
        <v>0</v>
      </c>
      <c r="M10" t="str">
        <f>_xlfn.CONCAT(A10:L10)</f>
        <v>BXOU90</v>
      </c>
    </row>
    <row r="11" spans="1:14" x14ac:dyDescent="0.25">
      <c r="A11" t="s">
        <v>40</v>
      </c>
      <c r="F11" t="s">
        <v>129</v>
      </c>
      <c r="J11">
        <v>9</v>
      </c>
      <c r="L11">
        <v>0</v>
      </c>
      <c r="M11" t="str">
        <f>_xlfn.CONCAT(A11:L11)</f>
        <v>BIOU90</v>
      </c>
    </row>
    <row r="13" spans="1:14" x14ac:dyDescent="0.25">
      <c r="A13" t="s">
        <v>45</v>
      </c>
      <c r="F13" t="s">
        <v>129</v>
      </c>
      <c r="J13">
        <v>9</v>
      </c>
      <c r="L13">
        <v>0</v>
      </c>
    </row>
    <row r="14" spans="1:14" x14ac:dyDescent="0.25">
      <c r="A14" t="s">
        <v>242</v>
      </c>
      <c r="F14" t="s">
        <v>129</v>
      </c>
      <c r="J14">
        <v>9</v>
      </c>
      <c r="L14">
        <v>0</v>
      </c>
    </row>
    <row r="15" spans="1:14" x14ac:dyDescent="0.25">
      <c r="A15" t="s">
        <v>49</v>
      </c>
      <c r="F15" t="s">
        <v>129</v>
      </c>
      <c r="J15">
        <v>9</v>
      </c>
      <c r="L15">
        <v>0</v>
      </c>
    </row>
    <row r="16" spans="1:14" x14ac:dyDescent="0.25">
      <c r="A16" t="s">
        <v>53</v>
      </c>
      <c r="F16" t="s">
        <v>129</v>
      </c>
      <c r="J16">
        <v>9</v>
      </c>
      <c r="L16">
        <v>0</v>
      </c>
    </row>
    <row r="17" spans="1:12" x14ac:dyDescent="0.25">
      <c r="A17" t="s">
        <v>189</v>
      </c>
      <c r="F17" t="s">
        <v>129</v>
      </c>
      <c r="J17">
        <v>9</v>
      </c>
      <c r="L17">
        <v>0</v>
      </c>
    </row>
    <row r="18" spans="1:12" x14ac:dyDescent="0.25">
      <c r="A18" t="s">
        <v>55</v>
      </c>
      <c r="F18" t="s">
        <v>129</v>
      </c>
      <c r="J18">
        <v>9</v>
      </c>
      <c r="L1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91196EB661494081AAC8DC0F0FFCA8" ma:contentTypeVersion="16" ma:contentTypeDescription="Create a new document." ma:contentTypeScope="" ma:versionID="83af4d028de56676f770472f6faac971">
  <xsd:schema xmlns:xsd="http://www.w3.org/2001/XMLSchema" xmlns:xs="http://www.w3.org/2001/XMLSchema" xmlns:p="http://schemas.microsoft.com/office/2006/metadata/properties" xmlns:ns2="8c1fa4d6-236e-40dd-a299-8d7c7e8b2357" xmlns:ns3="058b29a3-8a2f-4c69-a32b-bf89e7877d5f" targetNamespace="http://schemas.microsoft.com/office/2006/metadata/properties" ma:root="true" ma:fieldsID="c38c2dc6cc097bc7e9450afdb8235f48" ns2:_="" ns3:_="">
    <xsd:import namespace="8c1fa4d6-236e-40dd-a299-8d7c7e8b2357"/>
    <xsd:import namespace="058b29a3-8a2f-4c69-a32b-bf89e7877d5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1fa4d6-236e-40dd-a299-8d7c7e8b23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269dc3c8-2ecc-4f0e-b88f-4f4a1a0ec3e3}" ma:internalName="TaxCatchAll" ma:showField="CatchAllData" ma:web="8c1fa4d6-236e-40dd-a299-8d7c7e8b23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8b29a3-8a2f-4c69-a32b-bf89e7877d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73f3f83f-6bb6-4cc6-921f-a12d059183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8b29a3-8a2f-4c69-a32b-bf89e7877d5f">
      <Terms xmlns="http://schemas.microsoft.com/office/infopath/2007/PartnerControls"/>
    </lcf76f155ced4ddcb4097134ff3c332f>
    <TaxCatchAll xmlns="8c1fa4d6-236e-40dd-a299-8d7c7e8b2357" xsi:nil="true"/>
    <SharedWithUsers xmlns="8c1fa4d6-236e-40dd-a299-8d7c7e8b2357">
      <UserInfo>
        <DisplayName>Bold Nomenclature</DisplayName>
        <AccountId>26</AccountId>
        <AccountType/>
      </UserInfo>
      <UserInfo>
        <DisplayName>NT Service\spsearch</DisplayName>
        <AccountId>9</AccountId>
        <AccountType/>
      </UserInfo>
      <UserInfo>
        <DisplayName>SharingLinks.d6ee840d-82f5-47fa-9e08-1eb9197c5d85.OrganizationEdit.fcf5883a-fda6-427b-9c5f-1600cb6102a2</DisplayName>
        <AccountId>137</AccountId>
        <AccountType/>
      </UserInfo>
      <UserInfo>
        <DisplayName>SharingLinks.4eb0780b-6654-413f-8acf-64dd23ab9464.OrganizationEdit.d1face8e-a685-4c11-acdd-7f77870af61e</DisplayName>
        <AccountId>134</AccountId>
        <AccountType/>
      </UserInfo>
      <UserInfo>
        <DisplayName>Rony Dib</DisplayName>
        <AccountId>67</AccountId>
        <AccountType/>
      </UserInfo>
      <UserInfo>
        <DisplayName>Louis Hatem</DisplayName>
        <AccountId>64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E5B3F57D-0155-4952-A796-C3EE165118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1fa4d6-236e-40dd-a299-8d7c7e8b2357"/>
    <ds:schemaRef ds:uri="058b29a3-8a2f-4c69-a32b-bf89e7877d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19A759-BAAD-42EC-B0AC-27B4BB82641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D04B6F-E20F-4937-9FF8-A1E93233F71A}">
  <ds:schemaRefs>
    <ds:schemaRef ds:uri="http://schemas.microsoft.com/office/2006/metadata/properties"/>
    <ds:schemaRef ds:uri="http://schemas.microsoft.com/office/infopath/2007/PartnerControls"/>
    <ds:schemaRef ds:uri="058b29a3-8a2f-4c69-a32b-bf89e7877d5f"/>
    <ds:schemaRef ds:uri="8c1fa4d6-236e-40dd-a299-8d7c7e8b23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Draft</vt:lpstr>
      <vt:lpstr>Main</vt:lpstr>
      <vt:lpstr>Coefficient</vt:lpstr>
      <vt:lpstr>Billet Nomenclature</vt:lpstr>
      <vt:lpstr>Result Format</vt:lpstr>
      <vt:lpstr>Database</vt:lpstr>
      <vt:lpstr>Detailed BOM</vt:lpstr>
      <vt:lpstr>BOQ</vt:lpstr>
      <vt:lpstr>ERP Layout</vt:lpstr>
      <vt:lpstr>Pricelist</vt:lpstr>
      <vt:lpstr>Sheet2</vt:lpstr>
      <vt:lpstr>Sheet1</vt:lpstr>
      <vt:lpstr>'Result Format'!Print_Titles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Rony</dc:creator>
  <cp:keywords/>
  <dc:description/>
  <cp:lastModifiedBy>Ari Avedis</cp:lastModifiedBy>
  <cp:revision/>
  <dcterms:created xsi:type="dcterms:W3CDTF">2023-04-25T10:35:14Z</dcterms:created>
  <dcterms:modified xsi:type="dcterms:W3CDTF">2025-07-07T08:01:38Z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0x010100C491196EB661494081AAC8DC0F0FFCA8</vt:lpwstr>
  </property>
  <property fmtid="{D5CDD505-2E9C-101B-9397-08002B2CF9AE}" pid="3" name="MediaServiceImageTags">
    <vt:lpwstr/>
  </property>
</Properties>
</file>